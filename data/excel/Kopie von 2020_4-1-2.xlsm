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github\IM_Data\data\excel\"/>
    </mc:Choice>
  </mc:AlternateContent>
  <bookViews>
    <workbookView xWindow="0" yWindow="0" windowWidth="23970" windowHeight="8475" activeTab="3"/>
  </bookViews>
  <sheets>
    <sheet name="2020_4-1-2_Download" sheetId="22" r:id="rId1"/>
    <sheet name="fürCsv" sheetId="24" r:id="rId2"/>
    <sheet name="2020_4-1-2_CSV_Export" sheetId="23" r:id="rId3"/>
    <sheet name="2020_4-1-2_CSV_Export2" sheetId="25" r:id="rId4"/>
    <sheet name="2020_B4_Zeitreihe" sheetId="16" r:id="rId5"/>
    <sheet name="2019_B4_Rand" sheetId="12" state="hidden" r:id="rId6"/>
    <sheet name="2020_B4_Berechnung_final" sheetId="13" r:id="rId7"/>
    <sheet name="2020_B4_Berechnung" sheetId="19" r:id="rId8"/>
    <sheet name="2020_B4_Rohdaten_alle" sheetId="18" r:id="rId9"/>
    <sheet name="2020_B4_Rohdaten_Ausländer" sheetId="20" r:id="rId10"/>
    <sheet name="2018_B4_Zeitreihe" sheetId="1" r:id="rId11"/>
    <sheet name="2019_B4_Rohdaten_alle" sheetId="14" r:id="rId12"/>
    <sheet name="2019_B4_Berechnung" sheetId="17" r:id="rId13"/>
    <sheet name="2018_B4_Berechnung" sheetId="9" r:id="rId14"/>
    <sheet name="2019_B4_Rohdaten_Ausländer" sheetId="15" r:id="rId15"/>
    <sheet name="2018_B4_Prozent" sheetId="11" r:id="rId16"/>
    <sheet name="2011_B4_Rohdaten" sheetId="2" r:id="rId17"/>
    <sheet name="2013_B4_Rohdaten" sheetId="3" r:id="rId18"/>
    <sheet name="2015_B4_Rohdaten" sheetId="4" r:id="rId19"/>
    <sheet name="2016_B4_Rohdaten" sheetId="10" r:id="rId20"/>
    <sheet name="2017_B4_Rohdaten" sheetId="6" r:id="rId21"/>
    <sheet name="2018_B4_Rohdaten" sheetId="7" r:id="rId22"/>
  </sheets>
  <functionGroups builtInGroupCount="18"/>
  <externalReferences>
    <externalReference r:id="rId23"/>
  </externalReferences>
  <definedNames>
    <definedName name="_xlnm._FilterDatabase" localSheetId="13" hidden="1">'2018_B4_Berechnung'!$A$2:$E$391</definedName>
    <definedName name="_xlnm._FilterDatabase" localSheetId="10" hidden="1">'2018_B4_Zeitreihe'!$A$7:$P$7</definedName>
    <definedName name="_xlnm._FilterDatabase" localSheetId="6" hidden="1">'2020_B4_Berechnung_final'!$B$50:$X$85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81" i="23" l="1"/>
  <c r="G1680" i="23"/>
  <c r="G1679" i="23"/>
  <c r="G1678" i="23"/>
  <c r="G1677" i="23"/>
  <c r="G1676" i="23"/>
  <c r="G1675" i="23"/>
  <c r="G1674" i="23"/>
  <c r="G1673" i="23"/>
  <c r="G1672" i="23"/>
  <c r="G1671" i="23"/>
  <c r="G1670" i="23"/>
  <c r="G1669" i="23"/>
  <c r="G1668" i="23"/>
  <c r="G1667" i="23"/>
  <c r="G1666" i="23"/>
  <c r="G1665" i="23"/>
  <c r="G1664" i="23"/>
  <c r="G1663" i="23"/>
  <c r="G1662" i="23"/>
  <c r="G1661" i="23"/>
  <c r="G1660" i="23"/>
  <c r="G1659" i="23"/>
  <c r="G1658" i="23"/>
  <c r="G1657" i="23"/>
  <c r="G1656" i="23"/>
  <c r="G1655" i="23"/>
  <c r="G1654" i="23"/>
  <c r="G1653" i="23"/>
  <c r="G1652" i="23"/>
  <c r="G1651" i="23"/>
  <c r="G1650" i="23"/>
  <c r="G1649" i="23"/>
  <c r="G1648" i="23"/>
  <c r="G1647" i="23"/>
  <c r="G1646" i="23"/>
  <c r="G1645" i="23"/>
  <c r="G1644" i="23"/>
  <c r="G1643" i="23"/>
  <c r="G1642" i="23"/>
  <c r="G1641" i="23"/>
  <c r="G1640" i="23"/>
  <c r="G1639" i="23"/>
  <c r="G1638" i="23"/>
  <c r="G1637" i="23"/>
  <c r="G1636" i="23"/>
  <c r="G1635" i="23"/>
  <c r="G1634" i="23"/>
  <c r="G1633" i="23"/>
  <c r="G1632" i="23"/>
  <c r="G1631" i="23"/>
  <c r="G1630" i="23"/>
  <c r="G1629" i="23"/>
  <c r="G1628" i="23"/>
  <c r="G1627" i="23"/>
  <c r="G1626" i="23"/>
  <c r="G1625" i="23"/>
  <c r="G1624" i="23"/>
  <c r="G1623" i="23"/>
  <c r="G1622" i="23"/>
  <c r="G1621" i="23"/>
  <c r="G1620" i="23"/>
  <c r="G1619" i="23"/>
  <c r="G1618" i="23"/>
  <c r="G1617" i="23"/>
  <c r="G1616" i="23"/>
  <c r="G1615" i="23"/>
  <c r="G1614" i="23"/>
  <c r="G1613" i="23"/>
  <c r="G1612" i="23"/>
  <c r="G1611" i="23"/>
  <c r="G1610" i="23"/>
  <c r="G1609" i="23"/>
  <c r="G1608" i="23"/>
  <c r="G1607" i="23"/>
  <c r="G1606" i="23"/>
  <c r="G1605" i="23"/>
  <c r="G1604" i="23"/>
  <c r="G1603" i="23"/>
  <c r="G1602" i="23"/>
  <c r="G1601" i="23"/>
  <c r="G1600" i="23"/>
  <c r="G1599" i="23"/>
  <c r="G1598" i="23"/>
  <c r="G1597" i="23"/>
  <c r="G1596" i="23"/>
  <c r="G1595" i="23"/>
  <c r="G1594" i="23"/>
  <c r="G1593" i="23"/>
  <c r="G1592" i="23"/>
  <c r="G1591" i="23"/>
  <c r="G1590" i="23"/>
  <c r="G1589" i="23"/>
  <c r="G1588" i="23"/>
  <c r="G1587" i="23"/>
  <c r="G1586" i="23"/>
  <c r="G1585" i="23"/>
  <c r="G1584" i="23"/>
  <c r="G1583" i="23"/>
  <c r="G1582" i="23"/>
  <c r="G1581" i="23"/>
  <c r="G1580" i="23"/>
  <c r="G1579" i="23"/>
  <c r="G1578" i="23"/>
  <c r="G1577" i="23"/>
  <c r="G1576" i="23"/>
  <c r="G1575" i="23"/>
  <c r="G1574" i="23"/>
  <c r="G1573" i="23"/>
  <c r="G1572" i="23"/>
  <c r="G1571" i="23"/>
  <c r="G1570" i="23"/>
  <c r="G1569" i="23"/>
  <c r="G1568" i="23"/>
  <c r="G1567" i="23"/>
  <c r="G1566" i="23"/>
  <c r="G1565" i="23"/>
  <c r="G1564" i="23"/>
  <c r="G1563" i="23"/>
  <c r="G1562" i="23"/>
  <c r="G1561" i="23"/>
  <c r="G1560" i="23"/>
  <c r="G1559" i="23"/>
  <c r="G1558" i="23"/>
  <c r="G1557" i="23"/>
  <c r="G1556" i="23"/>
  <c r="G1555" i="23"/>
  <c r="G1554" i="23"/>
  <c r="G1553" i="23"/>
  <c r="G1552" i="23"/>
  <c r="G1551" i="23"/>
  <c r="G1550" i="23"/>
  <c r="G1549" i="23"/>
  <c r="G1548" i="23"/>
  <c r="G1547" i="23"/>
  <c r="G1546" i="23"/>
  <c r="G1545" i="23"/>
  <c r="G1544" i="23"/>
  <c r="G1543" i="23"/>
  <c r="G1542" i="23"/>
  <c r="G1541" i="23"/>
  <c r="G1540" i="23"/>
  <c r="G1539" i="23"/>
  <c r="G1538" i="23"/>
  <c r="G1537" i="23"/>
  <c r="G1536" i="23"/>
  <c r="G1535" i="23"/>
  <c r="G1534" i="23"/>
  <c r="G1533" i="23"/>
  <c r="G1532" i="23"/>
  <c r="G1531" i="23"/>
  <c r="G1530" i="23"/>
  <c r="G1529" i="23"/>
  <c r="G1528" i="23"/>
  <c r="G1527" i="23"/>
  <c r="G1526" i="23"/>
  <c r="G1525" i="23"/>
  <c r="G1524" i="23"/>
  <c r="G1523" i="23"/>
  <c r="G1522" i="23"/>
  <c r="G1521" i="23"/>
  <c r="G1520" i="23"/>
  <c r="G1519" i="23"/>
  <c r="G1518" i="23"/>
  <c r="G1517" i="23"/>
  <c r="G1516" i="23"/>
  <c r="G1515" i="23"/>
  <c r="G1514" i="23"/>
  <c r="G1513" i="23"/>
  <c r="G1512" i="23"/>
  <c r="G1511" i="23"/>
  <c r="G1510" i="23"/>
  <c r="G1509" i="23"/>
  <c r="G1508" i="23"/>
  <c r="G1507" i="23"/>
  <c r="G1506" i="23"/>
  <c r="G1505" i="23"/>
  <c r="G1504" i="23"/>
  <c r="G1503" i="23"/>
  <c r="G1502" i="23"/>
  <c r="G1501" i="23"/>
  <c r="G1500" i="23"/>
  <c r="G1499" i="23"/>
  <c r="G1498" i="23"/>
  <c r="G1497" i="23"/>
  <c r="G1496" i="23"/>
  <c r="G1495" i="23"/>
  <c r="G1494" i="23"/>
  <c r="G1493" i="23"/>
  <c r="G1492" i="23"/>
  <c r="G1491" i="23"/>
  <c r="G1490" i="23"/>
  <c r="G1489" i="23"/>
  <c r="G1488" i="23"/>
  <c r="G1487" i="23"/>
  <c r="G1486" i="23"/>
  <c r="G1485" i="23"/>
  <c r="G1484" i="23"/>
  <c r="G1483" i="23"/>
  <c r="G1482" i="23"/>
  <c r="G1481" i="23"/>
  <c r="G1480" i="23"/>
  <c r="G1479" i="23"/>
  <c r="G1478" i="23"/>
  <c r="G1477" i="23"/>
  <c r="G1476" i="23"/>
  <c r="G1475" i="23"/>
  <c r="G1474" i="23"/>
  <c r="G1473" i="23"/>
  <c r="G1472" i="23"/>
  <c r="G1471" i="23"/>
  <c r="G1470" i="23"/>
  <c r="G1469" i="23"/>
  <c r="G1468" i="23"/>
  <c r="G1467" i="23"/>
  <c r="G1466" i="23"/>
  <c r="G1465" i="23"/>
  <c r="G1464" i="23"/>
  <c r="G1463" i="23"/>
  <c r="G1462" i="23"/>
  <c r="G1461" i="23"/>
  <c r="G1460" i="23"/>
  <c r="G1459" i="23"/>
  <c r="G1458" i="23"/>
  <c r="G1457" i="23"/>
  <c r="G1456" i="23"/>
  <c r="G1455" i="23"/>
  <c r="G1454" i="23"/>
  <c r="G1453" i="23"/>
  <c r="G1452" i="23"/>
  <c r="G1451" i="23"/>
  <c r="G1450" i="23"/>
  <c r="G1449" i="23"/>
  <c r="G1448" i="23"/>
  <c r="G1447" i="23"/>
  <c r="G1446" i="23"/>
  <c r="G1445" i="23"/>
  <c r="G1444" i="23"/>
  <c r="G1443" i="23"/>
  <c r="G1442" i="23"/>
  <c r="G1441" i="23"/>
  <c r="G1440" i="23"/>
  <c r="G1439" i="23"/>
  <c r="G1438" i="23"/>
  <c r="G1437" i="23"/>
  <c r="G1436" i="23"/>
  <c r="G1435" i="23"/>
  <c r="G1434" i="23"/>
  <c r="G1433" i="23"/>
  <c r="G1432" i="23"/>
  <c r="G1431" i="23"/>
  <c r="G1430" i="23"/>
  <c r="G1429" i="23"/>
  <c r="G1428" i="23"/>
  <c r="G1427" i="23"/>
  <c r="G1426" i="23"/>
  <c r="G1425" i="23"/>
  <c r="G1424" i="23"/>
  <c r="G1423" i="23"/>
  <c r="G1422" i="23"/>
  <c r="G1421" i="23"/>
  <c r="G1420" i="23"/>
  <c r="G1419" i="23"/>
  <c r="G1418" i="23"/>
  <c r="G1417" i="23"/>
  <c r="G1416" i="23"/>
  <c r="G1415" i="23"/>
  <c r="G1414" i="23"/>
  <c r="G1413" i="23"/>
  <c r="G1412" i="23"/>
  <c r="G1411" i="23"/>
  <c r="G1410" i="23"/>
  <c r="G1409" i="23"/>
  <c r="G1408" i="23"/>
  <c r="G1407" i="23"/>
  <c r="G1406" i="23"/>
  <c r="G1405" i="23"/>
  <c r="G1404" i="23"/>
  <c r="G1403" i="23"/>
  <c r="G1402" i="23"/>
  <c r="G1401" i="23"/>
  <c r="G1400" i="23"/>
  <c r="G1399" i="23"/>
  <c r="G1398" i="23"/>
  <c r="G1397" i="23"/>
  <c r="G1396" i="23"/>
  <c r="G1395" i="23"/>
  <c r="G1394" i="23"/>
  <c r="G1393" i="23"/>
  <c r="G1392" i="23"/>
  <c r="G1391" i="23"/>
  <c r="G1390" i="23"/>
  <c r="G1389" i="23"/>
  <c r="G1388" i="23"/>
  <c r="G1387" i="23"/>
  <c r="G1386" i="23"/>
  <c r="G1385" i="23"/>
  <c r="G1384" i="23"/>
  <c r="G1383" i="23"/>
  <c r="G1382" i="23"/>
  <c r="G1381" i="23"/>
  <c r="G1380" i="23"/>
  <c r="G1379" i="23"/>
  <c r="G1378" i="23"/>
  <c r="G1377" i="23"/>
  <c r="G1376" i="23"/>
  <c r="G1375" i="23"/>
  <c r="G1374" i="23"/>
  <c r="G1373" i="23"/>
  <c r="G1372" i="23"/>
  <c r="G1371" i="23"/>
  <c r="G1370" i="23"/>
  <c r="G1369" i="23"/>
  <c r="G1368" i="23"/>
  <c r="G1367" i="23"/>
  <c r="G1366" i="23"/>
  <c r="G1365" i="23"/>
  <c r="G1364" i="23"/>
  <c r="G1363" i="23"/>
  <c r="G1362" i="23"/>
  <c r="G1361" i="23"/>
  <c r="G1360" i="23"/>
  <c r="G1359" i="23"/>
  <c r="G1358" i="23"/>
  <c r="G1357" i="23"/>
  <c r="G1356" i="23"/>
  <c r="G1355" i="23"/>
  <c r="G1354" i="23"/>
  <c r="G1353" i="23"/>
  <c r="G1352" i="23"/>
  <c r="G1351" i="23"/>
  <c r="G1350" i="23"/>
  <c r="G1349" i="23"/>
  <c r="G1348" i="23"/>
  <c r="G1347" i="23"/>
  <c r="G1346" i="23"/>
  <c r="G1345" i="23"/>
  <c r="G1344" i="23"/>
  <c r="G1343" i="23"/>
  <c r="G1342" i="23"/>
  <c r="G1341" i="23"/>
  <c r="G1340" i="23"/>
  <c r="G1339" i="23"/>
  <c r="G1338" i="23"/>
  <c r="G1337" i="23"/>
  <c r="G1336" i="23"/>
  <c r="G1335" i="23"/>
  <c r="G1334" i="23"/>
  <c r="G1333" i="23"/>
  <c r="G1332" i="23"/>
  <c r="G1331" i="23"/>
  <c r="G1330" i="23"/>
  <c r="G1329" i="23"/>
  <c r="G1328" i="23"/>
  <c r="G1327" i="23"/>
  <c r="G1326" i="23"/>
  <c r="G1325" i="23"/>
  <c r="G1324" i="23"/>
  <c r="G1323" i="23"/>
  <c r="G1322" i="23"/>
  <c r="G1321" i="23"/>
  <c r="G1320" i="23"/>
  <c r="G1319" i="23"/>
  <c r="G1318" i="23"/>
  <c r="G1317" i="23"/>
  <c r="G1316" i="23"/>
  <c r="G1315" i="23"/>
  <c r="G1314" i="23"/>
  <c r="G1313" i="23"/>
  <c r="G1312" i="23"/>
  <c r="G1311" i="23"/>
  <c r="G1310" i="23"/>
  <c r="G1309" i="23"/>
  <c r="G1308" i="23"/>
  <c r="G1307" i="23"/>
  <c r="G1306" i="23"/>
  <c r="G1305" i="23"/>
  <c r="G1304" i="23"/>
  <c r="G1303" i="23"/>
  <c r="G1302" i="23"/>
  <c r="G1301" i="23"/>
  <c r="G1300" i="23"/>
  <c r="G1299" i="23"/>
  <c r="G1298" i="23"/>
  <c r="G1297" i="23"/>
  <c r="G1296" i="23"/>
  <c r="G1295" i="23"/>
  <c r="G1294" i="23"/>
  <c r="G1293" i="23"/>
  <c r="G1292" i="23"/>
  <c r="G1291" i="23"/>
  <c r="G1290" i="23"/>
  <c r="G1289" i="23"/>
  <c r="G1288" i="23"/>
  <c r="G1287" i="23"/>
  <c r="G1286" i="23"/>
  <c r="G1285" i="23"/>
  <c r="G1284" i="23"/>
  <c r="G1283" i="23"/>
  <c r="G1282" i="23"/>
  <c r="G1281" i="23"/>
  <c r="G1280" i="23"/>
  <c r="G1279" i="23"/>
  <c r="G1278" i="23"/>
  <c r="G1277" i="23"/>
  <c r="G1276" i="23"/>
  <c r="G1275" i="23"/>
  <c r="G1274" i="23"/>
  <c r="G1273" i="23"/>
  <c r="G1272" i="23"/>
  <c r="G1271" i="23"/>
  <c r="G1270" i="23"/>
  <c r="G1269" i="23"/>
  <c r="G1268" i="23"/>
  <c r="G1267" i="23"/>
  <c r="G1266" i="23"/>
  <c r="G1265" i="23"/>
  <c r="G1264" i="23"/>
  <c r="G1263" i="23"/>
  <c r="G1262" i="23"/>
  <c r="G1261" i="23"/>
  <c r="G1260" i="23"/>
  <c r="G1259" i="23"/>
  <c r="G1258" i="23"/>
  <c r="G1257" i="23"/>
  <c r="G1256" i="23"/>
  <c r="G1255" i="23"/>
  <c r="G1254" i="23"/>
  <c r="G1253" i="23"/>
  <c r="G1252" i="23"/>
  <c r="G1251" i="23"/>
  <c r="G1250" i="23"/>
  <c r="G1249" i="23"/>
  <c r="G1248" i="23"/>
  <c r="G1247" i="23"/>
  <c r="G1246" i="23"/>
  <c r="G1245" i="23"/>
  <c r="G1244" i="23"/>
  <c r="G1243" i="23"/>
  <c r="G1242" i="23"/>
  <c r="G1241" i="23"/>
  <c r="G1240" i="23"/>
  <c r="G1239" i="23"/>
  <c r="G1238" i="23"/>
  <c r="G1237" i="23"/>
  <c r="G1236" i="23"/>
  <c r="G1235" i="23"/>
  <c r="G1234" i="23"/>
  <c r="G1233" i="23"/>
  <c r="G1232" i="23"/>
  <c r="G1231" i="23"/>
  <c r="G1230" i="23"/>
  <c r="G1229" i="23"/>
  <c r="G1228" i="23"/>
  <c r="G1227" i="23"/>
  <c r="G1226" i="23"/>
  <c r="G1225" i="23"/>
  <c r="G1224" i="23"/>
  <c r="G1223" i="23"/>
  <c r="G1222" i="23"/>
  <c r="G1221" i="23"/>
  <c r="G1220" i="23"/>
  <c r="G1219" i="23"/>
  <c r="G1218" i="23"/>
  <c r="G1217" i="23"/>
  <c r="G1216" i="23"/>
  <c r="G1215" i="23"/>
  <c r="G1214" i="23"/>
  <c r="G1213" i="23"/>
  <c r="G1212" i="23"/>
  <c r="G1211" i="23"/>
  <c r="G1210" i="23"/>
  <c r="G1209" i="23"/>
  <c r="G1208" i="23"/>
  <c r="G1207" i="23"/>
  <c r="G1206" i="23"/>
  <c r="G1205" i="23"/>
  <c r="G1204" i="23"/>
  <c r="G1203" i="23"/>
  <c r="G1202" i="23"/>
  <c r="G1201" i="23"/>
  <c r="G1200" i="23"/>
  <c r="G1199" i="23"/>
  <c r="G1198" i="23"/>
  <c r="G1197" i="23"/>
  <c r="G1196" i="23"/>
  <c r="G1195" i="23"/>
  <c r="G1194" i="23"/>
  <c r="G1193" i="23"/>
  <c r="G1192" i="23"/>
  <c r="G1191" i="23"/>
  <c r="G1190" i="23"/>
  <c r="G1189" i="23"/>
  <c r="G1188" i="23"/>
  <c r="G1187" i="23"/>
  <c r="G1186" i="23"/>
  <c r="G1185" i="23"/>
  <c r="G1184" i="23"/>
  <c r="G1183" i="23"/>
  <c r="G1182" i="23"/>
  <c r="G1181" i="23"/>
  <c r="G1180" i="23"/>
  <c r="G1179" i="23"/>
  <c r="G1178" i="23"/>
  <c r="G1177" i="23"/>
  <c r="G1176" i="23"/>
  <c r="G1175" i="23"/>
  <c r="G1174" i="23"/>
  <c r="G1173" i="23"/>
  <c r="G1172" i="23"/>
  <c r="G1171" i="23"/>
  <c r="G1170" i="23"/>
  <c r="G1169" i="23"/>
  <c r="G1168" i="23"/>
  <c r="G1167" i="23"/>
  <c r="G1166" i="23"/>
  <c r="G1165" i="23"/>
  <c r="G1164" i="23"/>
  <c r="G1163" i="23"/>
  <c r="G1162" i="23"/>
  <c r="G1161" i="23"/>
  <c r="G1160" i="23"/>
  <c r="G1159" i="23"/>
  <c r="G1158" i="23"/>
  <c r="G1157" i="23"/>
  <c r="G1156" i="23"/>
  <c r="G1155" i="23"/>
  <c r="G1154" i="23"/>
  <c r="G1153" i="23"/>
  <c r="G1152" i="23"/>
  <c r="G1151" i="23"/>
  <c r="G1150" i="23"/>
  <c r="G1149" i="23"/>
  <c r="G1148" i="23"/>
  <c r="G1147" i="23"/>
  <c r="G1146" i="23"/>
  <c r="G1145" i="23"/>
  <c r="G1144" i="23"/>
  <c r="G1143" i="23"/>
  <c r="G1142" i="23"/>
  <c r="G1141" i="23"/>
  <c r="G1140" i="23"/>
  <c r="G1139" i="23"/>
  <c r="G1138" i="23"/>
  <c r="G1137" i="23"/>
  <c r="G1136" i="23"/>
  <c r="G1135" i="23"/>
  <c r="G1134" i="23"/>
  <c r="G1133" i="23"/>
  <c r="G1132" i="23"/>
  <c r="G1131" i="23"/>
  <c r="G1130" i="23"/>
  <c r="G1129" i="23"/>
  <c r="G1128" i="23"/>
  <c r="G1127" i="23"/>
  <c r="G1126" i="23"/>
  <c r="G1125" i="23"/>
  <c r="G1124" i="23"/>
  <c r="G1123" i="23"/>
  <c r="G1122" i="23"/>
  <c r="G1121" i="23"/>
  <c r="G1120" i="23"/>
  <c r="G1119" i="23"/>
  <c r="G1118" i="23"/>
  <c r="G1117" i="23"/>
  <c r="G1116" i="23"/>
  <c r="G1115" i="23"/>
  <c r="G1114" i="23"/>
  <c r="G1113" i="23"/>
  <c r="G1112" i="23"/>
  <c r="G1111" i="23"/>
  <c r="G1110" i="23"/>
  <c r="G1109" i="23"/>
  <c r="G1108" i="23"/>
  <c r="G1107" i="23"/>
  <c r="G1106" i="23"/>
  <c r="G1105" i="23"/>
  <c r="G1104" i="23"/>
  <c r="G1103" i="23"/>
  <c r="G1102" i="23"/>
  <c r="G1101" i="23"/>
  <c r="G1100" i="23"/>
  <c r="G1099" i="23"/>
  <c r="G1098" i="23"/>
  <c r="G1097" i="23"/>
  <c r="G1096" i="23"/>
  <c r="G1095" i="23"/>
  <c r="G1094" i="23"/>
  <c r="G1093" i="23"/>
  <c r="G1092" i="23"/>
  <c r="G1091" i="23"/>
  <c r="G1090" i="23"/>
  <c r="G1089" i="23"/>
  <c r="G1088" i="23"/>
  <c r="G1087" i="23"/>
  <c r="G1086" i="23"/>
  <c r="G1085" i="23"/>
  <c r="G1084" i="23"/>
  <c r="G1083" i="23"/>
  <c r="G1082" i="23"/>
  <c r="G1081" i="23"/>
  <c r="G1080" i="23"/>
  <c r="G1079" i="23"/>
  <c r="G1078" i="23"/>
  <c r="G1077" i="23"/>
  <c r="G1076" i="23"/>
  <c r="G1075" i="23"/>
  <c r="G1074" i="23"/>
  <c r="G1073" i="23"/>
  <c r="G1072" i="23"/>
  <c r="G1071" i="23"/>
  <c r="G1070" i="23"/>
  <c r="G1069" i="23"/>
  <c r="G1068" i="23"/>
  <c r="G1067" i="23"/>
  <c r="G1066" i="23"/>
  <c r="G1065" i="23"/>
  <c r="G1064" i="23"/>
  <c r="G1063" i="23"/>
  <c r="G1062" i="23"/>
  <c r="G1061" i="23"/>
  <c r="G1060" i="23"/>
  <c r="G1059" i="23"/>
  <c r="G1058" i="23"/>
  <c r="G1057" i="23"/>
  <c r="G1056" i="23"/>
  <c r="G1055" i="23"/>
  <c r="G1054" i="23"/>
  <c r="G1053" i="23"/>
  <c r="G1052" i="23"/>
  <c r="G1051" i="23"/>
  <c r="G1050" i="23"/>
  <c r="G1049" i="23"/>
  <c r="G1048" i="23"/>
  <c r="G1047" i="23"/>
  <c r="G1046" i="23"/>
  <c r="G1045" i="23"/>
  <c r="G1044" i="23"/>
  <c r="G1043" i="23"/>
  <c r="G1042" i="23"/>
  <c r="G1041" i="23"/>
  <c r="G1040" i="23"/>
  <c r="G1039" i="23"/>
  <c r="G1038" i="23"/>
  <c r="G1037" i="23"/>
  <c r="G1036" i="23"/>
  <c r="G1035" i="23"/>
  <c r="G1034" i="23"/>
  <c r="G1033" i="23"/>
  <c r="G1032" i="23"/>
  <c r="G1031" i="23"/>
  <c r="G1030" i="23"/>
  <c r="G1029" i="23"/>
  <c r="G1028" i="23"/>
  <c r="G1027" i="23"/>
  <c r="G1026" i="23"/>
  <c r="G1025" i="23"/>
  <c r="G1024" i="23"/>
  <c r="G1023" i="23"/>
  <c r="G1022" i="23"/>
  <c r="G1021" i="23"/>
  <c r="G1020" i="23"/>
  <c r="G1019" i="23"/>
  <c r="G1018" i="23"/>
  <c r="G1017" i="23"/>
  <c r="G1016" i="23"/>
  <c r="G1015" i="23"/>
  <c r="G1014" i="23"/>
  <c r="G1013" i="23"/>
  <c r="G1012" i="23"/>
  <c r="G1011" i="23"/>
  <c r="G1010" i="23"/>
  <c r="G1009" i="23"/>
  <c r="G1008" i="23"/>
  <c r="G1007" i="23"/>
  <c r="G1006" i="23"/>
  <c r="G1005" i="23"/>
  <c r="G1004" i="23"/>
  <c r="G1003" i="23"/>
  <c r="G1002" i="23"/>
  <c r="G1001" i="23"/>
  <c r="G1000" i="23"/>
  <c r="G999" i="23"/>
  <c r="G998" i="23"/>
  <c r="G997" i="23"/>
  <c r="G996" i="23"/>
  <c r="G995" i="23"/>
  <c r="G994" i="23"/>
  <c r="G993" i="23"/>
  <c r="G992" i="23"/>
  <c r="G991" i="23"/>
  <c r="G990" i="23"/>
  <c r="G989" i="23"/>
  <c r="G988" i="23"/>
  <c r="G987" i="23"/>
  <c r="G986" i="23"/>
  <c r="G985" i="23"/>
  <c r="G984" i="23"/>
  <c r="G983" i="23"/>
  <c r="G982" i="23"/>
  <c r="G981" i="23"/>
  <c r="G980" i="23"/>
  <c r="G979" i="23"/>
  <c r="G978" i="23"/>
  <c r="G977" i="23"/>
  <c r="G976" i="23"/>
  <c r="G975" i="23"/>
  <c r="G974" i="23"/>
  <c r="G973" i="23"/>
  <c r="G972" i="23"/>
  <c r="G971" i="23"/>
  <c r="G970" i="23"/>
  <c r="G969" i="23"/>
  <c r="G968" i="23"/>
  <c r="G967" i="23"/>
  <c r="G966" i="23"/>
  <c r="G965" i="23"/>
  <c r="G964" i="23"/>
  <c r="G963" i="23"/>
  <c r="G962" i="23"/>
  <c r="G961" i="23"/>
  <c r="G960" i="23"/>
  <c r="G959" i="23"/>
  <c r="G958" i="23"/>
  <c r="G957" i="23"/>
  <c r="G956" i="23"/>
  <c r="G955" i="23"/>
  <c r="G954" i="23"/>
  <c r="G953" i="23"/>
  <c r="G952" i="23"/>
  <c r="G951" i="23"/>
  <c r="G950" i="23"/>
  <c r="G949" i="23"/>
  <c r="G948" i="23"/>
  <c r="G947" i="23"/>
  <c r="G946" i="23"/>
  <c r="G945" i="23"/>
  <c r="G944" i="23"/>
  <c r="G943" i="23"/>
  <c r="G942" i="23"/>
  <c r="G941" i="23"/>
  <c r="G940" i="23"/>
  <c r="G939" i="23"/>
  <c r="G938" i="23"/>
  <c r="G937" i="23"/>
  <c r="G936" i="23"/>
  <c r="G935" i="23"/>
  <c r="G934" i="23"/>
  <c r="G933" i="23"/>
  <c r="G932" i="23"/>
  <c r="G931" i="23"/>
  <c r="G930" i="23"/>
  <c r="G929" i="23"/>
  <c r="G928" i="23"/>
  <c r="G927" i="23"/>
  <c r="G926" i="23"/>
  <c r="G925" i="23"/>
  <c r="G924" i="23"/>
  <c r="G923" i="23"/>
  <c r="G922" i="23"/>
  <c r="G921" i="23"/>
  <c r="G920" i="23"/>
  <c r="G919" i="23"/>
  <c r="G918" i="23"/>
  <c r="G917" i="23"/>
  <c r="G916" i="23"/>
  <c r="G915" i="23"/>
  <c r="G914" i="23"/>
  <c r="G913" i="23"/>
  <c r="G912" i="23"/>
  <c r="G911" i="23"/>
  <c r="G910" i="23"/>
  <c r="G909" i="23"/>
  <c r="G908" i="23"/>
  <c r="G907" i="23"/>
  <c r="G906" i="23"/>
  <c r="G905" i="23"/>
  <c r="G904" i="23"/>
  <c r="G903" i="23"/>
  <c r="G902" i="23"/>
  <c r="G901" i="23"/>
  <c r="G900" i="23"/>
  <c r="G899" i="23"/>
  <c r="G898" i="23"/>
  <c r="G897" i="23"/>
  <c r="G896" i="23"/>
  <c r="G895" i="23"/>
  <c r="G894" i="23"/>
  <c r="G893" i="23"/>
  <c r="G892" i="23"/>
  <c r="G891" i="23"/>
  <c r="G890" i="23"/>
  <c r="G889" i="23"/>
  <c r="G888" i="23"/>
  <c r="G887" i="23"/>
  <c r="G886" i="23"/>
  <c r="G885" i="23"/>
  <c r="G884" i="23"/>
  <c r="G883" i="23"/>
  <c r="G882" i="23"/>
  <c r="G881" i="23"/>
  <c r="G880" i="23"/>
  <c r="G879" i="23"/>
  <c r="G878" i="23"/>
  <c r="G877" i="23"/>
  <c r="G876" i="23"/>
  <c r="G875" i="23"/>
  <c r="G874" i="23"/>
  <c r="G873" i="23"/>
  <c r="G872" i="23"/>
  <c r="G871" i="23"/>
  <c r="G870" i="23"/>
  <c r="G869" i="23"/>
  <c r="G868" i="23"/>
  <c r="G867" i="23"/>
  <c r="G866" i="23"/>
  <c r="G865" i="23"/>
  <c r="G864" i="23"/>
  <c r="G863" i="23"/>
  <c r="G862" i="23"/>
  <c r="G861" i="23"/>
  <c r="G860" i="23"/>
  <c r="G859" i="23"/>
  <c r="G858" i="23"/>
  <c r="G857" i="23"/>
  <c r="G856" i="23"/>
  <c r="G855" i="23"/>
  <c r="G854" i="23"/>
  <c r="G853" i="23"/>
  <c r="G852" i="23"/>
  <c r="G851" i="23"/>
  <c r="G850" i="23"/>
  <c r="G849" i="23"/>
  <c r="G848" i="23"/>
  <c r="G847" i="23"/>
  <c r="G846" i="23"/>
  <c r="G845" i="23"/>
  <c r="G844" i="23"/>
  <c r="G843" i="23"/>
  <c r="G842" i="23"/>
  <c r="G841" i="23"/>
  <c r="G840" i="23"/>
  <c r="G839" i="23"/>
  <c r="G838" i="23"/>
  <c r="G837" i="23"/>
  <c r="G836" i="23"/>
  <c r="G835" i="23"/>
  <c r="G834" i="23"/>
  <c r="G833" i="23"/>
  <c r="G832" i="23"/>
  <c r="G831" i="23"/>
  <c r="G830" i="23"/>
  <c r="G829" i="23"/>
  <c r="G828" i="23"/>
  <c r="G827" i="23"/>
  <c r="G826" i="23"/>
  <c r="G825" i="23"/>
  <c r="G824" i="23"/>
  <c r="G823" i="23"/>
  <c r="G822" i="23"/>
  <c r="G821" i="23"/>
  <c r="G820" i="23"/>
  <c r="G819" i="23"/>
  <c r="G818" i="23"/>
  <c r="G817" i="23"/>
  <c r="G816" i="23"/>
  <c r="G815" i="23"/>
  <c r="G814" i="23"/>
  <c r="G813" i="23"/>
  <c r="G812" i="23"/>
  <c r="G811" i="23"/>
  <c r="G810" i="23"/>
  <c r="G809" i="23"/>
  <c r="G808" i="23"/>
  <c r="G807" i="23"/>
  <c r="G806" i="23"/>
  <c r="G805" i="23"/>
  <c r="G804" i="23"/>
  <c r="G803" i="23"/>
  <c r="G802" i="23"/>
  <c r="G801" i="23"/>
  <c r="G800" i="23"/>
  <c r="G799" i="23"/>
  <c r="G798" i="23"/>
  <c r="G797" i="23"/>
  <c r="G796" i="23"/>
  <c r="G795" i="23"/>
  <c r="G794" i="23"/>
  <c r="G793" i="23"/>
  <c r="G792" i="23"/>
  <c r="G791" i="23"/>
  <c r="G790" i="23"/>
  <c r="G789" i="23"/>
  <c r="G788" i="23"/>
  <c r="G787" i="23"/>
  <c r="G786" i="23"/>
  <c r="G785" i="23"/>
  <c r="G784" i="23"/>
  <c r="G783" i="23"/>
  <c r="G782" i="23"/>
  <c r="G781" i="23"/>
  <c r="G780" i="23"/>
  <c r="G779" i="23"/>
  <c r="G778" i="23"/>
  <c r="G777" i="23"/>
  <c r="G776" i="23"/>
  <c r="G775" i="23"/>
  <c r="G774" i="23"/>
  <c r="G773" i="23"/>
  <c r="G772" i="23"/>
  <c r="G771" i="23"/>
  <c r="G770" i="23"/>
  <c r="G769" i="23"/>
  <c r="G768" i="23"/>
  <c r="G767" i="23"/>
  <c r="G766" i="23"/>
  <c r="G765" i="23"/>
  <c r="G764" i="23"/>
  <c r="G763" i="23"/>
  <c r="G762" i="23"/>
  <c r="G761" i="23"/>
  <c r="G760" i="23"/>
  <c r="G759" i="23"/>
  <c r="G758" i="23"/>
  <c r="G757" i="23"/>
  <c r="G756" i="23"/>
  <c r="G755" i="23"/>
  <c r="G754" i="23"/>
  <c r="G753" i="23"/>
  <c r="G752" i="23"/>
  <c r="G751" i="23"/>
  <c r="G750" i="23"/>
  <c r="G749" i="23"/>
  <c r="G748" i="23"/>
  <c r="G747" i="23"/>
  <c r="G746" i="23"/>
  <c r="G745" i="23"/>
  <c r="G744" i="23"/>
  <c r="G743" i="23"/>
  <c r="G742" i="23"/>
  <c r="G741" i="23"/>
  <c r="G740" i="23"/>
  <c r="G739" i="23"/>
  <c r="G738" i="23"/>
  <c r="G737" i="23"/>
  <c r="G736" i="23"/>
  <c r="G735" i="23"/>
  <c r="G734" i="23"/>
  <c r="G733" i="23"/>
  <c r="G732" i="23"/>
  <c r="G731" i="23"/>
  <c r="G730" i="23"/>
  <c r="G729" i="23"/>
  <c r="G728" i="23"/>
  <c r="G727" i="23"/>
  <c r="G726" i="23"/>
  <c r="G725" i="23"/>
  <c r="G724" i="23"/>
  <c r="G723" i="23"/>
  <c r="G722" i="23"/>
  <c r="G721" i="23"/>
  <c r="G720" i="23"/>
  <c r="G719" i="23"/>
  <c r="G718" i="23"/>
  <c r="G717" i="23"/>
  <c r="G716" i="23"/>
  <c r="G715" i="23"/>
  <c r="G714" i="23"/>
  <c r="G713" i="23"/>
  <c r="G712" i="23"/>
  <c r="G711" i="23"/>
  <c r="G710" i="23"/>
  <c r="G709" i="23"/>
  <c r="G708" i="23"/>
  <c r="G707" i="23"/>
  <c r="G706" i="23"/>
  <c r="G705" i="23"/>
  <c r="G704" i="23"/>
  <c r="G703" i="23"/>
  <c r="G702" i="23"/>
  <c r="G701" i="23"/>
  <c r="G700" i="23"/>
  <c r="G699" i="23"/>
  <c r="G698" i="23"/>
  <c r="G697" i="23"/>
  <c r="G696" i="23"/>
  <c r="G695" i="23"/>
  <c r="G694" i="23"/>
  <c r="G693" i="23"/>
  <c r="G692" i="23"/>
  <c r="G691" i="23"/>
  <c r="G690" i="23"/>
  <c r="G689" i="23"/>
  <c r="G688" i="23"/>
  <c r="G687" i="23"/>
  <c r="G686" i="23"/>
  <c r="G685" i="23"/>
  <c r="G684" i="23"/>
  <c r="G683" i="23"/>
  <c r="G682" i="23"/>
  <c r="G681" i="23"/>
  <c r="G680" i="23"/>
  <c r="G679" i="23"/>
  <c r="G678" i="23"/>
  <c r="G677" i="23"/>
  <c r="G676" i="23"/>
  <c r="G675" i="23"/>
  <c r="G674" i="23"/>
  <c r="G673" i="23"/>
  <c r="G672" i="23"/>
  <c r="G671" i="23"/>
  <c r="G670" i="23"/>
  <c r="G669" i="23"/>
  <c r="G668" i="23"/>
  <c r="G667" i="23"/>
  <c r="G666" i="23"/>
  <c r="G665" i="23"/>
  <c r="G664" i="23"/>
  <c r="G663" i="23"/>
  <c r="G662" i="23"/>
  <c r="G661" i="23"/>
  <c r="G660" i="23"/>
  <c r="G659" i="23"/>
  <c r="G658" i="23"/>
  <c r="G657" i="23"/>
  <c r="G656" i="23"/>
  <c r="G655" i="23"/>
  <c r="G654" i="23"/>
  <c r="G653" i="23"/>
  <c r="G652" i="23"/>
  <c r="G651" i="23"/>
  <c r="G650" i="23"/>
  <c r="G649" i="23"/>
  <c r="G648" i="23"/>
  <c r="G647" i="23"/>
  <c r="G646" i="23"/>
  <c r="G645" i="23"/>
  <c r="G644" i="23"/>
  <c r="G643" i="23"/>
  <c r="G642" i="23"/>
  <c r="G641" i="23"/>
  <c r="G640" i="23"/>
  <c r="G639" i="23"/>
  <c r="G638" i="23"/>
  <c r="G637" i="23"/>
  <c r="G636" i="23"/>
  <c r="G635" i="23"/>
  <c r="G634" i="23"/>
  <c r="G633" i="23"/>
  <c r="G632" i="23"/>
  <c r="G631" i="23"/>
  <c r="G630" i="23"/>
  <c r="G629" i="23"/>
  <c r="G628" i="23"/>
  <c r="G627" i="23"/>
  <c r="G626" i="23"/>
  <c r="G625" i="23"/>
  <c r="G624" i="23"/>
  <c r="G623" i="23"/>
  <c r="G622" i="23"/>
  <c r="G621" i="23"/>
  <c r="G620" i="23"/>
  <c r="G619" i="23"/>
  <c r="G618" i="23"/>
  <c r="G617" i="23"/>
  <c r="G616" i="23"/>
  <c r="G615" i="23"/>
  <c r="G614" i="23"/>
  <c r="G613" i="23"/>
  <c r="G612" i="23"/>
  <c r="G611" i="23"/>
  <c r="G610" i="23"/>
  <c r="G609" i="23"/>
  <c r="G608" i="23"/>
  <c r="G607" i="23"/>
  <c r="G606" i="23"/>
  <c r="G605" i="23"/>
  <c r="G604" i="23"/>
  <c r="G603" i="23"/>
  <c r="G602" i="23"/>
  <c r="G601" i="23"/>
  <c r="G600" i="23"/>
  <c r="G599" i="23"/>
  <c r="G598" i="23"/>
  <c r="G597" i="23"/>
  <c r="G596" i="23"/>
  <c r="G595" i="23"/>
  <c r="G594" i="23"/>
  <c r="G593" i="23"/>
  <c r="G592" i="23"/>
  <c r="G591" i="23"/>
  <c r="G590" i="23"/>
  <c r="G589" i="23"/>
  <c r="G588" i="23"/>
  <c r="G587" i="23"/>
  <c r="G586" i="23"/>
  <c r="G585" i="23"/>
  <c r="G584" i="23"/>
  <c r="G583" i="23"/>
  <c r="G582" i="23"/>
  <c r="G581" i="23"/>
  <c r="G580" i="23"/>
  <c r="G579" i="23"/>
  <c r="G578" i="23"/>
  <c r="G577" i="23"/>
  <c r="G576" i="23"/>
  <c r="G575" i="23"/>
  <c r="G574" i="23"/>
  <c r="G573" i="23"/>
  <c r="G572" i="23"/>
  <c r="G571" i="23"/>
  <c r="G570" i="23"/>
  <c r="G569" i="23"/>
  <c r="G568" i="23"/>
  <c r="G567" i="23"/>
  <c r="G566" i="23"/>
  <c r="G565" i="23"/>
  <c r="G564" i="23"/>
  <c r="G563" i="23"/>
  <c r="G562" i="23"/>
  <c r="G561" i="23"/>
  <c r="G560" i="23"/>
  <c r="G559" i="23"/>
  <c r="G558" i="23"/>
  <c r="G557" i="23"/>
  <c r="G556" i="23"/>
  <c r="G555" i="23"/>
  <c r="G554" i="23"/>
  <c r="G553" i="23"/>
  <c r="G552" i="23"/>
  <c r="G551" i="23"/>
  <c r="G550" i="23"/>
  <c r="G549" i="23"/>
  <c r="G548" i="23"/>
  <c r="G547" i="23"/>
  <c r="G546" i="23"/>
  <c r="G545" i="23"/>
  <c r="G544" i="23"/>
  <c r="G543" i="23"/>
  <c r="G542" i="23"/>
  <c r="G541" i="23"/>
  <c r="G540" i="23"/>
  <c r="G539" i="23"/>
  <c r="G538" i="23"/>
  <c r="G537" i="23"/>
  <c r="G536" i="23"/>
  <c r="G535" i="23"/>
  <c r="G534" i="23"/>
  <c r="G533" i="23"/>
  <c r="G532" i="23"/>
  <c r="G531" i="23"/>
  <c r="G530" i="23"/>
  <c r="G529" i="23"/>
  <c r="G528" i="23"/>
  <c r="G527" i="23"/>
  <c r="G526" i="23"/>
  <c r="G525" i="23"/>
  <c r="G524" i="23"/>
  <c r="G523" i="23"/>
  <c r="G522" i="23"/>
  <c r="G521" i="23"/>
  <c r="G520" i="23"/>
  <c r="G519" i="23"/>
  <c r="G518" i="23"/>
  <c r="G517" i="23"/>
  <c r="G516" i="23"/>
  <c r="G515" i="23"/>
  <c r="G514" i="23"/>
  <c r="G513" i="23"/>
  <c r="G512" i="23"/>
  <c r="G511" i="23"/>
  <c r="G510" i="23"/>
  <c r="G509" i="23"/>
  <c r="G508" i="23"/>
  <c r="G507" i="23"/>
  <c r="G506" i="23"/>
  <c r="G505" i="23"/>
  <c r="G504" i="23"/>
  <c r="G503" i="23"/>
  <c r="G502" i="23"/>
  <c r="G501" i="23"/>
  <c r="G500" i="23"/>
  <c r="G499" i="23"/>
  <c r="G498" i="23"/>
  <c r="G497" i="23"/>
  <c r="G496" i="23"/>
  <c r="G495" i="23"/>
  <c r="G494" i="23"/>
  <c r="G493" i="23"/>
  <c r="G492" i="23"/>
  <c r="G491" i="23"/>
  <c r="G490" i="23"/>
  <c r="G489" i="23"/>
  <c r="G488" i="23"/>
  <c r="G487" i="23"/>
  <c r="G486" i="23"/>
  <c r="G485" i="23"/>
  <c r="G484" i="23"/>
  <c r="G483" i="23"/>
  <c r="G482" i="23"/>
  <c r="G481" i="23"/>
  <c r="G480" i="23"/>
  <c r="G479" i="23"/>
  <c r="G478" i="23"/>
  <c r="G477" i="23"/>
  <c r="G476" i="23"/>
  <c r="G475" i="23"/>
  <c r="G474" i="23"/>
  <c r="G473" i="23"/>
  <c r="G472" i="23"/>
  <c r="G471" i="23"/>
  <c r="G470" i="23"/>
  <c r="G469" i="23"/>
  <c r="G468" i="23"/>
  <c r="G467" i="23"/>
  <c r="G466" i="23"/>
  <c r="G465" i="23"/>
  <c r="G464" i="23"/>
  <c r="G463" i="23"/>
  <c r="G462" i="23"/>
  <c r="G461" i="23"/>
  <c r="G460" i="23"/>
  <c r="G459" i="23"/>
  <c r="G458" i="23"/>
  <c r="G457" i="23"/>
  <c r="G456" i="23"/>
  <c r="G455" i="23"/>
  <c r="G454" i="23"/>
  <c r="G453" i="23"/>
  <c r="G452" i="23"/>
  <c r="G451" i="23"/>
  <c r="G450" i="23"/>
  <c r="G449" i="23"/>
  <c r="G448" i="23"/>
  <c r="G447" i="23"/>
  <c r="G446" i="23"/>
  <c r="G445" i="23"/>
  <c r="G444" i="23"/>
  <c r="G443" i="23"/>
  <c r="G442" i="23"/>
  <c r="G441" i="23"/>
  <c r="G440" i="23"/>
  <c r="G439" i="23"/>
  <c r="G438" i="23"/>
  <c r="G437" i="23"/>
  <c r="G436" i="23"/>
  <c r="G435" i="23"/>
  <c r="G434" i="23"/>
  <c r="G433" i="23"/>
  <c r="G432" i="23"/>
  <c r="G431" i="23"/>
  <c r="G430" i="23"/>
  <c r="G429" i="23"/>
  <c r="G428" i="23"/>
  <c r="G427" i="23"/>
  <c r="G426" i="23"/>
  <c r="G425" i="23"/>
  <c r="G424" i="23"/>
  <c r="G423" i="23"/>
  <c r="G422" i="23"/>
  <c r="G421" i="23"/>
  <c r="G420" i="23"/>
  <c r="G419" i="23"/>
  <c r="G418" i="23"/>
  <c r="G417" i="23"/>
  <c r="G416" i="23"/>
  <c r="G415" i="23"/>
  <c r="G414" i="23"/>
  <c r="G413" i="23"/>
  <c r="G412" i="23"/>
  <c r="G411" i="23"/>
  <c r="G410" i="23"/>
  <c r="G409" i="23"/>
  <c r="G408" i="23"/>
  <c r="G407" i="23"/>
  <c r="G406" i="23"/>
  <c r="G405" i="23"/>
  <c r="G404" i="23"/>
  <c r="G403" i="23"/>
  <c r="G402" i="23"/>
  <c r="G401" i="23"/>
  <c r="G400" i="23"/>
  <c r="G399" i="23"/>
  <c r="G398" i="23"/>
  <c r="G397" i="23"/>
  <c r="G396" i="23"/>
  <c r="G395" i="23"/>
  <c r="G394" i="23"/>
  <c r="G393" i="23"/>
  <c r="G392" i="23"/>
  <c r="G391" i="23"/>
  <c r="G390" i="23"/>
  <c r="G389" i="23"/>
  <c r="G388" i="23"/>
  <c r="G387" i="23"/>
  <c r="G386" i="23"/>
  <c r="G385" i="23"/>
  <c r="G384" i="23"/>
  <c r="G383" i="23"/>
  <c r="G382" i="23"/>
  <c r="G381" i="23"/>
  <c r="G380" i="23"/>
  <c r="G379" i="23"/>
  <c r="G378" i="23"/>
  <c r="G377" i="23"/>
  <c r="G376" i="23"/>
  <c r="G375" i="23"/>
  <c r="G374" i="23"/>
  <c r="G373" i="23"/>
  <c r="G372" i="23"/>
  <c r="G371" i="23"/>
  <c r="G370" i="23"/>
  <c r="G369" i="23"/>
  <c r="G368" i="23"/>
  <c r="G367" i="23"/>
  <c r="G366" i="23"/>
  <c r="G365" i="23"/>
  <c r="G364" i="23"/>
  <c r="G363" i="23"/>
  <c r="G362" i="23"/>
  <c r="G361" i="23"/>
  <c r="G360" i="23"/>
  <c r="G359" i="23"/>
  <c r="G358" i="23"/>
  <c r="G357" i="23"/>
  <c r="G356" i="23"/>
  <c r="G355" i="23"/>
  <c r="G354" i="23"/>
  <c r="G353" i="23"/>
  <c r="G352" i="23"/>
  <c r="G351" i="23"/>
  <c r="G350" i="23"/>
  <c r="G349" i="23"/>
  <c r="G348" i="23"/>
  <c r="G347" i="23"/>
  <c r="G346" i="23"/>
  <c r="G345" i="23"/>
  <c r="G344" i="23"/>
  <c r="G343" i="23"/>
  <c r="G342" i="23"/>
  <c r="G341" i="23"/>
  <c r="G340" i="23"/>
  <c r="G339" i="23"/>
  <c r="G338" i="23"/>
  <c r="G337" i="23"/>
  <c r="G336" i="23"/>
  <c r="G335" i="23"/>
  <c r="G334" i="23"/>
  <c r="G333" i="23"/>
  <c r="G332" i="23"/>
  <c r="G331" i="23"/>
  <c r="G330" i="23"/>
  <c r="G329" i="23"/>
  <c r="G328" i="23"/>
  <c r="G327" i="23"/>
  <c r="G326" i="23"/>
  <c r="G325" i="23"/>
  <c r="G324" i="23"/>
  <c r="G323" i="23"/>
  <c r="G322" i="23"/>
  <c r="G321" i="23"/>
  <c r="G320" i="23"/>
  <c r="G319" i="23"/>
  <c r="G318" i="23"/>
  <c r="G317" i="23"/>
  <c r="G316" i="23"/>
  <c r="G315" i="23"/>
  <c r="G314" i="23"/>
  <c r="G313" i="23"/>
  <c r="G312" i="23"/>
  <c r="G311" i="23"/>
  <c r="G310" i="23"/>
  <c r="G309" i="23"/>
  <c r="G308" i="23"/>
  <c r="G307" i="23"/>
  <c r="G306" i="23"/>
  <c r="G305" i="23"/>
  <c r="G304" i="23"/>
  <c r="G303" i="23"/>
  <c r="G302" i="23"/>
  <c r="G301" i="23"/>
  <c r="G300" i="23"/>
  <c r="G299" i="23"/>
  <c r="G298" i="23"/>
  <c r="G297" i="23"/>
  <c r="G296" i="23"/>
  <c r="G295" i="23"/>
  <c r="G294" i="23"/>
  <c r="G293" i="23"/>
  <c r="G292" i="23"/>
  <c r="G291" i="23"/>
  <c r="G290" i="23"/>
  <c r="G289" i="23"/>
  <c r="G288" i="23"/>
  <c r="G287" i="23"/>
  <c r="G286" i="23"/>
  <c r="G285" i="23"/>
  <c r="G284" i="23"/>
  <c r="G283" i="23"/>
  <c r="G282" i="23"/>
  <c r="G281" i="23"/>
  <c r="G280" i="23"/>
  <c r="G279" i="23"/>
  <c r="G278" i="23"/>
  <c r="G277" i="23"/>
  <c r="G276" i="23"/>
  <c r="G275" i="23"/>
  <c r="G274" i="23"/>
  <c r="G273" i="23"/>
  <c r="G272" i="23"/>
  <c r="G271" i="23"/>
  <c r="G270" i="23"/>
  <c r="G269" i="23"/>
  <c r="G268" i="23"/>
  <c r="G267" i="23"/>
  <c r="G266" i="23"/>
  <c r="G265" i="23"/>
  <c r="G264" i="23"/>
  <c r="G263" i="23"/>
  <c r="G262" i="23"/>
  <c r="G261" i="23"/>
  <c r="G260" i="23"/>
  <c r="G259" i="23"/>
  <c r="G258" i="23"/>
  <c r="G257" i="23"/>
  <c r="G256" i="23"/>
  <c r="G255" i="23"/>
  <c r="G254" i="23"/>
  <c r="G253" i="23"/>
  <c r="G252" i="23"/>
  <c r="G251" i="23"/>
  <c r="G250" i="23"/>
  <c r="G249" i="23"/>
  <c r="G248" i="23"/>
  <c r="G247" i="23"/>
  <c r="G246" i="23"/>
  <c r="G245" i="23"/>
  <c r="G244" i="23"/>
  <c r="G243" i="23"/>
  <c r="G242" i="23"/>
  <c r="G241" i="23"/>
  <c r="G240" i="23"/>
  <c r="G239" i="23"/>
  <c r="G238" i="23"/>
  <c r="G237" i="23"/>
  <c r="G236" i="23"/>
  <c r="G235" i="23"/>
  <c r="G234" i="23"/>
  <c r="G233" i="23"/>
  <c r="G232" i="23"/>
  <c r="G231" i="23"/>
  <c r="G230" i="23"/>
  <c r="G229" i="23"/>
  <c r="G228" i="23"/>
  <c r="G227" i="23"/>
  <c r="G226" i="23"/>
  <c r="G225" i="23"/>
  <c r="G224" i="23"/>
  <c r="G223" i="23"/>
  <c r="G222" i="23"/>
  <c r="G221" i="23"/>
  <c r="G220" i="23"/>
  <c r="G219" i="23"/>
  <c r="G218" i="23"/>
  <c r="G217" i="23"/>
  <c r="G216" i="23"/>
  <c r="G215" i="23"/>
  <c r="G214" i="23"/>
  <c r="G213" i="23"/>
  <c r="G212" i="23"/>
  <c r="G211" i="23"/>
  <c r="G210" i="23"/>
  <c r="G209" i="23"/>
  <c r="G208" i="23"/>
  <c r="G207" i="23"/>
  <c r="G206" i="23"/>
  <c r="G205" i="23"/>
  <c r="G204" i="23"/>
  <c r="G203" i="23"/>
  <c r="G202" i="23"/>
  <c r="G201" i="23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G1681" i="24"/>
  <c r="G1680" i="24"/>
  <c r="G1679" i="24"/>
  <c r="G1678" i="24"/>
  <c r="G1677" i="24"/>
  <c r="G1676" i="24"/>
  <c r="G1675" i="24"/>
  <c r="G1674" i="24"/>
  <c r="G1673" i="24"/>
  <c r="G1672" i="24"/>
  <c r="G1671" i="24"/>
  <c r="G1670" i="24"/>
  <c r="G1669" i="24"/>
  <c r="G1668" i="24"/>
  <c r="G1667" i="24"/>
  <c r="G1666" i="24"/>
  <c r="G1665" i="24"/>
  <c r="G1664" i="24"/>
  <c r="G1663" i="24"/>
  <c r="G1662" i="24"/>
  <c r="G1661" i="24"/>
  <c r="G1660" i="24"/>
  <c r="G1659" i="24"/>
  <c r="G1658" i="24"/>
  <c r="G1657" i="24"/>
  <c r="G1656" i="24"/>
  <c r="G1655" i="24"/>
  <c r="G1654" i="24"/>
  <c r="G1653" i="24"/>
  <c r="G1652" i="24"/>
  <c r="G1651" i="24"/>
  <c r="G1650" i="24"/>
  <c r="G1649" i="24"/>
  <c r="G1648" i="24"/>
  <c r="G1647" i="24"/>
  <c r="G1646" i="24"/>
  <c r="G1645" i="24"/>
  <c r="G1644" i="24"/>
  <c r="G1643" i="24"/>
  <c r="G1642" i="24"/>
  <c r="G1641" i="24"/>
  <c r="G1640" i="24"/>
  <c r="G1639" i="24"/>
  <c r="G1638" i="24"/>
  <c r="G1637" i="24"/>
  <c r="G1636" i="24"/>
  <c r="G1635" i="24"/>
  <c r="G1634" i="24"/>
  <c r="G1633" i="24"/>
  <c r="G1632" i="24"/>
  <c r="G1631" i="24"/>
  <c r="G1630" i="24"/>
  <c r="G1629" i="24"/>
  <c r="G1628" i="24"/>
  <c r="G1627" i="24"/>
  <c r="G1626" i="24"/>
  <c r="G1625" i="24"/>
  <c r="G1624" i="24"/>
  <c r="G1623" i="24"/>
  <c r="G1622" i="24"/>
  <c r="G1621" i="24"/>
  <c r="G1620" i="24"/>
  <c r="G1619" i="24"/>
  <c r="G1618" i="24"/>
  <c r="G1617" i="24"/>
  <c r="G1616" i="24"/>
  <c r="G1615" i="24"/>
  <c r="G1614" i="24"/>
  <c r="G1613" i="24"/>
  <c r="G1612" i="24"/>
  <c r="G1611" i="24"/>
  <c r="G1610" i="24"/>
  <c r="G1609" i="24"/>
  <c r="G1608" i="24"/>
  <c r="G1607" i="24"/>
  <c r="G1606" i="24"/>
  <c r="G1605" i="24"/>
  <c r="G1604" i="24"/>
  <c r="G1603" i="24"/>
  <c r="G1602" i="24"/>
  <c r="G1601" i="24"/>
  <c r="G1600" i="24"/>
  <c r="G1599" i="24"/>
  <c r="G1598" i="24"/>
  <c r="G1597" i="24"/>
  <c r="G1596" i="24"/>
  <c r="G1595" i="24"/>
  <c r="G1594" i="24"/>
  <c r="G1593" i="24"/>
  <c r="G1592" i="24"/>
  <c r="G1591" i="24"/>
  <c r="G1590" i="24"/>
  <c r="G1589" i="24"/>
  <c r="G1588" i="24"/>
  <c r="G1587" i="24"/>
  <c r="G1586" i="24"/>
  <c r="G1585" i="24"/>
  <c r="G1584" i="24"/>
  <c r="G1583" i="24"/>
  <c r="G1582" i="24"/>
  <c r="G1581" i="24"/>
  <c r="G1580" i="24"/>
  <c r="G1579" i="24"/>
  <c r="G1578" i="24"/>
  <c r="G1577" i="24"/>
  <c r="G1576" i="24"/>
  <c r="G1575" i="24"/>
  <c r="G1574" i="24"/>
  <c r="G1573" i="24"/>
  <c r="G1572" i="24"/>
  <c r="G1571" i="24"/>
  <c r="G1570" i="24"/>
  <c r="G1569" i="24"/>
  <c r="G1568" i="24"/>
  <c r="G1567" i="24"/>
  <c r="G1566" i="24"/>
  <c r="G1565" i="24"/>
  <c r="G1564" i="24"/>
  <c r="G1563" i="24"/>
  <c r="G1562" i="24"/>
  <c r="G1561" i="24"/>
  <c r="G1560" i="24"/>
  <c r="G1559" i="24"/>
  <c r="G1558" i="24"/>
  <c r="G1557" i="24"/>
  <c r="G1556" i="24"/>
  <c r="G1555" i="24"/>
  <c r="G1554" i="24"/>
  <c r="G1553" i="24"/>
  <c r="G1552" i="24"/>
  <c r="G1551" i="24"/>
  <c r="G1550" i="24"/>
  <c r="G1549" i="24"/>
  <c r="G1548" i="24"/>
  <c r="G1547" i="24"/>
  <c r="G1546" i="24"/>
  <c r="G1545" i="24"/>
  <c r="G1544" i="24"/>
  <c r="G1543" i="24"/>
  <c r="G1542" i="24"/>
  <c r="G1541" i="24"/>
  <c r="G1540" i="24"/>
  <c r="G1539" i="24"/>
  <c r="G1538" i="24"/>
  <c r="G1537" i="24"/>
  <c r="G1536" i="24"/>
  <c r="G1535" i="24"/>
  <c r="G1534" i="24"/>
  <c r="G1533" i="24"/>
  <c r="G1532" i="24"/>
  <c r="G1531" i="24"/>
  <c r="G1530" i="24"/>
  <c r="G1529" i="24"/>
  <c r="G1528" i="24"/>
  <c r="G1527" i="24"/>
  <c r="G1526" i="24"/>
  <c r="G1525" i="24"/>
  <c r="G1524" i="24"/>
  <c r="G1523" i="24"/>
  <c r="G1522" i="24"/>
  <c r="G1521" i="24"/>
  <c r="G1520" i="24"/>
  <c r="G1519" i="24"/>
  <c r="G1518" i="24"/>
  <c r="G1517" i="24"/>
  <c r="G1516" i="24"/>
  <c r="G1515" i="24"/>
  <c r="G1514" i="24"/>
  <c r="G1513" i="24"/>
  <c r="G1512" i="24"/>
  <c r="G1511" i="24"/>
  <c r="G1510" i="24"/>
  <c r="G1509" i="24"/>
  <c r="G1508" i="24"/>
  <c r="G1507" i="24"/>
  <c r="G1506" i="24"/>
  <c r="G1505" i="24"/>
  <c r="G1504" i="24"/>
  <c r="G1503" i="24"/>
  <c r="G1502" i="24"/>
  <c r="G1501" i="24"/>
  <c r="G1500" i="24"/>
  <c r="G1499" i="24"/>
  <c r="G1498" i="24"/>
  <c r="G1497" i="24"/>
  <c r="G1496" i="24"/>
  <c r="G1495" i="24"/>
  <c r="G1494" i="24"/>
  <c r="G1493" i="24"/>
  <c r="G1492" i="24"/>
  <c r="G1491" i="24"/>
  <c r="G1490" i="24"/>
  <c r="G1489" i="24"/>
  <c r="G1488" i="24"/>
  <c r="G1487" i="24"/>
  <c r="G1486" i="24"/>
  <c r="G1485" i="24"/>
  <c r="G1484" i="24"/>
  <c r="G1483" i="24"/>
  <c r="G1482" i="24"/>
  <c r="G1481" i="24"/>
  <c r="G1480" i="24"/>
  <c r="G1479" i="24"/>
  <c r="G1478" i="24"/>
  <c r="G1477" i="24"/>
  <c r="G1476" i="24"/>
  <c r="G1475" i="24"/>
  <c r="G1474" i="24"/>
  <c r="G1473" i="24"/>
  <c r="G1472" i="24"/>
  <c r="G1471" i="24"/>
  <c r="G1470" i="24"/>
  <c r="G1469" i="24"/>
  <c r="G1468" i="24"/>
  <c r="G1467" i="24"/>
  <c r="G1466" i="24"/>
  <c r="G1465" i="24"/>
  <c r="G1464" i="24"/>
  <c r="G1463" i="24"/>
  <c r="G1462" i="24"/>
  <c r="G1461" i="24"/>
  <c r="G1460" i="24"/>
  <c r="G1459" i="24"/>
  <c r="G1458" i="24"/>
  <c r="G1457" i="24"/>
  <c r="G1456" i="24"/>
  <c r="G1455" i="24"/>
  <c r="G1454" i="24"/>
  <c r="G1453" i="24"/>
  <c r="G1452" i="24"/>
  <c r="G1451" i="24"/>
  <c r="G1450" i="24"/>
  <c r="G1449" i="24"/>
  <c r="G1448" i="24"/>
  <c r="G1447" i="24"/>
  <c r="G1446" i="24"/>
  <c r="G1445" i="24"/>
  <c r="G1444" i="24"/>
  <c r="G1443" i="24"/>
  <c r="G1442" i="24"/>
  <c r="G1441" i="24"/>
  <c r="G1440" i="24"/>
  <c r="G1439" i="24"/>
  <c r="G1438" i="24"/>
  <c r="G1437" i="24"/>
  <c r="G1436" i="24"/>
  <c r="G1435" i="24"/>
  <c r="G1434" i="24"/>
  <c r="G1433" i="24"/>
  <c r="G1432" i="24"/>
  <c r="G1431" i="24"/>
  <c r="G1430" i="24"/>
  <c r="G1429" i="24"/>
  <c r="G1428" i="24"/>
  <c r="G1427" i="24"/>
  <c r="G1426" i="24"/>
  <c r="G1425" i="24"/>
  <c r="G1424" i="24"/>
  <c r="G1423" i="24"/>
  <c r="G1422" i="24"/>
  <c r="G1421" i="24"/>
  <c r="G1420" i="24"/>
  <c r="G1419" i="24"/>
  <c r="G1418" i="24"/>
  <c r="G1417" i="24"/>
  <c r="G1416" i="24"/>
  <c r="G1415" i="24"/>
  <c r="G1414" i="24"/>
  <c r="G1413" i="24"/>
  <c r="G1412" i="24"/>
  <c r="G1411" i="24"/>
  <c r="G1410" i="24"/>
  <c r="G1409" i="24"/>
  <c r="G1408" i="24"/>
  <c r="G1407" i="24"/>
  <c r="G1406" i="24"/>
  <c r="G1405" i="24"/>
  <c r="G1404" i="24"/>
  <c r="G1403" i="24"/>
  <c r="G1402" i="24"/>
  <c r="G1401" i="24"/>
  <c r="G1400" i="24"/>
  <c r="G1399" i="24"/>
  <c r="G1398" i="24"/>
  <c r="G1397" i="24"/>
  <c r="G1396" i="24"/>
  <c r="G1395" i="24"/>
  <c r="G1394" i="24"/>
  <c r="G1393" i="24"/>
  <c r="G1392" i="24"/>
  <c r="G1391" i="24"/>
  <c r="G1390" i="24"/>
  <c r="G1389" i="24"/>
  <c r="G1388" i="24"/>
  <c r="G1387" i="24"/>
  <c r="G1386" i="24"/>
  <c r="G1385" i="24"/>
  <c r="G1384" i="24"/>
  <c r="G1383" i="24"/>
  <c r="G1382" i="24"/>
  <c r="G1381" i="24"/>
  <c r="G1380" i="24"/>
  <c r="G1379" i="24"/>
  <c r="G1378" i="24"/>
  <c r="G1377" i="24"/>
  <c r="G1376" i="24"/>
  <c r="G1375" i="24"/>
  <c r="G1374" i="24"/>
  <c r="G1373" i="24"/>
  <c r="G1372" i="24"/>
  <c r="G1371" i="24"/>
  <c r="G1370" i="24"/>
  <c r="G1369" i="24"/>
  <c r="G1368" i="24"/>
  <c r="G1367" i="24"/>
  <c r="G1366" i="24"/>
  <c r="G1365" i="24"/>
  <c r="G1364" i="24"/>
  <c r="G1363" i="24"/>
  <c r="G1362" i="24"/>
  <c r="G1361" i="24"/>
  <c r="G1360" i="24"/>
  <c r="G1359" i="24"/>
  <c r="G1358" i="24"/>
  <c r="G1357" i="24"/>
  <c r="G1356" i="24"/>
  <c r="G1355" i="24"/>
  <c r="G1354" i="24"/>
  <c r="G1353" i="24"/>
  <c r="G1352" i="24"/>
  <c r="G1351" i="24"/>
  <c r="G1350" i="24"/>
  <c r="G1349" i="24"/>
  <c r="G1348" i="24"/>
  <c r="G1347" i="24"/>
  <c r="G1346" i="24"/>
  <c r="G1345" i="24"/>
  <c r="G1344" i="24"/>
  <c r="G1343" i="24"/>
  <c r="G1342" i="24"/>
  <c r="G1341" i="24"/>
  <c r="G1340" i="24"/>
  <c r="G1339" i="24"/>
  <c r="G1338" i="24"/>
  <c r="G1337" i="24"/>
  <c r="G1336" i="24"/>
  <c r="G1335" i="24"/>
  <c r="G1334" i="24"/>
  <c r="G1333" i="24"/>
  <c r="G1332" i="24"/>
  <c r="G1331" i="24"/>
  <c r="G1330" i="24"/>
  <c r="G1329" i="24"/>
  <c r="G1328" i="24"/>
  <c r="G1327" i="24"/>
  <c r="G1326" i="24"/>
  <c r="G1325" i="24"/>
  <c r="G1324" i="24"/>
  <c r="G1323" i="24"/>
  <c r="G1322" i="24"/>
  <c r="G1321" i="24"/>
  <c r="G1320" i="24"/>
  <c r="G1319" i="24"/>
  <c r="G1318" i="24"/>
  <c r="G1317" i="24"/>
  <c r="G1316" i="24"/>
  <c r="G1315" i="24"/>
  <c r="G1314" i="24"/>
  <c r="G1313" i="24"/>
  <c r="G1312" i="24"/>
  <c r="G1311" i="24"/>
  <c r="G1310" i="24"/>
  <c r="G1309" i="24"/>
  <c r="G1308" i="24"/>
  <c r="G1307" i="24"/>
  <c r="G1306" i="24"/>
  <c r="G1305" i="24"/>
  <c r="G1304" i="24"/>
  <c r="G1303" i="24"/>
  <c r="G1302" i="24"/>
  <c r="G1301" i="24"/>
  <c r="G1300" i="24"/>
  <c r="G1299" i="24"/>
  <c r="G1298" i="24"/>
  <c r="G1297" i="24"/>
  <c r="G1296" i="24"/>
  <c r="G1295" i="24"/>
  <c r="G1294" i="24"/>
  <c r="G1293" i="24"/>
  <c r="G1292" i="24"/>
  <c r="G1291" i="24"/>
  <c r="G1290" i="24"/>
  <c r="G1289" i="24"/>
  <c r="G1288" i="24"/>
  <c r="G1287" i="24"/>
  <c r="G1286" i="24"/>
  <c r="G1285" i="24"/>
  <c r="G1284" i="24"/>
  <c r="G1283" i="24"/>
  <c r="G1282" i="24"/>
  <c r="G1281" i="24"/>
  <c r="G1280" i="24"/>
  <c r="G1279" i="24"/>
  <c r="G1278" i="24"/>
  <c r="G1277" i="24"/>
  <c r="G1276" i="24"/>
  <c r="G1275" i="24"/>
  <c r="G1274" i="24"/>
  <c r="G1273" i="24"/>
  <c r="G1272" i="24"/>
  <c r="G1271" i="24"/>
  <c r="G1270" i="24"/>
  <c r="G1269" i="24"/>
  <c r="G1268" i="24"/>
  <c r="G1267" i="24"/>
  <c r="G1266" i="24"/>
  <c r="G1265" i="24"/>
  <c r="G1264" i="24"/>
  <c r="G1263" i="24"/>
  <c r="G1262" i="24"/>
  <c r="G1261" i="24"/>
  <c r="G1260" i="24"/>
  <c r="G1259" i="24"/>
  <c r="G1258" i="24"/>
  <c r="G1257" i="24"/>
  <c r="G1256" i="24"/>
  <c r="G1255" i="24"/>
  <c r="G1254" i="24"/>
  <c r="G1253" i="24"/>
  <c r="G1252" i="24"/>
  <c r="G1251" i="24"/>
  <c r="G1250" i="24"/>
  <c r="G1249" i="24"/>
  <c r="G1248" i="24"/>
  <c r="G1247" i="24"/>
  <c r="G1246" i="24"/>
  <c r="G1245" i="24"/>
  <c r="G1244" i="24"/>
  <c r="G1243" i="24"/>
  <c r="G1242" i="24"/>
  <c r="G1241" i="24"/>
  <c r="G1240" i="24"/>
  <c r="G1239" i="24"/>
  <c r="G1238" i="24"/>
  <c r="G1237" i="24"/>
  <c r="G1236" i="24"/>
  <c r="G1235" i="24"/>
  <c r="G1234" i="24"/>
  <c r="G1233" i="24"/>
  <c r="G1232" i="24"/>
  <c r="G1231" i="24"/>
  <c r="G1230" i="24"/>
  <c r="G1229" i="24"/>
  <c r="G1228" i="24"/>
  <c r="G1227" i="24"/>
  <c r="G1226" i="24"/>
  <c r="G1225" i="24"/>
  <c r="G1224" i="24"/>
  <c r="G1223" i="24"/>
  <c r="G1222" i="24"/>
  <c r="G1221" i="24"/>
  <c r="G1220" i="24"/>
  <c r="G1219" i="24"/>
  <c r="G1218" i="24"/>
  <c r="G1217" i="24"/>
  <c r="G1216" i="24"/>
  <c r="G1215" i="24"/>
  <c r="G1214" i="24"/>
  <c r="G1213" i="24"/>
  <c r="G1212" i="24"/>
  <c r="G1211" i="24"/>
  <c r="G1210" i="24"/>
  <c r="G1209" i="24"/>
  <c r="G1208" i="24"/>
  <c r="G1207" i="24"/>
  <c r="G1206" i="24"/>
  <c r="G1205" i="24"/>
  <c r="G1204" i="24"/>
  <c r="G1203" i="24"/>
  <c r="G1202" i="24"/>
  <c r="G1201" i="24"/>
  <c r="G1200" i="24"/>
  <c r="G1199" i="24"/>
  <c r="G1198" i="24"/>
  <c r="G1197" i="24"/>
  <c r="G1196" i="24"/>
  <c r="G1195" i="24"/>
  <c r="G1194" i="24"/>
  <c r="G1193" i="24"/>
  <c r="G1192" i="24"/>
  <c r="G1191" i="24"/>
  <c r="G1190" i="24"/>
  <c r="G1189" i="24"/>
  <c r="G1188" i="24"/>
  <c r="G1187" i="24"/>
  <c r="G1186" i="24"/>
  <c r="G1185" i="24"/>
  <c r="G1184" i="24"/>
  <c r="G1183" i="24"/>
  <c r="G1182" i="24"/>
  <c r="G1181" i="24"/>
  <c r="G1180" i="24"/>
  <c r="G1179" i="24"/>
  <c r="G1178" i="24"/>
  <c r="G1177" i="24"/>
  <c r="G1176" i="24"/>
  <c r="G1175" i="24"/>
  <c r="G1174" i="24"/>
  <c r="G1173" i="24"/>
  <c r="G1172" i="24"/>
  <c r="G1171" i="24"/>
  <c r="G1170" i="24"/>
  <c r="G1169" i="24"/>
  <c r="G1168" i="24"/>
  <c r="G1167" i="24"/>
  <c r="G1166" i="24"/>
  <c r="G1165" i="24"/>
  <c r="G1164" i="24"/>
  <c r="G1163" i="24"/>
  <c r="G1162" i="24"/>
  <c r="G1161" i="24"/>
  <c r="G1160" i="24"/>
  <c r="G1159" i="24"/>
  <c r="G1158" i="24"/>
  <c r="G1157" i="24"/>
  <c r="G1156" i="24"/>
  <c r="G1155" i="24"/>
  <c r="G1154" i="24"/>
  <c r="G1153" i="24"/>
  <c r="G1152" i="24"/>
  <c r="G1151" i="24"/>
  <c r="G1150" i="24"/>
  <c r="G1149" i="24"/>
  <c r="G1148" i="24"/>
  <c r="G1147" i="24"/>
  <c r="G1146" i="24"/>
  <c r="G1145" i="24"/>
  <c r="G1144" i="24"/>
  <c r="G1143" i="24"/>
  <c r="G1142" i="24"/>
  <c r="G1141" i="24"/>
  <c r="G1140" i="24"/>
  <c r="G1139" i="24"/>
  <c r="G1138" i="24"/>
  <c r="G1137" i="24"/>
  <c r="G1136" i="24"/>
  <c r="G1135" i="24"/>
  <c r="G1134" i="24"/>
  <c r="G1133" i="24"/>
  <c r="G1132" i="24"/>
  <c r="G1131" i="24"/>
  <c r="G1130" i="24"/>
  <c r="G1129" i="24"/>
  <c r="G1128" i="24"/>
  <c r="G1127" i="24"/>
  <c r="G1126" i="24"/>
  <c r="G1125" i="24"/>
  <c r="G1124" i="24"/>
  <c r="G1123" i="24"/>
  <c r="G1122" i="24"/>
  <c r="G1121" i="24"/>
  <c r="G1120" i="24"/>
  <c r="G1119" i="24"/>
  <c r="G1118" i="24"/>
  <c r="G1117" i="24"/>
  <c r="G1116" i="24"/>
  <c r="G1115" i="24"/>
  <c r="G1114" i="24"/>
  <c r="G1113" i="24"/>
  <c r="G1112" i="24"/>
  <c r="G1111" i="24"/>
  <c r="G1110" i="24"/>
  <c r="G1109" i="24"/>
  <c r="G1108" i="24"/>
  <c r="G1107" i="24"/>
  <c r="G1106" i="24"/>
  <c r="G1105" i="24"/>
  <c r="G1104" i="24"/>
  <c r="G1103" i="24"/>
  <c r="G1102" i="24"/>
  <c r="G1101" i="24"/>
  <c r="G1100" i="24"/>
  <c r="G1099" i="24"/>
  <c r="G1098" i="24"/>
  <c r="G1097" i="24"/>
  <c r="G1096" i="24"/>
  <c r="G1095" i="24"/>
  <c r="G1094" i="24"/>
  <c r="G1093" i="24"/>
  <c r="G1092" i="24"/>
  <c r="G1091" i="24"/>
  <c r="G1090" i="24"/>
  <c r="G1089" i="24"/>
  <c r="G1088" i="24"/>
  <c r="G1087" i="24"/>
  <c r="G1086" i="24"/>
  <c r="G1085" i="24"/>
  <c r="G1084" i="24"/>
  <c r="G1083" i="24"/>
  <c r="G1082" i="24"/>
  <c r="G1081" i="24"/>
  <c r="G1080" i="24"/>
  <c r="G1079" i="24"/>
  <c r="G1078" i="24"/>
  <c r="G1077" i="24"/>
  <c r="G1076" i="24"/>
  <c r="G1075" i="24"/>
  <c r="G1074" i="24"/>
  <c r="G1073" i="24"/>
  <c r="G1072" i="24"/>
  <c r="G1071" i="24"/>
  <c r="G1070" i="24"/>
  <c r="G1069" i="24"/>
  <c r="G1068" i="24"/>
  <c r="G1067" i="24"/>
  <c r="G1066" i="24"/>
  <c r="G1065" i="24"/>
  <c r="G1064" i="24"/>
  <c r="G1063" i="24"/>
  <c r="G1062" i="24"/>
  <c r="G1061" i="24"/>
  <c r="G1060" i="24"/>
  <c r="G1059" i="24"/>
  <c r="G1058" i="24"/>
  <c r="G1057" i="24"/>
  <c r="G1056" i="24"/>
  <c r="G1055" i="24"/>
  <c r="G1054" i="24"/>
  <c r="G1053" i="24"/>
  <c r="G1052" i="24"/>
  <c r="G1051" i="24"/>
  <c r="G1050" i="24"/>
  <c r="G1049" i="24"/>
  <c r="G1048" i="24"/>
  <c r="G1047" i="24"/>
  <c r="G1046" i="24"/>
  <c r="G1045" i="24"/>
  <c r="G1044" i="24"/>
  <c r="G1043" i="24"/>
  <c r="G1042" i="24"/>
  <c r="G1041" i="24"/>
  <c r="G1040" i="24"/>
  <c r="G1039" i="24"/>
  <c r="G1038" i="24"/>
  <c r="G1037" i="24"/>
  <c r="G1036" i="24"/>
  <c r="G1035" i="24"/>
  <c r="G1034" i="24"/>
  <c r="G1033" i="24"/>
  <c r="G1032" i="24"/>
  <c r="G1031" i="24"/>
  <c r="G1030" i="24"/>
  <c r="G1029" i="24"/>
  <c r="G1028" i="24"/>
  <c r="G1027" i="24"/>
  <c r="G1026" i="24"/>
  <c r="G1025" i="24"/>
  <c r="G1024" i="24"/>
  <c r="G1023" i="24"/>
  <c r="G1022" i="24"/>
  <c r="G1021" i="24"/>
  <c r="G1020" i="24"/>
  <c r="G1019" i="24"/>
  <c r="G1018" i="24"/>
  <c r="G1017" i="24"/>
  <c r="G1016" i="24"/>
  <c r="G1015" i="24"/>
  <c r="G1014" i="24"/>
  <c r="G1013" i="24"/>
  <c r="G1012" i="24"/>
  <c r="G1011" i="24"/>
  <c r="G1010" i="24"/>
  <c r="G1009" i="24"/>
  <c r="G1008" i="24"/>
  <c r="G1007" i="24"/>
  <c r="G1006" i="24"/>
  <c r="G1005" i="24"/>
  <c r="G1004" i="24"/>
  <c r="G1003" i="24"/>
  <c r="G1002" i="24"/>
  <c r="G1001" i="24"/>
  <c r="G1000" i="24"/>
  <c r="G999" i="24"/>
  <c r="G998" i="24"/>
  <c r="G997" i="24"/>
  <c r="G996" i="24"/>
  <c r="G995" i="24"/>
  <c r="G994" i="24"/>
  <c r="G993" i="24"/>
  <c r="G992" i="24"/>
  <c r="G991" i="24"/>
  <c r="G990" i="24"/>
  <c r="G989" i="24"/>
  <c r="G988" i="24"/>
  <c r="G987" i="24"/>
  <c r="G986" i="24"/>
  <c r="G985" i="24"/>
  <c r="G984" i="24"/>
  <c r="G983" i="24"/>
  <c r="G982" i="24"/>
  <c r="G981" i="24"/>
  <c r="G980" i="24"/>
  <c r="G979" i="24"/>
  <c r="G978" i="24"/>
  <c r="G977" i="24"/>
  <c r="G976" i="24"/>
  <c r="G975" i="24"/>
  <c r="G974" i="24"/>
  <c r="G973" i="24"/>
  <c r="G972" i="24"/>
  <c r="G971" i="24"/>
  <c r="G970" i="24"/>
  <c r="G969" i="24"/>
  <c r="G968" i="24"/>
  <c r="G967" i="24"/>
  <c r="G966" i="24"/>
  <c r="G965" i="24"/>
  <c r="G964" i="24"/>
  <c r="G963" i="24"/>
  <c r="G962" i="24"/>
  <c r="G961" i="24"/>
  <c r="G960" i="24"/>
  <c r="G959" i="24"/>
  <c r="G958" i="24"/>
  <c r="G957" i="24"/>
  <c r="G956" i="24"/>
  <c r="G955" i="24"/>
  <c r="G954" i="24"/>
  <c r="G953" i="24"/>
  <c r="G952" i="24"/>
  <c r="G951" i="24"/>
  <c r="G950" i="24"/>
  <c r="G949" i="24"/>
  <c r="G948" i="24"/>
  <c r="G947" i="24"/>
  <c r="G946" i="24"/>
  <c r="G945" i="24"/>
  <c r="G944" i="24"/>
  <c r="G943" i="24"/>
  <c r="G942" i="24"/>
  <c r="G941" i="24"/>
  <c r="G940" i="24"/>
  <c r="G939" i="24"/>
  <c r="G938" i="24"/>
  <c r="G937" i="24"/>
  <c r="G936" i="24"/>
  <c r="G935" i="24"/>
  <c r="G934" i="24"/>
  <c r="G933" i="24"/>
  <c r="G932" i="24"/>
  <c r="G931" i="24"/>
  <c r="G930" i="24"/>
  <c r="G929" i="24"/>
  <c r="G928" i="24"/>
  <c r="G927" i="24"/>
  <c r="G926" i="24"/>
  <c r="G925" i="24"/>
  <c r="G924" i="24"/>
  <c r="G923" i="24"/>
  <c r="G922" i="24"/>
  <c r="G921" i="24"/>
  <c r="G920" i="24"/>
  <c r="G919" i="24"/>
  <c r="G918" i="24"/>
  <c r="G917" i="24"/>
  <c r="G916" i="24"/>
  <c r="G915" i="24"/>
  <c r="G914" i="24"/>
  <c r="G913" i="24"/>
  <c r="G912" i="24"/>
  <c r="G911" i="24"/>
  <c r="G910" i="24"/>
  <c r="G909" i="24"/>
  <c r="G908" i="24"/>
  <c r="G907" i="24"/>
  <c r="G906" i="24"/>
  <c r="G905" i="24"/>
  <c r="G904" i="24"/>
  <c r="G903" i="24"/>
  <c r="G902" i="24"/>
  <c r="G901" i="24"/>
  <c r="G900" i="24"/>
  <c r="G899" i="24"/>
  <c r="G898" i="24"/>
  <c r="G897" i="24"/>
  <c r="G896" i="24"/>
  <c r="G895" i="24"/>
  <c r="G894" i="24"/>
  <c r="G893" i="24"/>
  <c r="G892" i="24"/>
  <c r="G891" i="24"/>
  <c r="G890" i="24"/>
  <c r="G889" i="24"/>
  <c r="G888" i="24"/>
  <c r="G887" i="24"/>
  <c r="G886" i="24"/>
  <c r="G885" i="24"/>
  <c r="G884" i="24"/>
  <c r="G883" i="24"/>
  <c r="G882" i="24"/>
  <c r="G881" i="24"/>
  <c r="G880" i="24"/>
  <c r="G879" i="24"/>
  <c r="G878" i="24"/>
  <c r="G877" i="24"/>
  <c r="G876" i="24"/>
  <c r="G875" i="24"/>
  <c r="G874" i="24"/>
  <c r="G873" i="24"/>
  <c r="G872" i="24"/>
  <c r="G871" i="24"/>
  <c r="G870" i="24"/>
  <c r="G869" i="24"/>
  <c r="G868" i="24"/>
  <c r="G867" i="24"/>
  <c r="G866" i="24"/>
  <c r="G865" i="24"/>
  <c r="G864" i="24"/>
  <c r="G863" i="24"/>
  <c r="G862" i="24"/>
  <c r="G861" i="24"/>
  <c r="G860" i="24"/>
  <c r="G859" i="24"/>
  <c r="G858" i="24"/>
  <c r="G857" i="24"/>
  <c r="G856" i="24"/>
  <c r="G855" i="24"/>
  <c r="G854" i="24"/>
  <c r="G853" i="24"/>
  <c r="G852" i="24"/>
  <c r="G851" i="24"/>
  <c r="G850" i="24"/>
  <c r="G849" i="24"/>
  <c r="G848" i="24"/>
  <c r="G847" i="24"/>
  <c r="G846" i="24"/>
  <c r="G845" i="24"/>
  <c r="G844" i="24"/>
  <c r="G843" i="24"/>
  <c r="G842" i="24"/>
  <c r="G841" i="24"/>
  <c r="G840" i="24"/>
  <c r="G839" i="24"/>
  <c r="G838" i="24"/>
  <c r="G837" i="24"/>
  <c r="G836" i="24"/>
  <c r="G835" i="24"/>
  <c r="G834" i="24"/>
  <c r="G833" i="24"/>
  <c r="G832" i="24"/>
  <c r="G831" i="24"/>
  <c r="G830" i="24"/>
  <c r="G829" i="24"/>
  <c r="G828" i="24"/>
  <c r="G827" i="24"/>
  <c r="G826" i="24"/>
  <c r="G825" i="24"/>
  <c r="G824" i="24"/>
  <c r="G823" i="24"/>
  <c r="G822" i="24"/>
  <c r="G821" i="24"/>
  <c r="G820" i="24"/>
  <c r="G819" i="24"/>
  <c r="G818" i="24"/>
  <c r="G817" i="24"/>
  <c r="G816" i="24"/>
  <c r="G815" i="24"/>
  <c r="G814" i="24"/>
  <c r="G813" i="24"/>
  <c r="G812" i="24"/>
  <c r="G811" i="24"/>
  <c r="G810" i="24"/>
  <c r="G809" i="24"/>
  <c r="G808" i="24"/>
  <c r="G807" i="24"/>
  <c r="G806" i="24"/>
  <c r="G805" i="24"/>
  <c r="G804" i="24"/>
  <c r="G803" i="24"/>
  <c r="G802" i="24"/>
  <c r="G801" i="24"/>
  <c r="G800" i="24"/>
  <c r="G799" i="24"/>
  <c r="G798" i="24"/>
  <c r="G797" i="24"/>
  <c r="G796" i="24"/>
  <c r="G795" i="24"/>
  <c r="G794" i="24"/>
  <c r="G793" i="24"/>
  <c r="G792" i="24"/>
  <c r="G791" i="24"/>
  <c r="G790" i="24"/>
  <c r="G789" i="24"/>
  <c r="G788" i="24"/>
  <c r="G787" i="24"/>
  <c r="G786" i="24"/>
  <c r="G785" i="24"/>
  <c r="G784" i="24"/>
  <c r="G783" i="24"/>
  <c r="G782" i="24"/>
  <c r="G781" i="24"/>
  <c r="G780" i="24"/>
  <c r="G779" i="24"/>
  <c r="G778" i="24"/>
  <c r="G777" i="24"/>
  <c r="G776" i="24"/>
  <c r="G775" i="24"/>
  <c r="G774" i="24"/>
  <c r="G773" i="24"/>
  <c r="G772" i="24"/>
  <c r="G771" i="24"/>
  <c r="G770" i="24"/>
  <c r="G769" i="24"/>
  <c r="G768" i="24"/>
  <c r="G767" i="24"/>
  <c r="G766" i="24"/>
  <c r="G765" i="24"/>
  <c r="G764" i="24"/>
  <c r="G763" i="24"/>
  <c r="G762" i="24"/>
  <c r="G761" i="24"/>
  <c r="G760" i="24"/>
  <c r="G759" i="24"/>
  <c r="G758" i="24"/>
  <c r="G757" i="24"/>
  <c r="G756" i="24"/>
  <c r="G755" i="24"/>
  <c r="G754" i="24"/>
  <c r="G753" i="24"/>
  <c r="G752" i="24"/>
  <c r="G751" i="24"/>
  <c r="G750" i="24"/>
  <c r="G749" i="24"/>
  <c r="G748" i="24"/>
  <c r="G747" i="24"/>
  <c r="G746" i="24"/>
  <c r="G745" i="24"/>
  <c r="G744" i="24"/>
  <c r="G743" i="24"/>
  <c r="G742" i="24"/>
  <c r="G741" i="24"/>
  <c r="G740" i="24"/>
  <c r="G739" i="24"/>
  <c r="G738" i="24"/>
  <c r="G737" i="24"/>
  <c r="G736" i="24"/>
  <c r="G735" i="24"/>
  <c r="G734" i="24"/>
  <c r="G733" i="24"/>
  <c r="G732" i="24"/>
  <c r="G731" i="24"/>
  <c r="G730" i="24"/>
  <c r="G729" i="24"/>
  <c r="G728" i="24"/>
  <c r="G727" i="24"/>
  <c r="G726" i="24"/>
  <c r="G725" i="24"/>
  <c r="G724" i="24"/>
  <c r="G723" i="24"/>
  <c r="G722" i="24"/>
  <c r="G721" i="24"/>
  <c r="G720" i="24"/>
  <c r="G719" i="24"/>
  <c r="G718" i="24"/>
  <c r="G717" i="24"/>
  <c r="G716" i="24"/>
  <c r="G715" i="24"/>
  <c r="G714" i="24"/>
  <c r="G713" i="24"/>
  <c r="G712" i="24"/>
  <c r="G711" i="24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1" i="24"/>
  <c r="G690" i="24"/>
  <c r="G689" i="24"/>
  <c r="G688" i="24"/>
  <c r="G687" i="24"/>
  <c r="G686" i="24"/>
  <c r="G685" i="24"/>
  <c r="G684" i="24"/>
  <c r="G683" i="24"/>
  <c r="G682" i="24"/>
  <c r="G681" i="24"/>
  <c r="G680" i="24"/>
  <c r="G679" i="24"/>
  <c r="G678" i="24"/>
  <c r="G677" i="24"/>
  <c r="G676" i="24"/>
  <c r="G675" i="24"/>
  <c r="G674" i="24"/>
  <c r="G673" i="24"/>
  <c r="G672" i="24"/>
  <c r="G671" i="24"/>
  <c r="G670" i="24"/>
  <c r="G669" i="24"/>
  <c r="G668" i="24"/>
  <c r="G667" i="24"/>
  <c r="G666" i="24"/>
  <c r="G665" i="24"/>
  <c r="G664" i="24"/>
  <c r="G663" i="24"/>
  <c r="G662" i="24"/>
  <c r="G661" i="24"/>
  <c r="G660" i="24"/>
  <c r="G659" i="24"/>
  <c r="G658" i="24"/>
  <c r="G657" i="24"/>
  <c r="G656" i="24"/>
  <c r="G655" i="24"/>
  <c r="G654" i="24"/>
  <c r="G653" i="24"/>
  <c r="G652" i="24"/>
  <c r="G651" i="24"/>
  <c r="G650" i="24"/>
  <c r="G649" i="24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2" i="24"/>
  <c r="G631" i="24"/>
  <c r="G630" i="24"/>
  <c r="G629" i="24"/>
  <c r="G628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9" i="24"/>
  <c r="G538" i="24"/>
  <c r="G537" i="24"/>
  <c r="G536" i="24"/>
  <c r="G535" i="24"/>
  <c r="G534" i="24"/>
  <c r="G533" i="24"/>
  <c r="G532" i="24"/>
  <c r="G531" i="24"/>
  <c r="G530" i="24"/>
  <c r="G529" i="24"/>
  <c r="G528" i="24"/>
  <c r="G527" i="24"/>
  <c r="G526" i="24"/>
  <c r="G525" i="24"/>
  <c r="G524" i="24"/>
  <c r="G523" i="24"/>
  <c r="G522" i="24"/>
  <c r="G521" i="24"/>
  <c r="G520" i="24"/>
  <c r="G519" i="24"/>
  <c r="G518" i="24"/>
  <c r="G517" i="24"/>
  <c r="G516" i="24"/>
  <c r="G515" i="24"/>
  <c r="G514" i="24"/>
  <c r="G513" i="24"/>
  <c r="G512" i="24"/>
  <c r="G511" i="24"/>
  <c r="G510" i="24"/>
  <c r="G509" i="24"/>
  <c r="G508" i="24"/>
  <c r="G507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9" i="24"/>
  <c r="G478" i="24"/>
  <c r="G477" i="24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6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7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1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7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9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7" i="24"/>
  <c r="G236" i="24"/>
  <c r="G235" i="24"/>
  <c r="G234" i="24"/>
  <c r="G233" i="24"/>
  <c r="G232" i="24"/>
  <c r="G231" i="24"/>
  <c r="G230" i="24"/>
  <c r="G229" i="24"/>
  <c r="G228" i="24"/>
  <c r="G227" i="24"/>
  <c r="G226" i="24"/>
  <c r="G225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J55" i="22"/>
  <c r="J56" i="22"/>
  <c r="J57" i="22"/>
  <c r="J58" i="22"/>
  <c r="J59" i="22"/>
  <c r="I56" i="22"/>
  <c r="I57" i="22"/>
  <c r="I58" i="22"/>
  <c r="I59" i="22"/>
  <c r="I55" i="22"/>
  <c r="J45" i="22"/>
  <c r="J46" i="22"/>
  <c r="J47" i="22"/>
  <c r="J48" i="22"/>
  <c r="J49" i="22"/>
  <c r="I46" i="22"/>
  <c r="I47" i="22"/>
  <c r="I48" i="22"/>
  <c r="I49" i="22"/>
  <c r="I45" i="22"/>
  <c r="C55" i="22"/>
  <c r="D55" i="22"/>
  <c r="E55" i="22"/>
  <c r="F55" i="22"/>
  <c r="G55" i="22"/>
  <c r="H55" i="22"/>
  <c r="K55" i="22"/>
  <c r="L55" i="22"/>
  <c r="M55" i="22"/>
  <c r="N55" i="22"/>
  <c r="O55" i="22"/>
  <c r="P55" i="22"/>
  <c r="Q55" i="22"/>
  <c r="R55" i="22"/>
  <c r="C56" i="22"/>
  <c r="D56" i="22"/>
  <c r="E56" i="22"/>
  <c r="F56" i="22"/>
  <c r="G56" i="22"/>
  <c r="H56" i="22"/>
  <c r="K56" i="22"/>
  <c r="L56" i="22"/>
  <c r="M56" i="22"/>
  <c r="N56" i="22"/>
  <c r="O56" i="22"/>
  <c r="P56" i="22"/>
  <c r="Q56" i="22"/>
  <c r="R56" i="22"/>
  <c r="C57" i="22"/>
  <c r="D57" i="22"/>
  <c r="E57" i="22"/>
  <c r="F57" i="22"/>
  <c r="G57" i="22"/>
  <c r="H57" i="22"/>
  <c r="K57" i="22"/>
  <c r="L57" i="22"/>
  <c r="M57" i="22"/>
  <c r="N57" i="22"/>
  <c r="O57" i="22"/>
  <c r="P57" i="22"/>
  <c r="Q57" i="22"/>
  <c r="R57" i="22"/>
  <c r="C58" i="22"/>
  <c r="D58" i="22"/>
  <c r="E58" i="22"/>
  <c r="F58" i="22"/>
  <c r="G58" i="22"/>
  <c r="H58" i="22"/>
  <c r="K58" i="22"/>
  <c r="L58" i="22"/>
  <c r="M58" i="22"/>
  <c r="N58" i="22"/>
  <c r="O58" i="22"/>
  <c r="P58" i="22"/>
  <c r="Q58" i="22"/>
  <c r="R58" i="22"/>
  <c r="C59" i="22"/>
  <c r="D59" i="22"/>
  <c r="E59" i="22"/>
  <c r="F59" i="22"/>
  <c r="G59" i="22"/>
  <c r="H59" i="22"/>
  <c r="K59" i="22"/>
  <c r="L59" i="22"/>
  <c r="M59" i="22"/>
  <c r="N59" i="22"/>
  <c r="O59" i="22"/>
  <c r="P59" i="22"/>
  <c r="Q59" i="22"/>
  <c r="R59" i="22"/>
  <c r="C45" i="22"/>
  <c r="D45" i="22"/>
  <c r="E45" i="22"/>
  <c r="F45" i="22"/>
  <c r="G45" i="22"/>
  <c r="H45" i="22"/>
  <c r="K45" i="22"/>
  <c r="L45" i="22"/>
  <c r="M45" i="22"/>
  <c r="N45" i="22"/>
  <c r="O45" i="22"/>
  <c r="P45" i="22"/>
  <c r="Q45" i="22"/>
  <c r="R45" i="22"/>
  <c r="C46" i="22"/>
  <c r="D46" i="22"/>
  <c r="E46" i="22"/>
  <c r="F46" i="22"/>
  <c r="G46" i="22"/>
  <c r="H46" i="22"/>
  <c r="K46" i="22"/>
  <c r="L46" i="22"/>
  <c r="M46" i="22"/>
  <c r="N46" i="22"/>
  <c r="O46" i="22"/>
  <c r="P46" i="22"/>
  <c r="Q46" i="22"/>
  <c r="R46" i="22"/>
  <c r="C47" i="22"/>
  <c r="D47" i="22"/>
  <c r="E47" i="22"/>
  <c r="F47" i="22"/>
  <c r="G47" i="22"/>
  <c r="H47" i="22"/>
  <c r="K47" i="22"/>
  <c r="L47" i="22"/>
  <c r="M47" i="22"/>
  <c r="N47" i="22"/>
  <c r="O47" i="22"/>
  <c r="P47" i="22"/>
  <c r="Q47" i="22"/>
  <c r="R47" i="22"/>
  <c r="C48" i="22"/>
  <c r="D48" i="22"/>
  <c r="E48" i="22"/>
  <c r="F48" i="22"/>
  <c r="G48" i="22"/>
  <c r="H48" i="22"/>
  <c r="K48" i="22"/>
  <c r="L48" i="22"/>
  <c r="M48" i="22"/>
  <c r="N48" i="22"/>
  <c r="O48" i="22"/>
  <c r="P48" i="22"/>
  <c r="Q48" i="22"/>
  <c r="R48" i="22"/>
  <c r="C49" i="22"/>
  <c r="D49" i="22"/>
  <c r="E49" i="22"/>
  <c r="F49" i="22"/>
  <c r="G49" i="22"/>
  <c r="H49" i="22"/>
  <c r="K49" i="22"/>
  <c r="L49" i="22"/>
  <c r="M49" i="22"/>
  <c r="N49" i="22"/>
  <c r="O49" i="22"/>
  <c r="P49" i="22"/>
  <c r="Q49" i="22"/>
  <c r="R49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C29" i="17" l="1"/>
  <c r="C127" i="22"/>
  <c r="D127" i="22"/>
  <c r="E127" i="22"/>
  <c r="F127" i="22"/>
  <c r="G127" i="22"/>
  <c r="H127" i="22"/>
  <c r="I127" i="22"/>
  <c r="J127" i="22"/>
  <c r="K127" i="22"/>
  <c r="L127" i="22"/>
  <c r="M127" i="22"/>
  <c r="N127" i="22"/>
  <c r="O127" i="22"/>
  <c r="P127" i="22"/>
  <c r="Q127" i="22"/>
  <c r="R127" i="22"/>
  <c r="C128" i="22"/>
  <c r="D128" i="22"/>
  <c r="E128" i="22"/>
  <c r="F128" i="22"/>
  <c r="G128" i="22"/>
  <c r="H128" i="22"/>
  <c r="I128" i="22"/>
  <c r="J128" i="22"/>
  <c r="K128" i="22"/>
  <c r="L128" i="22"/>
  <c r="M128" i="22"/>
  <c r="N128" i="22"/>
  <c r="O128" i="22"/>
  <c r="P128" i="22"/>
  <c r="Q128" i="22"/>
  <c r="R128" i="22"/>
  <c r="C129" i="22"/>
  <c r="D129" i="22"/>
  <c r="E129" i="22"/>
  <c r="F129" i="22"/>
  <c r="G129" i="22"/>
  <c r="H129" i="22"/>
  <c r="I129" i="22"/>
  <c r="J129" i="22"/>
  <c r="K129" i="22"/>
  <c r="L129" i="22"/>
  <c r="M129" i="22"/>
  <c r="N129" i="22"/>
  <c r="O129" i="22"/>
  <c r="P129" i="22"/>
  <c r="Q129" i="22"/>
  <c r="R129" i="22"/>
  <c r="C130" i="22"/>
  <c r="D130" i="22"/>
  <c r="E130" i="22"/>
  <c r="F130" i="22"/>
  <c r="G130" i="22"/>
  <c r="H130" i="22"/>
  <c r="I130" i="22"/>
  <c r="J130" i="22"/>
  <c r="K130" i="22"/>
  <c r="L130" i="22"/>
  <c r="M130" i="22"/>
  <c r="N130" i="22"/>
  <c r="O130" i="22"/>
  <c r="P130" i="22"/>
  <c r="Q130" i="22"/>
  <c r="R130" i="22"/>
  <c r="C131" i="22"/>
  <c r="D131" i="22"/>
  <c r="E131" i="22"/>
  <c r="F131" i="22"/>
  <c r="G131" i="22"/>
  <c r="H131" i="22"/>
  <c r="I131" i="22"/>
  <c r="J131" i="22"/>
  <c r="K131" i="22"/>
  <c r="L131" i="22"/>
  <c r="M131" i="22"/>
  <c r="N131" i="22"/>
  <c r="O131" i="22"/>
  <c r="P131" i="22"/>
  <c r="Q131" i="22"/>
  <c r="R131" i="22"/>
  <c r="C117" i="22"/>
  <c r="D117" i="22"/>
  <c r="E117" i="22"/>
  <c r="F117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C118" i="22"/>
  <c r="D118" i="22"/>
  <c r="E118" i="22"/>
  <c r="F118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C119" i="22"/>
  <c r="D119" i="22"/>
  <c r="E119" i="22"/>
  <c r="F119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C120" i="22"/>
  <c r="D120" i="22"/>
  <c r="E120" i="22"/>
  <c r="F120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C121" i="22"/>
  <c r="D121" i="22"/>
  <c r="E121" i="22"/>
  <c r="F121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C85" i="22"/>
  <c r="D85" i="22"/>
  <c r="E85" i="22"/>
  <c r="F85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C86" i="22"/>
  <c r="D86" i="22"/>
  <c r="E86" i="22"/>
  <c r="F86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C87" i="22"/>
  <c r="D87" i="22"/>
  <c r="E87" i="22"/>
  <c r="F87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C94" i="22"/>
  <c r="D94" i="22"/>
  <c r="E94" i="22"/>
  <c r="F94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C95" i="22"/>
  <c r="D95" i="22"/>
  <c r="E95" i="22"/>
  <c r="F95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C96" i="22"/>
  <c r="D96" i="22"/>
  <c r="E96" i="22"/>
  <c r="F96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C97" i="22"/>
  <c r="D97" i="22"/>
  <c r="E97" i="22"/>
  <c r="F97" i="22"/>
  <c r="G97" i="22"/>
  <c r="H97" i="22"/>
  <c r="I97" i="22"/>
  <c r="J97" i="22"/>
  <c r="K97" i="22"/>
  <c r="L97" i="22"/>
  <c r="M97" i="22"/>
  <c r="N97" i="22"/>
  <c r="O97" i="22"/>
  <c r="P97" i="22"/>
  <c r="Q97" i="22"/>
  <c r="R97" i="22"/>
  <c r="C98" i="22"/>
  <c r="D98" i="22"/>
  <c r="E98" i="22"/>
  <c r="F98" i="22"/>
  <c r="G98" i="22"/>
  <c r="H98" i="22"/>
  <c r="I98" i="22"/>
  <c r="J98" i="22"/>
  <c r="K98" i="22"/>
  <c r="L98" i="22"/>
  <c r="M98" i="22"/>
  <c r="N98" i="22"/>
  <c r="O98" i="22"/>
  <c r="P98" i="22"/>
  <c r="Q98" i="22"/>
  <c r="R98" i="22"/>
  <c r="C99" i="22"/>
  <c r="D99" i="22"/>
  <c r="E99" i="22"/>
  <c r="F99" i="22"/>
  <c r="G99" i="22"/>
  <c r="H99" i="22"/>
  <c r="I99" i="22"/>
  <c r="J99" i="22"/>
  <c r="K99" i="22"/>
  <c r="L99" i="22"/>
  <c r="M99" i="22"/>
  <c r="N99" i="22"/>
  <c r="O99" i="22"/>
  <c r="P99" i="22"/>
  <c r="Q99" i="22"/>
  <c r="R99" i="22"/>
  <c r="C100" i="22"/>
  <c r="D100" i="22"/>
  <c r="E100" i="22"/>
  <c r="F100" i="22"/>
  <c r="G100" i="22"/>
  <c r="H100" i="22"/>
  <c r="I100" i="22"/>
  <c r="J100" i="22"/>
  <c r="K100" i="22"/>
  <c r="L100" i="22"/>
  <c r="M100" i="22"/>
  <c r="N100" i="22"/>
  <c r="O100" i="22"/>
  <c r="P100" i="22"/>
  <c r="Q100" i="22"/>
  <c r="R100" i="22"/>
  <c r="C101" i="22"/>
  <c r="D101" i="22"/>
  <c r="E101" i="22"/>
  <c r="F101" i="22"/>
  <c r="G101" i="22"/>
  <c r="H101" i="22"/>
  <c r="I101" i="22"/>
  <c r="J101" i="22"/>
  <c r="K101" i="22"/>
  <c r="L101" i="22"/>
  <c r="M101" i="22"/>
  <c r="N101" i="22"/>
  <c r="O101" i="22"/>
  <c r="P101" i="22"/>
  <c r="Q101" i="22"/>
  <c r="R101" i="22"/>
  <c r="C102" i="22"/>
  <c r="D102" i="22"/>
  <c r="E102" i="22"/>
  <c r="F102" i="22"/>
  <c r="G102" i="22"/>
  <c r="H102" i="22"/>
  <c r="I102" i="22"/>
  <c r="J102" i="22"/>
  <c r="K102" i="22"/>
  <c r="L102" i="22"/>
  <c r="M102" i="22"/>
  <c r="N102" i="22"/>
  <c r="O102" i="22"/>
  <c r="P102" i="22"/>
  <c r="Q102" i="22"/>
  <c r="R102" i="22"/>
  <c r="C103" i="22"/>
  <c r="D103" i="22"/>
  <c r="E103" i="22"/>
  <c r="F103" i="22"/>
  <c r="G103" i="22"/>
  <c r="H103" i="22"/>
  <c r="I103" i="22"/>
  <c r="J103" i="22"/>
  <c r="K103" i="22"/>
  <c r="L103" i="22"/>
  <c r="M103" i="22"/>
  <c r="N103" i="22"/>
  <c r="O103" i="22"/>
  <c r="P103" i="22"/>
  <c r="Q103" i="22"/>
  <c r="R103" i="22"/>
  <c r="C104" i="22"/>
  <c r="D104" i="22"/>
  <c r="E104" i="22"/>
  <c r="F104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C105" i="22"/>
  <c r="D105" i="22"/>
  <c r="E105" i="22"/>
  <c r="F105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C106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C107" i="22"/>
  <c r="D107" i="22"/>
  <c r="E107" i="22"/>
  <c r="F107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C108" i="22"/>
  <c r="D108" i="22"/>
  <c r="E108" i="22"/>
  <c r="F108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C109" i="22"/>
  <c r="D109" i="22"/>
  <c r="E109" i="22"/>
  <c r="F109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C110" i="22"/>
  <c r="D110" i="22"/>
  <c r="E110" i="22"/>
  <c r="F110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C111" i="22"/>
  <c r="D111" i="22"/>
  <c r="E111" i="22"/>
  <c r="F111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D51" i="13" l="1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D81" i="13"/>
  <c r="F81" i="13"/>
  <c r="H81" i="13"/>
  <c r="I81" i="13"/>
  <c r="J81" i="13"/>
  <c r="K81" i="13"/>
  <c r="L81" i="13"/>
  <c r="N81" i="13"/>
  <c r="P81" i="13"/>
  <c r="Q81" i="13"/>
  <c r="D82" i="13"/>
  <c r="F82" i="13"/>
  <c r="H82" i="13"/>
  <c r="I82" i="13"/>
  <c r="J82" i="13"/>
  <c r="L82" i="13"/>
  <c r="N82" i="13"/>
  <c r="D83" i="13"/>
  <c r="F83" i="13"/>
  <c r="H83" i="13"/>
  <c r="I83" i="13"/>
  <c r="J83" i="13"/>
  <c r="L83" i="13"/>
  <c r="N83" i="13"/>
  <c r="P83" i="13"/>
  <c r="Q83" i="13"/>
  <c r="D84" i="13"/>
  <c r="F84" i="13"/>
  <c r="H84" i="13"/>
  <c r="I84" i="13"/>
  <c r="J84" i="13"/>
  <c r="L84" i="13"/>
  <c r="N84" i="13"/>
  <c r="P84" i="13"/>
  <c r="Q84" i="13"/>
  <c r="D85" i="13"/>
  <c r="F85" i="13"/>
  <c r="G85" i="13"/>
  <c r="H85" i="13"/>
  <c r="I85" i="13"/>
  <c r="J85" i="13"/>
  <c r="L85" i="13"/>
  <c r="N85" i="13"/>
  <c r="P85" i="13"/>
  <c r="Q85" i="13"/>
  <c r="Q90" i="13"/>
  <c r="P90" i="13"/>
  <c r="N90" i="13"/>
  <c r="L90" i="13"/>
  <c r="J90" i="13"/>
  <c r="I90" i="13"/>
  <c r="H90" i="13"/>
  <c r="G90" i="13"/>
  <c r="F90" i="13"/>
  <c r="D90" i="13"/>
  <c r="Q89" i="13"/>
  <c r="P89" i="13"/>
  <c r="N89" i="13"/>
  <c r="L89" i="13"/>
  <c r="J89" i="13"/>
  <c r="I89" i="13"/>
  <c r="H89" i="13"/>
  <c r="F89" i="13"/>
  <c r="D89" i="13"/>
  <c r="Q88" i="13"/>
  <c r="P88" i="13"/>
  <c r="N88" i="13"/>
  <c r="L88" i="13"/>
  <c r="J88" i="13"/>
  <c r="I88" i="13"/>
  <c r="H88" i="13"/>
  <c r="F88" i="13"/>
  <c r="D88" i="13"/>
  <c r="Q87" i="13"/>
  <c r="P87" i="13"/>
  <c r="N87" i="13"/>
  <c r="L87" i="13"/>
  <c r="J87" i="13"/>
  <c r="I87" i="13"/>
  <c r="H87" i="13"/>
  <c r="F87" i="13"/>
  <c r="D87" i="13"/>
  <c r="Q86" i="13"/>
  <c r="P86" i="13"/>
  <c r="N86" i="13"/>
  <c r="L86" i="13"/>
  <c r="K86" i="13"/>
  <c r="J86" i="13"/>
  <c r="I86" i="13"/>
  <c r="H86" i="13"/>
  <c r="F86" i="13"/>
  <c r="D86" i="13"/>
  <c r="W44" i="13" l="1"/>
  <c r="V44" i="13"/>
  <c r="X44" i="13" s="1"/>
  <c r="T44" i="13"/>
  <c r="U44" i="13" s="1"/>
  <c r="O90" i="13" s="1"/>
  <c r="S44" i="13"/>
  <c r="Q44" i="13"/>
  <c r="P44" i="13"/>
  <c r="N44" i="13"/>
  <c r="O44" i="13" s="1"/>
  <c r="K90" i="13" s="1"/>
  <c r="M44" i="13"/>
  <c r="L44" i="13"/>
  <c r="K44" i="13"/>
  <c r="J44" i="13"/>
  <c r="I44" i="13"/>
  <c r="H44" i="13"/>
  <c r="G44" i="13"/>
  <c r="E44" i="13"/>
  <c r="F44" i="13" s="1"/>
  <c r="E90" i="13" s="1"/>
  <c r="D44" i="13"/>
  <c r="W43" i="13"/>
  <c r="V43" i="13"/>
  <c r="X43" i="13" s="1"/>
  <c r="T43" i="13"/>
  <c r="S43" i="13"/>
  <c r="Q43" i="13"/>
  <c r="P43" i="13"/>
  <c r="N43" i="13"/>
  <c r="O43" i="13" s="1"/>
  <c r="K89" i="13" s="1"/>
  <c r="M43" i="13"/>
  <c r="L43" i="13"/>
  <c r="K43" i="13"/>
  <c r="J43" i="13"/>
  <c r="H43" i="13"/>
  <c r="G43" i="13"/>
  <c r="E43" i="13"/>
  <c r="D43" i="13"/>
  <c r="W42" i="13"/>
  <c r="V42" i="13"/>
  <c r="T42" i="13"/>
  <c r="S42" i="13"/>
  <c r="U42" i="13" s="1"/>
  <c r="O88" i="13" s="1"/>
  <c r="Q42" i="13"/>
  <c r="P42" i="13"/>
  <c r="N42" i="13"/>
  <c r="M42" i="13"/>
  <c r="L42" i="13"/>
  <c r="K42" i="13"/>
  <c r="J42" i="13"/>
  <c r="H42" i="13"/>
  <c r="I42" i="13" s="1"/>
  <c r="G88" i="13" s="1"/>
  <c r="G42" i="13"/>
  <c r="E42" i="13"/>
  <c r="D42" i="13"/>
  <c r="W41" i="13"/>
  <c r="X41" i="13" s="1"/>
  <c r="V41" i="13"/>
  <c r="T41" i="13"/>
  <c r="S41" i="13"/>
  <c r="U41" i="13" s="1"/>
  <c r="O87" i="13" s="1"/>
  <c r="Q41" i="13"/>
  <c r="R41" i="13" s="1"/>
  <c r="M87" i="13" s="1"/>
  <c r="P41" i="13"/>
  <c r="N41" i="13"/>
  <c r="M41" i="13"/>
  <c r="O41" i="13" s="1"/>
  <c r="K87" i="13" s="1"/>
  <c r="L41" i="13"/>
  <c r="K41" i="13"/>
  <c r="J41" i="13"/>
  <c r="H41" i="13"/>
  <c r="G41" i="13"/>
  <c r="I41" i="13" s="1"/>
  <c r="G87" i="13" s="1"/>
  <c r="E41" i="13"/>
  <c r="D41" i="13"/>
  <c r="W40" i="13"/>
  <c r="V40" i="13"/>
  <c r="T40" i="13"/>
  <c r="S40" i="13"/>
  <c r="Q40" i="13"/>
  <c r="P40" i="13"/>
  <c r="R40" i="13" s="1"/>
  <c r="M86" i="13" s="1"/>
  <c r="O40" i="13"/>
  <c r="N40" i="13"/>
  <c r="M40" i="13"/>
  <c r="L40" i="13"/>
  <c r="K40" i="13"/>
  <c r="J40" i="13"/>
  <c r="H40" i="13"/>
  <c r="G40" i="13"/>
  <c r="I40" i="13" s="1"/>
  <c r="G86" i="13" s="1"/>
  <c r="E40" i="13"/>
  <c r="D40" i="13"/>
  <c r="F40" i="13"/>
  <c r="E86" i="13" s="1"/>
  <c r="U40" i="13"/>
  <c r="O86" i="13" s="1"/>
  <c r="X40" i="13"/>
  <c r="F41" i="13"/>
  <c r="E87" i="13" s="1"/>
  <c r="F42" i="13"/>
  <c r="E88" i="13" s="1"/>
  <c r="O42" i="13"/>
  <c r="K88" i="13" s="1"/>
  <c r="R42" i="13"/>
  <c r="M88" i="13" s="1"/>
  <c r="X42" i="13"/>
  <c r="F43" i="13"/>
  <c r="E89" i="13" s="1"/>
  <c r="I43" i="13"/>
  <c r="G89" i="13" s="1"/>
  <c r="R43" i="13"/>
  <c r="M89" i="13" s="1"/>
  <c r="U43" i="13"/>
  <c r="O89" i="13" s="1"/>
  <c r="R44" i="13"/>
  <c r="M90" i="13" s="1"/>
  <c r="L39" i="13" l="1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W39" i="13"/>
  <c r="V39" i="13"/>
  <c r="T39" i="13"/>
  <c r="S39" i="13"/>
  <c r="U39" i="13" s="1"/>
  <c r="O85" i="13" s="1"/>
  <c r="Q39" i="13"/>
  <c r="P39" i="13"/>
  <c r="R39" i="13" s="1"/>
  <c r="M85" i="13" s="1"/>
  <c r="N39" i="13"/>
  <c r="M39" i="13"/>
  <c r="I39" i="13"/>
  <c r="H39" i="13"/>
  <c r="G39" i="13"/>
  <c r="E39" i="13"/>
  <c r="F39" i="13" s="1"/>
  <c r="E85" i="13" s="1"/>
  <c r="D39" i="13"/>
  <c r="W38" i="13"/>
  <c r="V38" i="13"/>
  <c r="X38" i="13" s="1"/>
  <c r="T38" i="13"/>
  <c r="S38" i="13"/>
  <c r="Q38" i="13"/>
  <c r="P38" i="13"/>
  <c r="N38" i="13"/>
  <c r="O38" i="13" s="1"/>
  <c r="K84" i="13" s="1"/>
  <c r="M38" i="13"/>
  <c r="H38" i="13"/>
  <c r="G38" i="13"/>
  <c r="I38" i="13" s="1"/>
  <c r="G84" i="13" s="1"/>
  <c r="E38" i="13"/>
  <c r="D38" i="13"/>
  <c r="F38" i="13" s="1"/>
  <c r="E84" i="13" s="1"/>
  <c r="W37" i="13"/>
  <c r="V37" i="13"/>
  <c r="T37" i="13"/>
  <c r="U37" i="13" s="1"/>
  <c r="O83" i="13" s="1"/>
  <c r="S37" i="13"/>
  <c r="Q37" i="13"/>
  <c r="P37" i="13"/>
  <c r="R37" i="13" s="1"/>
  <c r="M83" i="13" s="1"/>
  <c r="N37" i="13"/>
  <c r="M37" i="13"/>
  <c r="H37" i="13"/>
  <c r="G37" i="13"/>
  <c r="E37" i="13"/>
  <c r="F37" i="13" s="1"/>
  <c r="E83" i="13" s="1"/>
  <c r="D37" i="13"/>
  <c r="V36" i="13"/>
  <c r="T36" i="13"/>
  <c r="S36" i="13"/>
  <c r="U36" i="13" s="1"/>
  <c r="O82" i="13" s="1"/>
  <c r="Q36" i="13"/>
  <c r="P36" i="13"/>
  <c r="N36" i="13"/>
  <c r="O36" i="13" s="1"/>
  <c r="K82" i="13" s="1"/>
  <c r="M36" i="13"/>
  <c r="H36" i="13"/>
  <c r="G36" i="13"/>
  <c r="I36" i="13" s="1"/>
  <c r="G82" i="13" s="1"/>
  <c r="E36" i="13"/>
  <c r="D36" i="13"/>
  <c r="W35" i="13"/>
  <c r="V35" i="13"/>
  <c r="T35" i="13"/>
  <c r="U35" i="13" s="1"/>
  <c r="O81" i="13" s="1"/>
  <c r="S35" i="13"/>
  <c r="Q35" i="13"/>
  <c r="P35" i="13"/>
  <c r="R35" i="13" s="1"/>
  <c r="M81" i="13" s="1"/>
  <c r="O35" i="13"/>
  <c r="N35" i="13"/>
  <c r="M35" i="13"/>
  <c r="H35" i="13"/>
  <c r="G35" i="13"/>
  <c r="I35" i="13" s="1"/>
  <c r="G81" i="13" s="1"/>
  <c r="E35" i="13"/>
  <c r="D35" i="13"/>
  <c r="F35" i="13"/>
  <c r="E81" i="13" s="1"/>
  <c r="X35" i="13"/>
  <c r="F36" i="13"/>
  <c r="E82" i="13" s="1"/>
  <c r="R36" i="13"/>
  <c r="M82" i="13" s="1"/>
  <c r="I37" i="13"/>
  <c r="G83" i="13" s="1"/>
  <c r="O37" i="13"/>
  <c r="K83" i="13" s="1"/>
  <c r="X37" i="13"/>
  <c r="R38" i="13"/>
  <c r="M84" i="13" s="1"/>
  <c r="U38" i="13"/>
  <c r="O84" i="13" s="1"/>
  <c r="O39" i="13"/>
  <c r="K85" i="13" s="1"/>
  <c r="X39" i="13"/>
  <c r="H9" i="13" l="1"/>
  <c r="I9" i="13"/>
  <c r="G9" i="13"/>
  <c r="G129" i="16" l="1"/>
  <c r="F129" i="16"/>
  <c r="I5" i="13"/>
  <c r="K8" i="16" l="1"/>
  <c r="F9" i="16"/>
  <c r="N9" i="16"/>
  <c r="I10" i="16"/>
  <c r="Q10" i="16"/>
  <c r="G12" i="16"/>
  <c r="O12" i="16"/>
  <c r="P81" i="16"/>
  <c r="Q81" i="16"/>
  <c r="P82" i="16"/>
  <c r="Q82" i="16"/>
  <c r="P83" i="16"/>
  <c r="Q83" i="16"/>
  <c r="P84" i="16"/>
  <c r="Q84" i="16"/>
  <c r="Q80" i="16"/>
  <c r="P80" i="16"/>
  <c r="N81" i="16"/>
  <c r="O81" i="16"/>
  <c r="N82" i="16"/>
  <c r="O82" i="16"/>
  <c r="N83" i="16"/>
  <c r="O83" i="16"/>
  <c r="N84" i="16"/>
  <c r="O84" i="16"/>
  <c r="O80" i="16"/>
  <c r="N80" i="16"/>
  <c r="L81" i="16"/>
  <c r="M81" i="16"/>
  <c r="L82" i="16"/>
  <c r="M82" i="16"/>
  <c r="L83" i="16"/>
  <c r="M83" i="16"/>
  <c r="L84" i="16"/>
  <c r="M84" i="16"/>
  <c r="M80" i="16"/>
  <c r="L80" i="16"/>
  <c r="J81" i="16"/>
  <c r="K81" i="16"/>
  <c r="J82" i="16"/>
  <c r="K82" i="16"/>
  <c r="J83" i="16"/>
  <c r="K83" i="16"/>
  <c r="J84" i="16"/>
  <c r="K84" i="16"/>
  <c r="K80" i="16"/>
  <c r="J80" i="16"/>
  <c r="H81" i="16"/>
  <c r="I81" i="16"/>
  <c r="H82" i="16"/>
  <c r="I82" i="16"/>
  <c r="H83" i="16"/>
  <c r="I83" i="16"/>
  <c r="H84" i="16"/>
  <c r="I84" i="16"/>
  <c r="I80" i="16"/>
  <c r="H80" i="16"/>
  <c r="F81" i="16"/>
  <c r="G81" i="16"/>
  <c r="F82" i="16"/>
  <c r="G82" i="16"/>
  <c r="F83" i="16"/>
  <c r="G83" i="16"/>
  <c r="F84" i="16"/>
  <c r="G84" i="16"/>
  <c r="G80" i="16"/>
  <c r="F80" i="16"/>
  <c r="D81" i="16"/>
  <c r="E81" i="16"/>
  <c r="D82" i="16"/>
  <c r="E82" i="16"/>
  <c r="D83" i="16"/>
  <c r="E83" i="16"/>
  <c r="D84" i="16"/>
  <c r="E84" i="16"/>
  <c r="D80" i="16"/>
  <c r="E80" i="16"/>
  <c r="C29" i="19"/>
  <c r="P12" i="16" l="1"/>
  <c r="H12" i="16"/>
  <c r="M11" i="16"/>
  <c r="E11" i="16"/>
  <c r="J10" i="16"/>
  <c r="O9" i="16"/>
  <c r="G9" i="16"/>
  <c r="L8" i="16"/>
  <c r="D8" i="16"/>
  <c r="N12" i="16"/>
  <c r="F12" i="16"/>
  <c r="K11" i="16"/>
  <c r="P10" i="16"/>
  <c r="H10" i="16"/>
  <c r="M9" i="16"/>
  <c r="E9" i="16"/>
  <c r="J8" i="16"/>
  <c r="D12" i="16"/>
  <c r="M12" i="16"/>
  <c r="E12" i="16"/>
  <c r="J11" i="16"/>
  <c r="O10" i="16"/>
  <c r="G10" i="16"/>
  <c r="L9" i="16"/>
  <c r="Q8" i="16"/>
  <c r="I8" i="16"/>
  <c r="L11" i="16"/>
  <c r="D11" i="16"/>
  <c r="L12" i="16"/>
  <c r="Q11" i="16"/>
  <c r="I11" i="16"/>
  <c r="N10" i="16"/>
  <c r="F10" i="16"/>
  <c r="K9" i="16"/>
  <c r="P8" i="16"/>
  <c r="H8" i="16"/>
  <c r="D10" i="16"/>
  <c r="K12" i="16"/>
  <c r="P11" i="16"/>
  <c r="H11" i="16"/>
  <c r="M10" i="16"/>
  <c r="E10" i="16"/>
  <c r="J9" i="16"/>
  <c r="O8" i="16"/>
  <c r="G8" i="16"/>
  <c r="D9" i="16"/>
  <c r="J12" i="16"/>
  <c r="O11" i="16"/>
  <c r="G11" i="16"/>
  <c r="L10" i="16"/>
  <c r="Q9" i="16"/>
  <c r="I9" i="16"/>
  <c r="N8" i="16"/>
  <c r="F8" i="16"/>
  <c r="Q12" i="16"/>
  <c r="I12" i="16"/>
  <c r="N11" i="16"/>
  <c r="F11" i="16"/>
  <c r="K10" i="16"/>
  <c r="P9" i="16"/>
  <c r="H9" i="16"/>
  <c r="M8" i="16"/>
  <c r="E8" i="16"/>
  <c r="D66" i="19"/>
  <c r="C66" i="19"/>
  <c r="D65" i="19"/>
  <c r="C65" i="19"/>
  <c r="E65" i="19" s="1"/>
  <c r="D64" i="19"/>
  <c r="C64" i="19"/>
  <c r="E64" i="19" s="1"/>
  <c r="D63" i="19"/>
  <c r="C63" i="19"/>
  <c r="D62" i="19"/>
  <c r="C62" i="19"/>
  <c r="D61" i="19"/>
  <c r="C61" i="19"/>
  <c r="E61" i="19" s="1"/>
  <c r="D60" i="19"/>
  <c r="C60" i="19"/>
  <c r="D59" i="19"/>
  <c r="C59" i="19"/>
  <c r="D58" i="19"/>
  <c r="C58" i="19"/>
  <c r="D57" i="19"/>
  <c r="C57" i="19"/>
  <c r="D56" i="19"/>
  <c r="C56" i="19"/>
  <c r="E56" i="19" s="1"/>
  <c r="D55" i="19"/>
  <c r="C55" i="19"/>
  <c r="D53" i="19"/>
  <c r="C53" i="19"/>
  <c r="D52" i="19"/>
  <c r="C52" i="19"/>
  <c r="E52" i="19" s="1"/>
  <c r="D51" i="19"/>
  <c r="C51" i="19"/>
  <c r="E51" i="19" s="1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E44" i="19" s="1"/>
  <c r="D43" i="19"/>
  <c r="C43" i="19"/>
  <c r="E43" i="19" s="1"/>
  <c r="D42" i="19"/>
  <c r="C42" i="19"/>
  <c r="D40" i="19"/>
  <c r="C40" i="19"/>
  <c r="D39" i="19"/>
  <c r="C39" i="19"/>
  <c r="E39" i="19" s="1"/>
  <c r="D38" i="19"/>
  <c r="C38" i="19"/>
  <c r="E38" i="19" s="1"/>
  <c r="D37" i="19"/>
  <c r="C37" i="19"/>
  <c r="D36" i="19"/>
  <c r="C36" i="19"/>
  <c r="D35" i="19"/>
  <c r="C35" i="19"/>
  <c r="E35" i="19" s="1"/>
  <c r="D34" i="19"/>
  <c r="C34" i="19"/>
  <c r="D33" i="19"/>
  <c r="C33" i="19"/>
  <c r="D32" i="19"/>
  <c r="C32" i="19"/>
  <c r="D31" i="19"/>
  <c r="C31" i="19"/>
  <c r="D30" i="19"/>
  <c r="C30" i="19"/>
  <c r="E30" i="19" s="1"/>
  <c r="D29" i="19"/>
  <c r="D27" i="19"/>
  <c r="C27" i="19"/>
  <c r="E27" i="19" s="1"/>
  <c r="D26" i="19"/>
  <c r="E26" i="19" s="1"/>
  <c r="C26" i="19"/>
  <c r="D25" i="19"/>
  <c r="E25" i="19" s="1"/>
  <c r="C25" i="19"/>
  <c r="D24" i="19"/>
  <c r="C24" i="19"/>
  <c r="D23" i="19"/>
  <c r="C23" i="19"/>
  <c r="D22" i="19"/>
  <c r="E22" i="19" s="1"/>
  <c r="C22" i="19"/>
  <c r="D21" i="19"/>
  <c r="E21" i="19" s="1"/>
  <c r="C21" i="19"/>
  <c r="D20" i="19"/>
  <c r="C20" i="19"/>
  <c r="D19" i="19"/>
  <c r="C19" i="19"/>
  <c r="E19" i="19" s="1"/>
  <c r="D18" i="19"/>
  <c r="E18" i="19" s="1"/>
  <c r="C18" i="19"/>
  <c r="D17" i="19"/>
  <c r="C17" i="19"/>
  <c r="D16" i="19"/>
  <c r="C16" i="19"/>
  <c r="D14" i="19"/>
  <c r="C14" i="19"/>
  <c r="E14" i="19" s="1"/>
  <c r="D13" i="19"/>
  <c r="E13" i="19" s="1"/>
  <c r="C13" i="19"/>
  <c r="D12" i="19"/>
  <c r="C12" i="19"/>
  <c r="E12" i="19" s="1"/>
  <c r="D11" i="19"/>
  <c r="C11" i="19"/>
  <c r="D10" i="19"/>
  <c r="C10" i="19"/>
  <c r="D9" i="19"/>
  <c r="C9" i="19"/>
  <c r="E9" i="19" s="1"/>
  <c r="D8" i="19"/>
  <c r="C8" i="19"/>
  <c r="D7" i="19"/>
  <c r="C7" i="19"/>
  <c r="D6" i="19"/>
  <c r="C6" i="19"/>
  <c r="E6" i="19" s="1"/>
  <c r="D5" i="19"/>
  <c r="E5" i="19" s="1"/>
  <c r="C5" i="19"/>
  <c r="D4" i="19"/>
  <c r="C4" i="19"/>
  <c r="D3" i="19"/>
  <c r="C3" i="19"/>
  <c r="E63" i="19"/>
  <c r="E60" i="19"/>
  <c r="E59" i="19"/>
  <c r="E57" i="19"/>
  <c r="E55" i="19"/>
  <c r="E50" i="19"/>
  <c r="E48" i="19"/>
  <c r="E47" i="19"/>
  <c r="E46" i="19"/>
  <c r="E42" i="19"/>
  <c r="E37" i="19"/>
  <c r="E29" i="19"/>
  <c r="E24" i="19"/>
  <c r="E20" i="19"/>
  <c r="E17" i="19"/>
  <c r="E16" i="19"/>
  <c r="E11" i="19"/>
  <c r="E7" i="19"/>
  <c r="E3" i="19"/>
  <c r="E31" i="19" l="1"/>
  <c r="E4" i="19"/>
  <c r="E8" i="19"/>
  <c r="E10" i="19"/>
  <c r="E23" i="19"/>
  <c r="E34" i="19"/>
  <c r="E32" i="19"/>
  <c r="E36" i="19"/>
  <c r="E40" i="19"/>
  <c r="E45" i="19"/>
  <c r="E49" i="19"/>
  <c r="E53" i="19"/>
  <c r="E58" i="19"/>
  <c r="E62" i="19"/>
  <c r="E66" i="19"/>
  <c r="E33" i="19"/>
  <c r="Q89" i="16"/>
  <c r="Q87" i="16"/>
  <c r="R33" i="17"/>
  <c r="L34" i="12" s="1"/>
  <c r="R34" i="17"/>
  <c r="L28" i="12" s="1"/>
  <c r="R35" i="17"/>
  <c r="L29" i="12" s="1"/>
  <c r="R36" i="17"/>
  <c r="L30" i="12" s="1"/>
  <c r="R37" i="17"/>
  <c r="L31" i="12" s="1"/>
  <c r="R38" i="17"/>
  <c r="R39" i="17"/>
  <c r="R40" i="17"/>
  <c r="R41" i="17"/>
  <c r="R42" i="17"/>
  <c r="R43" i="17"/>
  <c r="R44" i="17"/>
  <c r="R18" i="17"/>
  <c r="L27" i="12" s="1"/>
  <c r="R19" i="17"/>
  <c r="L21" i="12" s="1"/>
  <c r="R20" i="17"/>
  <c r="L22" i="12" s="1"/>
  <c r="R21" i="17"/>
  <c r="L23" i="12" s="1"/>
  <c r="R22" i="17"/>
  <c r="L24" i="12" s="1"/>
  <c r="R23" i="17"/>
  <c r="R24" i="17"/>
  <c r="R25" i="17"/>
  <c r="R26" i="17"/>
  <c r="R27" i="17"/>
  <c r="R28" i="17"/>
  <c r="R29" i="17"/>
  <c r="L18" i="17"/>
  <c r="L20" i="12" s="1"/>
  <c r="L19" i="17"/>
  <c r="L20" i="17"/>
  <c r="L21" i="17"/>
  <c r="L22" i="17"/>
  <c r="L23" i="17"/>
  <c r="L24" i="17"/>
  <c r="L25" i="17"/>
  <c r="L26" i="17"/>
  <c r="L27" i="17"/>
  <c r="L28" i="17"/>
  <c r="L29" i="17"/>
  <c r="R3" i="17"/>
  <c r="L13" i="12" s="1"/>
  <c r="R4" i="17"/>
  <c r="L7" i="12" s="1"/>
  <c r="R5" i="17"/>
  <c r="L8" i="12" s="1"/>
  <c r="R6" i="17"/>
  <c r="R7" i="17"/>
  <c r="L10" i="12" s="1"/>
  <c r="R8" i="17"/>
  <c r="R9" i="17"/>
  <c r="R10" i="17"/>
  <c r="R11" i="17"/>
  <c r="R12" i="17"/>
  <c r="R13" i="17"/>
  <c r="R14" i="17"/>
  <c r="L3" i="17"/>
  <c r="L41" i="12" s="1"/>
  <c r="L4" i="17"/>
  <c r="L5" i="17"/>
  <c r="L6" i="17"/>
  <c r="L7" i="17"/>
  <c r="L38" i="12" s="1"/>
  <c r="L8" i="17"/>
  <c r="L9" i="17"/>
  <c r="L10" i="17"/>
  <c r="L11" i="17"/>
  <c r="L12" i="17"/>
  <c r="L13" i="17"/>
  <c r="L14" i="17"/>
  <c r="E85" i="16" l="1"/>
  <c r="O87" i="16"/>
  <c r="I87" i="16"/>
  <c r="I88" i="16"/>
  <c r="K88" i="16"/>
  <c r="Q88" i="16"/>
  <c r="L36" i="12"/>
  <c r="G89" i="16"/>
  <c r="L35" i="12"/>
  <c r="L37" i="12"/>
  <c r="L9" i="12"/>
  <c r="G86" i="16"/>
  <c r="I86" i="16"/>
  <c r="L40" i="12"/>
  <c r="E86" i="16"/>
  <c r="L32" i="12"/>
  <c r="L33" i="12"/>
  <c r="L11" i="12"/>
  <c r="L25" i="12"/>
  <c r="K86" i="16"/>
  <c r="L39" i="12"/>
  <c r="L18" i="12"/>
  <c r="L12" i="12"/>
  <c r="L19" i="12"/>
  <c r="L26" i="12"/>
  <c r="P33" i="17"/>
  <c r="P18" i="17"/>
  <c r="J18" i="17"/>
  <c r="P34" i="17"/>
  <c r="P35" i="17"/>
  <c r="P36" i="17"/>
  <c r="Q36" i="17" s="1"/>
  <c r="K30" i="12" s="1"/>
  <c r="M30" i="12" s="1"/>
  <c r="P37" i="17"/>
  <c r="P38" i="17"/>
  <c r="P39" i="17"/>
  <c r="Q39" i="17" s="1"/>
  <c r="P40" i="17"/>
  <c r="Q40" i="17" s="1"/>
  <c r="P41" i="17"/>
  <c r="Q41" i="17" s="1"/>
  <c r="P42" i="17"/>
  <c r="Q42" i="17" s="1"/>
  <c r="P43" i="17"/>
  <c r="P44" i="17"/>
  <c r="Q44" i="17" s="1"/>
  <c r="P19" i="17"/>
  <c r="P20" i="17"/>
  <c r="P21" i="17"/>
  <c r="P22" i="17"/>
  <c r="P23" i="17"/>
  <c r="P24" i="17"/>
  <c r="Q24" i="17" s="1"/>
  <c r="P25" i="17"/>
  <c r="Q25" i="17" s="1"/>
  <c r="P26" i="17"/>
  <c r="Q26" i="17" s="1"/>
  <c r="P27" i="17"/>
  <c r="Q27" i="17" s="1"/>
  <c r="P28" i="17"/>
  <c r="P29" i="17"/>
  <c r="Q29" i="17" s="1"/>
  <c r="P3" i="17"/>
  <c r="P4" i="17"/>
  <c r="P5" i="17"/>
  <c r="P6" i="17"/>
  <c r="P7" i="17"/>
  <c r="P8" i="17"/>
  <c r="P9" i="17"/>
  <c r="Q9" i="17" s="1"/>
  <c r="P10" i="17"/>
  <c r="Q10" i="17" s="1"/>
  <c r="P11" i="17"/>
  <c r="Q11" i="17" s="1"/>
  <c r="P12" i="17"/>
  <c r="Q12" i="17" s="1"/>
  <c r="P13" i="17"/>
  <c r="P14" i="17"/>
  <c r="Q14" i="17" s="1"/>
  <c r="J19" i="17"/>
  <c r="J20" i="17"/>
  <c r="J21" i="17"/>
  <c r="J22" i="17"/>
  <c r="J23" i="17"/>
  <c r="J24" i="17"/>
  <c r="K24" i="17" s="1"/>
  <c r="J25" i="17"/>
  <c r="K25" i="17" s="1"/>
  <c r="J26" i="17"/>
  <c r="K26" i="17" s="1"/>
  <c r="J27" i="17"/>
  <c r="K27" i="17" s="1"/>
  <c r="J28" i="17"/>
  <c r="J29" i="17"/>
  <c r="K29" i="17" s="1"/>
  <c r="J3" i="17"/>
  <c r="J4" i="17"/>
  <c r="J5" i="17"/>
  <c r="J6" i="17"/>
  <c r="J7" i="17"/>
  <c r="J8" i="17"/>
  <c r="J9" i="17"/>
  <c r="K9" i="17" s="1"/>
  <c r="J10" i="17"/>
  <c r="K10" i="17" s="1"/>
  <c r="J11" i="17"/>
  <c r="K11" i="17" s="1"/>
  <c r="J12" i="17"/>
  <c r="K12" i="17" s="1"/>
  <c r="J13" i="17"/>
  <c r="J14" i="17"/>
  <c r="K14" i="17" s="1"/>
  <c r="C16" i="17"/>
  <c r="D34" i="13"/>
  <c r="D56" i="17"/>
  <c r="D57" i="17"/>
  <c r="D58" i="17"/>
  <c r="D59" i="17"/>
  <c r="D60" i="17"/>
  <c r="D61" i="17"/>
  <c r="D62" i="17"/>
  <c r="D63" i="17"/>
  <c r="D64" i="17"/>
  <c r="D65" i="17"/>
  <c r="D66" i="17"/>
  <c r="D55" i="17"/>
  <c r="C56" i="17"/>
  <c r="C57" i="17"/>
  <c r="C58" i="17"/>
  <c r="C59" i="17"/>
  <c r="C60" i="17"/>
  <c r="C61" i="17"/>
  <c r="C62" i="17"/>
  <c r="C63" i="17"/>
  <c r="C64" i="17"/>
  <c r="C65" i="17"/>
  <c r="C66" i="17"/>
  <c r="C55" i="17"/>
  <c r="D43" i="17"/>
  <c r="D44" i="17"/>
  <c r="D45" i="17"/>
  <c r="D46" i="17"/>
  <c r="D47" i="17"/>
  <c r="D48" i="17"/>
  <c r="D49" i="17"/>
  <c r="D50" i="17"/>
  <c r="D51" i="17"/>
  <c r="D52" i="17"/>
  <c r="D53" i="17"/>
  <c r="C43" i="17"/>
  <c r="C44" i="17"/>
  <c r="C45" i="17"/>
  <c r="C46" i="17"/>
  <c r="C47" i="17"/>
  <c r="C48" i="17"/>
  <c r="C49" i="17"/>
  <c r="C50" i="17"/>
  <c r="C51" i="17"/>
  <c r="C52" i="17"/>
  <c r="C53" i="17"/>
  <c r="D42" i="17"/>
  <c r="C42" i="17"/>
  <c r="D30" i="17"/>
  <c r="D31" i="17"/>
  <c r="D32" i="17"/>
  <c r="D33" i="17"/>
  <c r="D34" i="17"/>
  <c r="D35" i="17"/>
  <c r="D36" i="17"/>
  <c r="D37" i="17"/>
  <c r="D38" i="17"/>
  <c r="D39" i="17"/>
  <c r="D40" i="17"/>
  <c r="D29" i="17"/>
  <c r="C30" i="17"/>
  <c r="C31" i="17"/>
  <c r="C32" i="17"/>
  <c r="C33" i="17"/>
  <c r="C34" i="17"/>
  <c r="C35" i="17"/>
  <c r="C36" i="17"/>
  <c r="C37" i="17"/>
  <c r="C38" i="17"/>
  <c r="C39" i="17"/>
  <c r="C40" i="17"/>
  <c r="D17" i="17"/>
  <c r="D18" i="17"/>
  <c r="D19" i="17"/>
  <c r="D20" i="17"/>
  <c r="D21" i="17"/>
  <c r="D22" i="17"/>
  <c r="D23" i="17"/>
  <c r="D24" i="17"/>
  <c r="D25" i="17"/>
  <c r="D26" i="17"/>
  <c r="D27" i="17"/>
  <c r="D16" i="17"/>
  <c r="C17" i="17"/>
  <c r="C18" i="17"/>
  <c r="C19" i="17"/>
  <c r="C20" i="17"/>
  <c r="C21" i="17"/>
  <c r="C22" i="17"/>
  <c r="C23" i="17"/>
  <c r="C24" i="17"/>
  <c r="C25" i="17"/>
  <c r="C26" i="17"/>
  <c r="C27" i="17"/>
  <c r="D4" i="17"/>
  <c r="D5" i="17"/>
  <c r="D6" i="17"/>
  <c r="D7" i="17"/>
  <c r="D8" i="17"/>
  <c r="D9" i="17"/>
  <c r="D10" i="17"/>
  <c r="D11" i="17"/>
  <c r="D12" i="17"/>
  <c r="D13" i="17"/>
  <c r="D14" i="17"/>
  <c r="D3" i="17"/>
  <c r="C6" i="17"/>
  <c r="C7" i="17"/>
  <c r="C8" i="17"/>
  <c r="C9" i="17"/>
  <c r="C10" i="17"/>
  <c r="C11" i="17"/>
  <c r="C12" i="17"/>
  <c r="C13" i="17"/>
  <c r="C14" i="17"/>
  <c r="C5" i="17"/>
  <c r="C4" i="17"/>
  <c r="C3" i="17"/>
  <c r="K3" i="17" l="1"/>
  <c r="K17" i="12"/>
  <c r="K22" i="17"/>
  <c r="Q21" i="17"/>
  <c r="Q33" i="17"/>
  <c r="Q86" i="16"/>
  <c r="O89" i="16"/>
  <c r="O86" i="16"/>
  <c r="M86" i="16"/>
  <c r="Q22" i="17"/>
  <c r="M89" i="16"/>
  <c r="Q20" i="17"/>
  <c r="G87" i="16"/>
  <c r="K85" i="16"/>
  <c r="E89" i="16"/>
  <c r="K28" i="17"/>
  <c r="K15" i="12"/>
  <c r="K20" i="17"/>
  <c r="Q8" i="17"/>
  <c r="Q19" i="17"/>
  <c r="Q37" i="17"/>
  <c r="M88" i="16"/>
  <c r="O88" i="16"/>
  <c r="Q18" i="17"/>
  <c r="E88" i="16"/>
  <c r="K16" i="12"/>
  <c r="K21" i="17"/>
  <c r="Q28" i="17"/>
  <c r="Q38" i="17"/>
  <c r="I85" i="16"/>
  <c r="K8" i="17"/>
  <c r="K14" i="12"/>
  <c r="K19" i="17"/>
  <c r="Q7" i="17"/>
  <c r="K87" i="16"/>
  <c r="G88" i="16"/>
  <c r="M87" i="16"/>
  <c r="I89" i="16"/>
  <c r="K4" i="17"/>
  <c r="K7" i="17"/>
  <c r="Q6" i="17"/>
  <c r="Q43" i="17"/>
  <c r="Q35" i="17"/>
  <c r="E87" i="16"/>
  <c r="G85" i="16"/>
  <c r="K23" i="17"/>
  <c r="Q3" i="17"/>
  <c r="K6" i="17"/>
  <c r="Q13" i="17"/>
  <c r="Q5" i="17"/>
  <c r="Q34" i="17"/>
  <c r="Q85" i="16"/>
  <c r="O85" i="16"/>
  <c r="E32" i="17"/>
  <c r="K13" i="17"/>
  <c r="K5" i="17"/>
  <c r="Q4" i="17"/>
  <c r="Q23" i="17"/>
  <c r="K18" i="17"/>
  <c r="M85" i="16"/>
  <c r="K89" i="16"/>
  <c r="N30" i="12"/>
  <c r="E3" i="17"/>
  <c r="E27" i="17"/>
  <c r="E19" i="17"/>
  <c r="E39" i="17"/>
  <c r="E26" i="17"/>
  <c r="E18" i="17"/>
  <c r="E38" i="17"/>
  <c r="E30" i="17"/>
  <c r="E64" i="17"/>
  <c r="E56" i="17"/>
  <c r="E51" i="17"/>
  <c r="E43" i="17"/>
  <c r="E25" i="17"/>
  <c r="E17" i="17"/>
  <c r="E37" i="17"/>
  <c r="E63" i="17"/>
  <c r="E50" i="17"/>
  <c r="E14" i="17"/>
  <c r="E23" i="17"/>
  <c r="E35" i="17"/>
  <c r="E61" i="17"/>
  <c r="E31" i="17"/>
  <c r="E65" i="17"/>
  <c r="E57" i="17"/>
  <c r="E52" i="17"/>
  <c r="E44" i="17"/>
  <c r="E24" i="17"/>
  <c r="E36" i="17"/>
  <c r="E62" i="17"/>
  <c r="E49" i="17"/>
  <c r="E48" i="17"/>
  <c r="E33" i="17"/>
  <c r="E42" i="17"/>
  <c r="E55" i="17"/>
  <c r="E59" i="17"/>
  <c r="E22" i="17"/>
  <c r="E34" i="17"/>
  <c r="E60" i="17"/>
  <c r="E9" i="17"/>
  <c r="E29" i="17"/>
  <c r="W36" i="13" s="1"/>
  <c r="E21" i="17"/>
  <c r="E47" i="17"/>
  <c r="E46" i="17"/>
  <c r="E66" i="17"/>
  <c r="E58" i="17"/>
  <c r="E20" i="17"/>
  <c r="E40" i="17"/>
  <c r="E4" i="17"/>
  <c r="E53" i="17"/>
  <c r="E45" i="17"/>
  <c r="E16" i="17"/>
  <c r="E7" i="17"/>
  <c r="E12" i="17"/>
  <c r="E10" i="17"/>
  <c r="E8" i="17"/>
  <c r="E11" i="17"/>
  <c r="E5" i="17"/>
  <c r="E6" i="17"/>
  <c r="E13" i="17"/>
  <c r="O32" i="13"/>
  <c r="O30" i="13"/>
  <c r="O20" i="13"/>
  <c r="O15" i="13"/>
  <c r="O5" i="13"/>
  <c r="V34" i="13"/>
  <c r="S34" i="13"/>
  <c r="P34" i="13"/>
  <c r="M34" i="13"/>
  <c r="J34" i="13"/>
  <c r="G34" i="13"/>
  <c r="V33" i="13"/>
  <c r="S33" i="13"/>
  <c r="P33" i="13"/>
  <c r="M33" i="13"/>
  <c r="J33" i="13"/>
  <c r="G33" i="13"/>
  <c r="D33" i="13"/>
  <c r="V32" i="13"/>
  <c r="S32" i="13"/>
  <c r="P32" i="13"/>
  <c r="M32" i="13"/>
  <c r="J32" i="13"/>
  <c r="G32" i="13"/>
  <c r="D32" i="13"/>
  <c r="V31" i="13"/>
  <c r="S31" i="13"/>
  <c r="P31" i="13"/>
  <c r="M31" i="13"/>
  <c r="J31" i="13"/>
  <c r="G31" i="13"/>
  <c r="D31" i="13"/>
  <c r="V30" i="13"/>
  <c r="S30" i="13"/>
  <c r="P30" i="13"/>
  <c r="M30" i="13"/>
  <c r="J30" i="13"/>
  <c r="G30" i="13"/>
  <c r="D30" i="13"/>
  <c r="V29" i="13"/>
  <c r="S29" i="13"/>
  <c r="P29" i="13"/>
  <c r="M29" i="13"/>
  <c r="J29" i="13"/>
  <c r="G29" i="13"/>
  <c r="D29" i="13"/>
  <c r="V28" i="13"/>
  <c r="S28" i="13"/>
  <c r="P28" i="13"/>
  <c r="M28" i="13"/>
  <c r="J28" i="13"/>
  <c r="G28" i="13"/>
  <c r="D28" i="13"/>
  <c r="V27" i="13"/>
  <c r="S27" i="13"/>
  <c r="P27" i="13"/>
  <c r="M27" i="13"/>
  <c r="J27" i="13"/>
  <c r="G27" i="13"/>
  <c r="D27" i="13"/>
  <c r="V26" i="13"/>
  <c r="S26" i="13"/>
  <c r="P26" i="13"/>
  <c r="M26" i="13"/>
  <c r="J26" i="13"/>
  <c r="G26" i="13"/>
  <c r="D26" i="13"/>
  <c r="V25" i="13"/>
  <c r="S25" i="13"/>
  <c r="P25" i="13"/>
  <c r="M25" i="13"/>
  <c r="J25" i="13"/>
  <c r="G25" i="13"/>
  <c r="D25" i="13"/>
  <c r="V24" i="13"/>
  <c r="S24" i="13"/>
  <c r="P24" i="13"/>
  <c r="M24" i="13"/>
  <c r="J24" i="13"/>
  <c r="G24" i="13"/>
  <c r="D24" i="13"/>
  <c r="V23" i="13"/>
  <c r="S23" i="13"/>
  <c r="P23" i="13"/>
  <c r="M23" i="13"/>
  <c r="J23" i="13"/>
  <c r="G23" i="13"/>
  <c r="D23" i="13"/>
  <c r="V22" i="13"/>
  <c r="S22" i="13"/>
  <c r="P22" i="13"/>
  <c r="M22" i="13"/>
  <c r="J22" i="13"/>
  <c r="G22" i="13"/>
  <c r="D22" i="13"/>
  <c r="V21" i="13"/>
  <c r="S21" i="13"/>
  <c r="P21" i="13"/>
  <c r="M21" i="13"/>
  <c r="J21" i="13"/>
  <c r="G21" i="13"/>
  <c r="D21" i="13"/>
  <c r="V20" i="13"/>
  <c r="S20" i="13"/>
  <c r="P20" i="13"/>
  <c r="M20" i="13"/>
  <c r="J20" i="13"/>
  <c r="G20" i="13"/>
  <c r="D20" i="13"/>
  <c r="V19" i="13"/>
  <c r="S19" i="13"/>
  <c r="P19" i="13"/>
  <c r="M19" i="13"/>
  <c r="J19" i="13"/>
  <c r="G19" i="13"/>
  <c r="D19" i="13"/>
  <c r="V18" i="13"/>
  <c r="S18" i="13"/>
  <c r="P18" i="13"/>
  <c r="M18" i="13"/>
  <c r="J18" i="13"/>
  <c r="G18" i="13"/>
  <c r="D18" i="13"/>
  <c r="V17" i="13"/>
  <c r="S17" i="13"/>
  <c r="P17" i="13"/>
  <c r="M17" i="13"/>
  <c r="J17" i="13"/>
  <c r="G17" i="13"/>
  <c r="D17" i="13"/>
  <c r="V16" i="13"/>
  <c r="S16" i="13"/>
  <c r="P16" i="13"/>
  <c r="M16" i="13"/>
  <c r="J16" i="13"/>
  <c r="G16" i="13"/>
  <c r="D16" i="13"/>
  <c r="V15" i="13"/>
  <c r="S15" i="13"/>
  <c r="P15" i="13"/>
  <c r="M15" i="13"/>
  <c r="J15" i="13"/>
  <c r="G15" i="13"/>
  <c r="D15" i="13"/>
  <c r="V14" i="13"/>
  <c r="S14" i="13"/>
  <c r="P14" i="13"/>
  <c r="M14" i="13"/>
  <c r="G14" i="13"/>
  <c r="D14" i="13"/>
  <c r="V13" i="13"/>
  <c r="S13" i="13"/>
  <c r="P13" i="13"/>
  <c r="M13" i="13"/>
  <c r="G13" i="13"/>
  <c r="D13" i="13"/>
  <c r="V12" i="13"/>
  <c r="S12" i="13"/>
  <c r="P12" i="13"/>
  <c r="M12" i="13"/>
  <c r="G12" i="13"/>
  <c r="D12" i="13"/>
  <c r="V11" i="13"/>
  <c r="S11" i="13"/>
  <c r="P11" i="13"/>
  <c r="M11" i="13"/>
  <c r="G11" i="13"/>
  <c r="D11" i="13"/>
  <c r="V10" i="13"/>
  <c r="S10" i="13"/>
  <c r="P10" i="13"/>
  <c r="M10" i="13"/>
  <c r="G10" i="13"/>
  <c r="D10" i="13"/>
  <c r="V9" i="13"/>
  <c r="S9" i="13"/>
  <c r="P9" i="13"/>
  <c r="M9" i="13"/>
  <c r="D9" i="13"/>
  <c r="V8" i="13"/>
  <c r="S8" i="13"/>
  <c r="P8" i="13"/>
  <c r="M8" i="13"/>
  <c r="G8" i="13"/>
  <c r="D8" i="13"/>
  <c r="V7" i="13"/>
  <c r="S7" i="13"/>
  <c r="P7" i="13"/>
  <c r="M7" i="13"/>
  <c r="G7" i="13"/>
  <c r="D7" i="13"/>
  <c r="V6" i="13"/>
  <c r="S6" i="13"/>
  <c r="P6" i="13"/>
  <c r="M6" i="13"/>
  <c r="G6" i="13"/>
  <c r="D6" i="13"/>
  <c r="V5" i="13"/>
  <c r="S5" i="13"/>
  <c r="P5" i="13"/>
  <c r="M5" i="13"/>
  <c r="G5" i="13"/>
  <c r="D5" i="13"/>
  <c r="Q88" i="22" l="1"/>
  <c r="P82" i="13"/>
  <c r="X36" i="13"/>
  <c r="K32" i="12"/>
  <c r="K38" i="12"/>
  <c r="K8" i="12"/>
  <c r="K35" i="12"/>
  <c r="K39" i="12"/>
  <c r="K26" i="12"/>
  <c r="K31" i="12"/>
  <c r="M15" i="12"/>
  <c r="K24" i="12"/>
  <c r="L14" i="12"/>
  <c r="N14" i="12" s="1"/>
  <c r="K13" i="12"/>
  <c r="K20" i="12"/>
  <c r="K25" i="12"/>
  <c r="K12" i="12"/>
  <c r="K29" i="12"/>
  <c r="L16" i="12"/>
  <c r="N16" i="12" s="1"/>
  <c r="K19" i="12"/>
  <c r="K33" i="12"/>
  <c r="K23" i="12"/>
  <c r="M14" i="12"/>
  <c r="K27" i="12"/>
  <c r="L15" i="12"/>
  <c r="N15" i="12" s="1"/>
  <c r="L17" i="12"/>
  <c r="N17" i="12" s="1"/>
  <c r="K7" i="12"/>
  <c r="K28" i="12"/>
  <c r="K40" i="12"/>
  <c r="K18" i="12"/>
  <c r="K37" i="12"/>
  <c r="K21" i="12"/>
  <c r="K34" i="12"/>
  <c r="K41" i="12"/>
  <c r="K36" i="12"/>
  <c r="K9" i="12"/>
  <c r="K10" i="12"/>
  <c r="K11" i="12"/>
  <c r="K22" i="12"/>
  <c r="R88" i="22" l="1"/>
  <c r="Q82" i="13"/>
  <c r="P86" i="16"/>
  <c r="N7" i="12"/>
  <c r="M7" i="12"/>
  <c r="H88" i="16"/>
  <c r="M35" i="12"/>
  <c r="N35" i="12"/>
  <c r="M11" i="12"/>
  <c r="N11" i="12"/>
  <c r="M41" i="12"/>
  <c r="N41" i="12"/>
  <c r="L86" i="16"/>
  <c r="J86" i="16"/>
  <c r="M23" i="12"/>
  <c r="N23" i="12"/>
  <c r="F88" i="16"/>
  <c r="P85" i="16"/>
  <c r="J88" i="16"/>
  <c r="F85" i="16"/>
  <c r="H86" i="16"/>
  <c r="L85" i="16"/>
  <c r="J85" i="16"/>
  <c r="P88" i="16"/>
  <c r="N88" i="16"/>
  <c r="M29" i="12"/>
  <c r="N29" i="12"/>
  <c r="M13" i="12"/>
  <c r="N13" i="12"/>
  <c r="M31" i="12"/>
  <c r="N31" i="12"/>
  <c r="M8" i="12"/>
  <c r="N8" i="12"/>
  <c r="M36" i="12"/>
  <c r="N36" i="12"/>
  <c r="M37" i="12"/>
  <c r="N37" i="12"/>
  <c r="H87" i="16"/>
  <c r="M18" i="12"/>
  <c r="N18" i="12"/>
  <c r="N89" i="16"/>
  <c r="N85" i="16"/>
  <c r="D87" i="16"/>
  <c r="M17" i="12"/>
  <c r="M12" i="12"/>
  <c r="N12" i="12"/>
  <c r="M26" i="12"/>
  <c r="N26" i="12"/>
  <c r="M38" i="12"/>
  <c r="N38" i="12"/>
  <c r="M22" i="12"/>
  <c r="N22" i="12"/>
  <c r="D85" i="16"/>
  <c r="M20" i="12"/>
  <c r="N20" i="12"/>
  <c r="M10" i="12"/>
  <c r="N10" i="12"/>
  <c r="N87" i="16"/>
  <c r="H85" i="16"/>
  <c r="D88" i="16"/>
  <c r="N86" i="16"/>
  <c r="L87" i="16"/>
  <c r="J87" i="16"/>
  <c r="L89" i="16"/>
  <c r="L88" i="16"/>
  <c r="H89" i="16"/>
  <c r="D89" i="16"/>
  <c r="P89" i="16"/>
  <c r="M34" i="12"/>
  <c r="N34" i="12"/>
  <c r="F86" i="16"/>
  <c r="M33" i="12"/>
  <c r="N33" i="12"/>
  <c r="D86" i="16"/>
  <c r="J89" i="16"/>
  <c r="M40" i="12"/>
  <c r="N40" i="12"/>
  <c r="M9" i="12"/>
  <c r="N9" i="12"/>
  <c r="M21" i="12"/>
  <c r="N21" i="12"/>
  <c r="P87" i="16"/>
  <c r="F87" i="16"/>
  <c r="F89" i="16"/>
  <c r="M16" i="12"/>
  <c r="M28" i="12"/>
  <c r="N28" i="12"/>
  <c r="M27" i="12"/>
  <c r="N27" i="12"/>
  <c r="M19" i="12"/>
  <c r="N19" i="12"/>
  <c r="M25" i="12"/>
  <c r="N25" i="12"/>
  <c r="M24" i="12"/>
  <c r="N24" i="12"/>
  <c r="M39" i="12"/>
  <c r="N39" i="12"/>
  <c r="M32" i="12"/>
  <c r="N32" i="12"/>
  <c r="E68" i="9"/>
  <c r="W14" i="13" s="1"/>
  <c r="E69" i="9"/>
  <c r="E70" i="9"/>
  <c r="E72" i="9"/>
  <c r="E73" i="9"/>
  <c r="Q14" i="13" s="1"/>
  <c r="E74" i="9"/>
  <c r="E75" i="9"/>
  <c r="E76" i="9"/>
  <c r="E77" i="9"/>
  <c r="E78" i="9"/>
  <c r="E79" i="9"/>
  <c r="E81" i="9"/>
  <c r="W10" i="13" s="1"/>
  <c r="E82" i="9"/>
  <c r="E83" i="9"/>
  <c r="E85" i="9"/>
  <c r="E86" i="9"/>
  <c r="Q10" i="13" s="1"/>
  <c r="E87" i="9"/>
  <c r="E88" i="9"/>
  <c r="E89" i="9"/>
  <c r="E90" i="9"/>
  <c r="E91" i="9"/>
  <c r="E92" i="9"/>
  <c r="E94" i="9"/>
  <c r="W11" i="13" s="1"/>
  <c r="E95" i="9"/>
  <c r="E96" i="9"/>
  <c r="E98" i="9"/>
  <c r="E99" i="9"/>
  <c r="Q11" i="13" s="1"/>
  <c r="E100" i="9"/>
  <c r="E101" i="9"/>
  <c r="E102" i="9"/>
  <c r="E103" i="9"/>
  <c r="E104" i="9"/>
  <c r="E105" i="9"/>
  <c r="E107" i="9"/>
  <c r="W12" i="13" s="1"/>
  <c r="E108" i="9"/>
  <c r="E109" i="9"/>
  <c r="E111" i="9"/>
  <c r="E112" i="9"/>
  <c r="Q12" i="13" s="1"/>
  <c r="E113" i="9"/>
  <c r="E114" i="9"/>
  <c r="E115" i="9"/>
  <c r="E116" i="9"/>
  <c r="E117" i="9"/>
  <c r="E118" i="9"/>
  <c r="E120" i="9"/>
  <c r="W13" i="13" s="1"/>
  <c r="E121" i="9"/>
  <c r="E122" i="9"/>
  <c r="E124" i="9"/>
  <c r="E125" i="9"/>
  <c r="Q13" i="13" s="1"/>
  <c r="E126" i="9"/>
  <c r="E127" i="9"/>
  <c r="E128" i="9"/>
  <c r="E129" i="9"/>
  <c r="E130" i="9"/>
  <c r="E131" i="9"/>
  <c r="E133" i="9"/>
  <c r="W19" i="13" s="1"/>
  <c r="E134" i="9"/>
  <c r="E135" i="9"/>
  <c r="E136" i="9"/>
  <c r="K19" i="13" s="1"/>
  <c r="E137" i="9"/>
  <c r="E138" i="9"/>
  <c r="Q19" i="13" s="1"/>
  <c r="E139" i="9"/>
  <c r="E140" i="9"/>
  <c r="E141" i="9"/>
  <c r="E142" i="9"/>
  <c r="E143" i="9"/>
  <c r="E144" i="9"/>
  <c r="E146" i="9"/>
  <c r="W15" i="13" s="1"/>
  <c r="E147" i="9"/>
  <c r="E148" i="9"/>
  <c r="E149" i="9"/>
  <c r="K15" i="13" s="1"/>
  <c r="E150" i="9"/>
  <c r="E151" i="9"/>
  <c r="Q15" i="13" s="1"/>
  <c r="E152" i="9"/>
  <c r="E153" i="9"/>
  <c r="E154" i="9"/>
  <c r="E156" i="9"/>
  <c r="E157" i="9"/>
  <c r="E159" i="9"/>
  <c r="W16" i="13" s="1"/>
  <c r="E160" i="9"/>
  <c r="E161" i="9"/>
  <c r="E162" i="9"/>
  <c r="K16" i="13" s="1"/>
  <c r="E163" i="9"/>
  <c r="E164" i="9"/>
  <c r="Q16" i="13" s="1"/>
  <c r="E165" i="9"/>
  <c r="E166" i="9"/>
  <c r="E167" i="9"/>
  <c r="E168" i="9"/>
  <c r="E169" i="9"/>
  <c r="E170" i="9"/>
  <c r="E172" i="9"/>
  <c r="W17" i="13" s="1"/>
  <c r="E173" i="9"/>
  <c r="E174" i="9"/>
  <c r="E175" i="9"/>
  <c r="K17" i="13" s="1"/>
  <c r="E176" i="9"/>
  <c r="E177" i="9"/>
  <c r="Q17" i="13" s="1"/>
  <c r="E178" i="9"/>
  <c r="E179" i="9"/>
  <c r="E180" i="9"/>
  <c r="E181" i="9"/>
  <c r="E182" i="9"/>
  <c r="E183" i="9"/>
  <c r="E185" i="9"/>
  <c r="W18" i="13" s="1"/>
  <c r="E186" i="9"/>
  <c r="E187" i="9"/>
  <c r="E188" i="9"/>
  <c r="K18" i="13" s="1"/>
  <c r="E189" i="9"/>
  <c r="E190" i="9"/>
  <c r="Q18" i="13" s="1"/>
  <c r="E191" i="9"/>
  <c r="E192" i="9"/>
  <c r="E193" i="9"/>
  <c r="E194" i="9"/>
  <c r="E195" i="9"/>
  <c r="E196" i="9"/>
  <c r="E198" i="9"/>
  <c r="W24" i="13" s="1"/>
  <c r="E199" i="9"/>
  <c r="E200" i="9"/>
  <c r="E201" i="9"/>
  <c r="K24" i="13" s="1"/>
  <c r="E202" i="9"/>
  <c r="E203" i="9"/>
  <c r="Q24" i="13" s="1"/>
  <c r="E204" i="9"/>
  <c r="E205" i="9"/>
  <c r="E206" i="9"/>
  <c r="E207" i="9"/>
  <c r="E208" i="9"/>
  <c r="E209" i="9"/>
  <c r="E211" i="9"/>
  <c r="W20" i="13" s="1"/>
  <c r="E212" i="9"/>
  <c r="E213" i="9"/>
  <c r="E214" i="9"/>
  <c r="K20" i="13" s="1"/>
  <c r="E215" i="9"/>
  <c r="E216" i="9"/>
  <c r="Q20" i="13" s="1"/>
  <c r="E217" i="9"/>
  <c r="E218" i="9"/>
  <c r="E220" i="9"/>
  <c r="E221" i="9"/>
  <c r="E222" i="9"/>
  <c r="E224" i="9"/>
  <c r="W21" i="13" s="1"/>
  <c r="E225" i="9"/>
  <c r="E226" i="9"/>
  <c r="E227" i="9"/>
  <c r="K21" i="13" s="1"/>
  <c r="E228" i="9"/>
  <c r="E229" i="9"/>
  <c r="Q21" i="13" s="1"/>
  <c r="E230" i="9"/>
  <c r="E231" i="9"/>
  <c r="E232" i="9"/>
  <c r="E233" i="9"/>
  <c r="E234" i="9"/>
  <c r="E235" i="9"/>
  <c r="E237" i="9"/>
  <c r="W22" i="13" s="1"/>
  <c r="E238" i="9"/>
  <c r="E239" i="9"/>
  <c r="E240" i="9"/>
  <c r="K22" i="13" s="1"/>
  <c r="E241" i="9"/>
  <c r="E242" i="9"/>
  <c r="Q22" i="13" s="1"/>
  <c r="E243" i="9"/>
  <c r="E244" i="9"/>
  <c r="E245" i="9"/>
  <c r="E246" i="9"/>
  <c r="E247" i="9"/>
  <c r="E248" i="9"/>
  <c r="E250" i="9"/>
  <c r="W23" i="13" s="1"/>
  <c r="E251" i="9"/>
  <c r="E252" i="9"/>
  <c r="E253" i="9"/>
  <c r="K23" i="13" s="1"/>
  <c r="E254" i="9"/>
  <c r="E255" i="9"/>
  <c r="Q23" i="13" s="1"/>
  <c r="E256" i="9"/>
  <c r="E257" i="9"/>
  <c r="E258" i="9"/>
  <c r="E259" i="9"/>
  <c r="E260" i="9"/>
  <c r="E261" i="9"/>
  <c r="E263" i="9"/>
  <c r="W29" i="13" s="1"/>
  <c r="E264" i="9"/>
  <c r="E265" i="9"/>
  <c r="E266" i="9"/>
  <c r="K29" i="13" s="1"/>
  <c r="E267" i="9"/>
  <c r="E268" i="9"/>
  <c r="Q29" i="13" s="1"/>
  <c r="E269" i="9"/>
  <c r="E270" i="9"/>
  <c r="E271" i="9"/>
  <c r="E272" i="9"/>
  <c r="E273" i="9"/>
  <c r="E274" i="9"/>
  <c r="E276" i="9"/>
  <c r="W25" i="13" s="1"/>
  <c r="E277" i="9"/>
  <c r="E278" i="9"/>
  <c r="E279" i="9"/>
  <c r="K25" i="13" s="1"/>
  <c r="E280" i="9"/>
  <c r="E281" i="9"/>
  <c r="Q25" i="13" s="1"/>
  <c r="E282" i="9"/>
  <c r="E283" i="9"/>
  <c r="E284" i="9"/>
  <c r="E285" i="9"/>
  <c r="E286" i="9"/>
  <c r="E287" i="9"/>
  <c r="E289" i="9"/>
  <c r="W26" i="13" s="1"/>
  <c r="E290" i="9"/>
  <c r="E291" i="9"/>
  <c r="E292" i="9"/>
  <c r="K26" i="13" s="1"/>
  <c r="E293" i="9"/>
  <c r="E294" i="9"/>
  <c r="Q26" i="13" s="1"/>
  <c r="E295" i="9"/>
  <c r="E296" i="9"/>
  <c r="E297" i="9"/>
  <c r="E298" i="9"/>
  <c r="E299" i="9"/>
  <c r="E300" i="9"/>
  <c r="E302" i="9"/>
  <c r="W27" i="13" s="1"/>
  <c r="E303" i="9"/>
  <c r="E304" i="9"/>
  <c r="E305" i="9"/>
  <c r="K27" i="13" s="1"/>
  <c r="E306" i="9"/>
  <c r="E307" i="9"/>
  <c r="Q27" i="13" s="1"/>
  <c r="E308" i="9"/>
  <c r="E309" i="9"/>
  <c r="E310" i="9"/>
  <c r="E311" i="9"/>
  <c r="E312" i="9"/>
  <c r="E313" i="9"/>
  <c r="E314" i="9"/>
  <c r="E315" i="9"/>
  <c r="W28" i="13" s="1"/>
  <c r="E316" i="9"/>
  <c r="E317" i="9"/>
  <c r="E318" i="9"/>
  <c r="K28" i="13" s="1"/>
  <c r="E319" i="9"/>
  <c r="E320" i="9"/>
  <c r="Q28" i="13" s="1"/>
  <c r="E321" i="9"/>
  <c r="E322" i="9"/>
  <c r="E323" i="9"/>
  <c r="E324" i="9"/>
  <c r="E325" i="9"/>
  <c r="E326" i="9"/>
  <c r="E328" i="9"/>
  <c r="W34" i="13" s="1"/>
  <c r="E329" i="9"/>
  <c r="E330" i="9"/>
  <c r="E331" i="9"/>
  <c r="K34" i="13" s="1"/>
  <c r="E332" i="9"/>
  <c r="E333" i="9"/>
  <c r="Q34" i="13" s="1"/>
  <c r="E334" i="9"/>
  <c r="E335" i="9"/>
  <c r="E336" i="9"/>
  <c r="E337" i="9"/>
  <c r="E338" i="9"/>
  <c r="E339" i="9"/>
  <c r="E341" i="9"/>
  <c r="W30" i="13" s="1"/>
  <c r="E342" i="9"/>
  <c r="E343" i="9"/>
  <c r="E344" i="9"/>
  <c r="K30" i="13" s="1"/>
  <c r="E345" i="9"/>
  <c r="E346" i="9"/>
  <c r="Q30" i="13" s="1"/>
  <c r="E347" i="9"/>
  <c r="E348" i="9"/>
  <c r="E350" i="9"/>
  <c r="E351" i="9"/>
  <c r="E352" i="9"/>
  <c r="E354" i="9"/>
  <c r="W31" i="13" s="1"/>
  <c r="E355" i="9"/>
  <c r="E356" i="9"/>
  <c r="E357" i="9"/>
  <c r="K31" i="13" s="1"/>
  <c r="E358" i="9"/>
  <c r="E359" i="9"/>
  <c r="Q31" i="13" s="1"/>
  <c r="E360" i="9"/>
  <c r="E361" i="9"/>
  <c r="E362" i="9"/>
  <c r="E363" i="9"/>
  <c r="E364" i="9"/>
  <c r="E365" i="9"/>
  <c r="E367" i="9"/>
  <c r="W32" i="13" s="1"/>
  <c r="E368" i="9"/>
  <c r="E369" i="9"/>
  <c r="E370" i="9"/>
  <c r="K32" i="13" s="1"/>
  <c r="E371" i="9"/>
  <c r="E372" i="9"/>
  <c r="Q32" i="13" s="1"/>
  <c r="E373" i="9"/>
  <c r="E374" i="9"/>
  <c r="E375" i="9"/>
  <c r="E377" i="9"/>
  <c r="E378" i="9"/>
  <c r="E380" i="9"/>
  <c r="W33" i="13" s="1"/>
  <c r="E381" i="9"/>
  <c r="E382" i="9"/>
  <c r="E383" i="9"/>
  <c r="K33" i="13" s="1"/>
  <c r="E384" i="9"/>
  <c r="E385" i="9"/>
  <c r="Q33" i="13" s="1"/>
  <c r="E386" i="9"/>
  <c r="E387" i="9"/>
  <c r="E388" i="9"/>
  <c r="E389" i="9"/>
  <c r="E390" i="9"/>
  <c r="E391" i="9"/>
  <c r="E30" i="9"/>
  <c r="E31" i="9"/>
  <c r="E33" i="9"/>
  <c r="E34" i="9"/>
  <c r="Q6" i="13" s="1"/>
  <c r="E35" i="9"/>
  <c r="E36" i="9"/>
  <c r="E37" i="9"/>
  <c r="E38" i="9"/>
  <c r="E39" i="9"/>
  <c r="E40" i="9"/>
  <c r="E31" i="13" l="1"/>
  <c r="E14" i="13"/>
  <c r="H32" i="13"/>
  <c r="T30" i="13"/>
  <c r="E30" i="13"/>
  <c r="F30" i="13" s="1"/>
  <c r="E28" i="13"/>
  <c r="T26" i="13"/>
  <c r="U26" i="13" s="1"/>
  <c r="H26" i="13"/>
  <c r="I26" i="13" s="1"/>
  <c r="T29" i="13"/>
  <c r="H29" i="13"/>
  <c r="I29" i="13" s="1"/>
  <c r="T22" i="13"/>
  <c r="H22" i="13"/>
  <c r="I22" i="13" s="1"/>
  <c r="T20" i="13"/>
  <c r="U20" i="13" s="1"/>
  <c r="E20" i="13"/>
  <c r="F20" i="13" s="1"/>
  <c r="E18" i="13"/>
  <c r="E16" i="13"/>
  <c r="T11" i="13"/>
  <c r="E34" i="13"/>
  <c r="T27" i="13"/>
  <c r="H27" i="13"/>
  <c r="T25" i="13"/>
  <c r="H25" i="13"/>
  <c r="T23" i="13"/>
  <c r="U23" i="13" s="1"/>
  <c r="H23" i="13"/>
  <c r="I23" i="13" s="1"/>
  <c r="H21" i="13"/>
  <c r="E24" i="13"/>
  <c r="E17" i="13"/>
  <c r="T31" i="13"/>
  <c r="H31" i="13"/>
  <c r="T21" i="13"/>
  <c r="U21" i="13" s="1"/>
  <c r="N32" i="13"/>
  <c r="N30" i="13"/>
  <c r="N20" i="13"/>
  <c r="N15" i="13"/>
  <c r="H6" i="13"/>
  <c r="H15" i="13"/>
  <c r="T19" i="13"/>
  <c r="H19" i="13"/>
  <c r="T13" i="13"/>
  <c r="T14" i="13"/>
  <c r="E33" i="13"/>
  <c r="F33" i="13" s="1"/>
  <c r="R20" i="13"/>
  <c r="R24" i="13"/>
  <c r="R18" i="13"/>
  <c r="R17" i="13"/>
  <c r="R16" i="13"/>
  <c r="X15" i="13"/>
  <c r="N19" i="13"/>
  <c r="X19" i="13"/>
  <c r="N13" i="13"/>
  <c r="H12" i="13"/>
  <c r="E11" i="13"/>
  <c r="R10" i="13"/>
  <c r="X10" i="13"/>
  <c r="N14" i="13"/>
  <c r="N6" i="13"/>
  <c r="T33" i="13"/>
  <c r="H33" i="13"/>
  <c r="T32" i="13"/>
  <c r="R32" i="13"/>
  <c r="E32" i="13"/>
  <c r="R31" i="13"/>
  <c r="X30" i="13"/>
  <c r="N34" i="13"/>
  <c r="X34" i="13"/>
  <c r="N28" i="13"/>
  <c r="X28" i="13"/>
  <c r="R27" i="13"/>
  <c r="E27" i="13"/>
  <c r="R26" i="13"/>
  <c r="E26" i="13"/>
  <c r="R25" i="13"/>
  <c r="E25" i="13"/>
  <c r="R29" i="13"/>
  <c r="E29" i="13"/>
  <c r="R23" i="13"/>
  <c r="E23" i="13"/>
  <c r="R22" i="13"/>
  <c r="E22" i="13"/>
  <c r="R21" i="13"/>
  <c r="E21" i="13"/>
  <c r="X20" i="13"/>
  <c r="N24" i="13"/>
  <c r="X24" i="13"/>
  <c r="N18" i="13"/>
  <c r="X18" i="13"/>
  <c r="N17" i="13"/>
  <c r="X17" i="13"/>
  <c r="N16" i="13"/>
  <c r="X16" i="13"/>
  <c r="L15" i="13"/>
  <c r="L19" i="13"/>
  <c r="H13" i="13"/>
  <c r="T12" i="13"/>
  <c r="E12" i="13"/>
  <c r="R11" i="13"/>
  <c r="X11" i="13"/>
  <c r="N10" i="13"/>
  <c r="H14" i="13"/>
  <c r="R6" i="13"/>
  <c r="L33" i="13"/>
  <c r="R33" i="13"/>
  <c r="X32" i="13"/>
  <c r="N31" i="13"/>
  <c r="N27" i="13"/>
  <c r="N26" i="13"/>
  <c r="X25" i="13"/>
  <c r="X29" i="13"/>
  <c r="N23" i="13"/>
  <c r="X23" i="13"/>
  <c r="N22" i="13"/>
  <c r="X22" i="13"/>
  <c r="N21" i="13"/>
  <c r="X21" i="13"/>
  <c r="L20" i="13"/>
  <c r="L24" i="13"/>
  <c r="L18" i="13"/>
  <c r="L17" i="13"/>
  <c r="L16" i="13"/>
  <c r="E13" i="13"/>
  <c r="R12" i="13"/>
  <c r="X12" i="13"/>
  <c r="N11" i="13"/>
  <c r="H10" i="13"/>
  <c r="R30" i="13"/>
  <c r="R34" i="13"/>
  <c r="R28" i="13"/>
  <c r="I25" i="13"/>
  <c r="X31" i="13"/>
  <c r="L30" i="13"/>
  <c r="L34" i="13"/>
  <c r="L28" i="13"/>
  <c r="X27" i="13"/>
  <c r="X26" i="13"/>
  <c r="N25" i="13"/>
  <c r="N29" i="13"/>
  <c r="T6" i="13"/>
  <c r="E6" i="13"/>
  <c r="N33" i="13"/>
  <c r="X33" i="13"/>
  <c r="L32" i="13"/>
  <c r="L31" i="13"/>
  <c r="H30" i="13"/>
  <c r="T34" i="13"/>
  <c r="H34" i="13"/>
  <c r="T28" i="13"/>
  <c r="H28" i="13"/>
  <c r="L27" i="13"/>
  <c r="L26" i="13"/>
  <c r="L25" i="13"/>
  <c r="L29" i="13"/>
  <c r="L23" i="13"/>
  <c r="L22" i="13"/>
  <c r="L21" i="13"/>
  <c r="H20" i="13"/>
  <c r="T24" i="13"/>
  <c r="H24" i="13"/>
  <c r="T18" i="13"/>
  <c r="H18" i="13"/>
  <c r="T17" i="13"/>
  <c r="H17" i="13"/>
  <c r="T16" i="13"/>
  <c r="H16" i="13"/>
  <c r="T15" i="13"/>
  <c r="R15" i="13"/>
  <c r="E15" i="13"/>
  <c r="R19" i="13"/>
  <c r="E19" i="13"/>
  <c r="R13" i="13"/>
  <c r="X13" i="13"/>
  <c r="N12" i="13"/>
  <c r="H11" i="13"/>
  <c r="T10" i="13"/>
  <c r="E10" i="13"/>
  <c r="R14" i="13"/>
  <c r="X14" i="13"/>
  <c r="E4" i="9"/>
  <c r="E5" i="9"/>
  <c r="E7" i="9"/>
  <c r="E8" i="9"/>
  <c r="Q9" i="13" s="1"/>
  <c r="E9" i="9"/>
  <c r="E10" i="9"/>
  <c r="E11" i="9"/>
  <c r="E12" i="9"/>
  <c r="E13" i="9"/>
  <c r="E14" i="9"/>
  <c r="E16" i="9"/>
  <c r="W5" i="13" s="1"/>
  <c r="E17" i="9"/>
  <c r="E18" i="9"/>
  <c r="H5" i="13" s="1"/>
  <c r="E20" i="9"/>
  <c r="E21" i="9"/>
  <c r="Q5" i="13" s="1"/>
  <c r="E22" i="9"/>
  <c r="E24" i="9"/>
  <c r="E26" i="9"/>
  <c r="E27" i="9"/>
  <c r="E29" i="9"/>
  <c r="W6" i="13" s="1"/>
  <c r="E42" i="9"/>
  <c r="W7" i="13" s="1"/>
  <c r="E43" i="9"/>
  <c r="E44" i="9"/>
  <c r="E46" i="9"/>
  <c r="E47" i="9"/>
  <c r="Q7" i="13" s="1"/>
  <c r="E48" i="9"/>
  <c r="E49" i="9"/>
  <c r="E50" i="9"/>
  <c r="E51" i="9"/>
  <c r="E52" i="9"/>
  <c r="E53" i="9"/>
  <c r="E55" i="9"/>
  <c r="W8" i="13" s="1"/>
  <c r="E56" i="9"/>
  <c r="E57" i="9"/>
  <c r="E59" i="9"/>
  <c r="E60" i="9"/>
  <c r="Q8" i="13" s="1"/>
  <c r="E61" i="9"/>
  <c r="E62" i="9"/>
  <c r="E63" i="9"/>
  <c r="E64" i="9"/>
  <c r="E65" i="9"/>
  <c r="E66" i="9"/>
  <c r="E3" i="9"/>
  <c r="W9" i="13" s="1"/>
  <c r="F14" i="13" l="1"/>
  <c r="U11" i="13"/>
  <c r="F16" i="13"/>
  <c r="I6" i="13"/>
  <c r="F28" i="13"/>
  <c r="I31" i="13"/>
  <c r="U31" i="13"/>
  <c r="U25" i="13"/>
  <c r="I27" i="13"/>
  <c r="F18" i="13"/>
  <c r="U30" i="13"/>
  <c r="I15" i="13"/>
  <c r="I32" i="13"/>
  <c r="F24" i="13"/>
  <c r="U14" i="13"/>
  <c r="U27" i="13"/>
  <c r="F17" i="13"/>
  <c r="F34" i="13"/>
  <c r="U22" i="13"/>
  <c r="U13" i="13"/>
  <c r="I21" i="13"/>
  <c r="U29" i="13"/>
  <c r="U19" i="13"/>
  <c r="I19" i="13"/>
  <c r="N5" i="13"/>
  <c r="R8" i="13"/>
  <c r="X9" i="13"/>
  <c r="H7" i="13"/>
  <c r="X5" i="13"/>
  <c r="N9" i="13"/>
  <c r="U10" i="13"/>
  <c r="I17" i="13"/>
  <c r="O25" i="13"/>
  <c r="O11" i="13"/>
  <c r="H8" i="13"/>
  <c r="T7" i="13"/>
  <c r="E7" i="13"/>
  <c r="T5" i="13"/>
  <c r="I11" i="13"/>
  <c r="U15" i="13"/>
  <c r="U17" i="13"/>
  <c r="U24" i="13"/>
  <c r="I28" i="13"/>
  <c r="I30" i="13"/>
  <c r="F6" i="13"/>
  <c r="F13" i="13"/>
  <c r="O22" i="13"/>
  <c r="O26" i="13"/>
  <c r="O10" i="13"/>
  <c r="O18" i="13"/>
  <c r="F23" i="13"/>
  <c r="F27" i="13"/>
  <c r="O34" i="13"/>
  <c r="O6" i="13"/>
  <c r="T8" i="13"/>
  <c r="E8" i="13"/>
  <c r="R7" i="13"/>
  <c r="X7" i="13"/>
  <c r="T9" i="13"/>
  <c r="E9" i="13"/>
  <c r="O12" i="13"/>
  <c r="F15" i="13"/>
  <c r="I16" i="13"/>
  <c r="I18" i="13"/>
  <c r="I20" i="13"/>
  <c r="U28" i="13"/>
  <c r="U6" i="13"/>
  <c r="O21" i="13"/>
  <c r="O27" i="13"/>
  <c r="F12" i="13"/>
  <c r="O17" i="13"/>
  <c r="F22" i="13"/>
  <c r="F26" i="13"/>
  <c r="O28" i="13"/>
  <c r="U32" i="13"/>
  <c r="O14" i="13"/>
  <c r="I12" i="13"/>
  <c r="O19" i="13"/>
  <c r="X8" i="13"/>
  <c r="N7" i="13"/>
  <c r="X6" i="13"/>
  <c r="E5" i="13"/>
  <c r="R9" i="13"/>
  <c r="F10" i="13"/>
  <c r="F19" i="13"/>
  <c r="U16" i="13"/>
  <c r="U18" i="13"/>
  <c r="I34" i="13"/>
  <c r="O29" i="13"/>
  <c r="I10" i="13"/>
  <c r="O31" i="13"/>
  <c r="U12" i="13"/>
  <c r="O16" i="13"/>
  <c r="F21" i="13"/>
  <c r="F25" i="13"/>
  <c r="F32" i="13"/>
  <c r="I33" i="13"/>
  <c r="F11" i="13"/>
  <c r="O13" i="13"/>
  <c r="N8" i="13"/>
  <c r="R5" i="13"/>
  <c r="I24" i="13"/>
  <c r="U34" i="13"/>
  <c r="O33" i="13"/>
  <c r="O23" i="13"/>
  <c r="I14" i="13"/>
  <c r="I13" i="13"/>
  <c r="O24" i="13"/>
  <c r="F29" i="13"/>
  <c r="F31" i="13"/>
  <c r="U33" i="13"/>
  <c r="F57" i="16" l="1"/>
  <c r="G57" i="16"/>
  <c r="F53" i="16"/>
  <c r="O8" i="13"/>
  <c r="I8" i="13"/>
  <c r="F55" i="16"/>
  <c r="I7" i="13"/>
  <c r="F9" i="13"/>
  <c r="U5" i="13"/>
  <c r="O9" i="13"/>
  <c r="O7" i="13"/>
  <c r="U9" i="13"/>
  <c r="F7" i="13"/>
  <c r="F5" i="13"/>
  <c r="F8" i="13"/>
  <c r="U7" i="13"/>
  <c r="U8" i="13"/>
  <c r="G53" i="16" l="1"/>
  <c r="F54" i="16"/>
  <c r="G54" i="16"/>
  <c r="F56" i="16"/>
  <c r="G55" i="16"/>
  <c r="G56" i="16" l="1"/>
</calcChain>
</file>

<file path=xl/sharedStrings.xml><?xml version="1.0" encoding="utf-8"?>
<sst xmlns="http://schemas.openxmlformats.org/spreadsheetml/2006/main" count="43725" uniqueCount="1642">
  <si>
    <t>Indikator B4: Verteilung der Schülerinnen und Schüler im 8. Schuljahrgang</t>
  </si>
  <si>
    <t xml:space="preserve">Tabelle B4-3: Verteilung der Schülerinnen und Schüler im 8. Schuljahrgang nach Nationalität und Statistischen Regionen </t>
  </si>
  <si>
    <t>Statistische Region
Land</t>
  </si>
  <si>
    <t>Jahr</t>
  </si>
  <si>
    <t>Hauptschule</t>
  </si>
  <si>
    <t>Realschule</t>
  </si>
  <si>
    <r>
      <t>Oberschule</t>
    </r>
    <r>
      <rPr>
        <vertAlign val="superscript"/>
        <sz val="6"/>
        <rFont val="NDSFrutiger 45 Light"/>
      </rPr>
      <t>2)</t>
    </r>
  </si>
  <si>
    <t>Gymnasium</t>
  </si>
  <si>
    <r>
      <t>Integrierte Gesamtschule</t>
    </r>
    <r>
      <rPr>
        <vertAlign val="superscript"/>
        <sz val="6"/>
        <rFont val="NDSFrutiger 45 Light"/>
      </rPr>
      <t>1)</t>
    </r>
  </si>
  <si>
    <t>Förderschule</t>
  </si>
  <si>
    <t>Insgesamt</t>
  </si>
  <si>
    <t>Deutsche</t>
  </si>
  <si>
    <t>Ausländerinnen und Ausländer</t>
  </si>
  <si>
    <t>Prozent</t>
  </si>
  <si>
    <t>1</t>
  </si>
  <si>
    <t>2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</si>
  <si>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</si>
  <si>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</si>
  <si>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</si>
  <si>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</si>
  <si>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</si>
  <si>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</si>
  <si>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</si>
  <si>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</si>
  <si>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</si>
  <si>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</si>
  <si>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</si>
  <si>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</si>
  <si>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</si>
  <si>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</si>
  <si>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Stat. Region Braunschweig</t>
  </si>
  <si>
    <t>Stat. Region Hannover</t>
  </si>
  <si>
    <t>Stat. Region Lüneburg</t>
  </si>
  <si>
    <t>Stat. Region Weser-Ems</t>
  </si>
  <si>
    <t>Niedersachsen</t>
  </si>
  <si>
    <t>-</t>
  </si>
  <si>
    <t>2) Schulform in Niedersachsen zum Schuljahr 2011/2012 eingeführt</t>
  </si>
  <si>
    <t>Quelle: Schulstatistik</t>
  </si>
  <si>
    <t>Anzahl</t>
  </si>
  <si>
    <t>© Landesamt für Statistik Niedersachsen, 2019.</t>
  </si>
  <si>
    <t>Schulen insgesamt</t>
  </si>
  <si>
    <t xml:space="preserve"> </t>
  </si>
  <si>
    <t>Landesamt für Statistik Niedersachsen</t>
  </si>
  <si>
    <t>Gebietsstand: 01.07.2017</t>
  </si>
  <si>
    <t>Statistische Region*</t>
  </si>
  <si>
    <t>Kreis*</t>
  </si>
  <si>
    <t>-------</t>
  </si>
  <si>
    <t>0 Niedersachsen</t>
  </si>
  <si>
    <t>1 Braunschweig</t>
  </si>
  <si>
    <t>2 Hannover</t>
  </si>
  <si>
    <t>3 Lüneburg</t>
  </si>
  <si>
    <t>4 Weser-Ems</t>
  </si>
  <si>
    <t>Hinweis: Zusatzinformationen zur Schulstatistik, Abkürzungsverzeichnis und Zeichenerklärung finden</t>
  </si>
  <si>
    <t>         Sie unter: http://www1.nls.niedersachsen.de/statistik/html/pdf/300.pdf</t>
  </si>
  <si>
    <t> gezippte Excel-Datei herunterladen </t>
  </si>
  <si>
    <t>   Vervielfältigung und Verbreitung, auch auszugsweise, mit Quellenangabe gestattet.</t>
  </si>
  <si>
    <t>LSN-Online: Tabelle K300151A</t>
  </si>
  <si>
    <t>Allgemein bildende Schulen in Niedersachsen zum Schuljahresbeginn</t>
  </si>
  <si>
    <t>Schulträger insgesamt*</t>
  </si>
  <si>
    <t>Schülerinnen und Schüler*</t>
  </si>
  <si>
    <t>2011*</t>
  </si>
  <si>
    <t>Einheits-/Samtgemeinde*</t>
  </si>
  <si>
    <t>Schulgliederung</t>
  </si>
  <si>
    <t>Schülerinnen und Schüler*</t>
  </si>
  <si>
    <t>ins-</t>
  </si>
  <si>
    <t>gesamt</t>
  </si>
  <si>
    <t>Primar- und Sekundarbereich I</t>
  </si>
  <si>
    <t>Schuljahrgang</t>
  </si>
  <si>
    <t>Sprach-</t>
  </si>
  <si>
    <t>lern-</t>
  </si>
  <si>
    <t>klasse</t>
  </si>
  <si>
    <t>4)</t>
  </si>
  <si>
    <t>Sekundarbereich II</t>
  </si>
  <si>
    <t>10 /</t>
  </si>
  <si>
    <t>LSJG 5)</t>
  </si>
  <si>
    <t>  Schulkindergarten (SKG)</t>
  </si>
  <si>
    <t>  Grundschule (GS)</t>
  </si>
  <si>
    <t>  Orientierungsstufe (OS) 1)</t>
  </si>
  <si>
    <t>  Hauptschule (HS)</t>
  </si>
  <si>
    <t>  Integr. Haupt- und Realschule 2)</t>
  </si>
  <si>
    <t>  Realschule (RS)</t>
  </si>
  <si>
    <t>  Oberschule (OBS)</t>
  </si>
  <si>
    <t>  Gymnasium (GYM) 3)</t>
  </si>
  <si>
    <t>  IGS, SmG, FWS (inkl. SKG)</t>
  </si>
  <si>
    <t>  Kooper. Gesamtschule - OS 1)</t>
  </si>
  <si>
    <t>  Kooper. Gesamtschule - HS</t>
  </si>
  <si>
    <t>  Kooper. Gesamtschule - RS</t>
  </si>
  <si>
    <t>  Kooper. Gesamtschule - GYM 3)</t>
  </si>
  <si>
    <t>  Kooper. Gesamtschule - GYM n. SJG gegliedert</t>
  </si>
  <si>
    <t>  SKG an Förderschule</t>
  </si>
  <si>
    <t>  Förderschule - Lernen</t>
  </si>
  <si>
    <t>  Förderschule - Geistige Entw.</t>
  </si>
  <si>
    <t>  Förderschule - Sonst.Schwerpkt.</t>
  </si>
  <si>
    <t>  Abendgymnasium</t>
  </si>
  <si>
    <t>  Kolleg</t>
  </si>
  <si>
    <t>         Daten früherer Jahre können auf Anfrage zur Verfügung gestellt werden (schulstatistik(at)statistik.niedersachsen.de). </t>
  </si>
  <si>
    <t>1) Orientierungsstufe letztmalig im Schuljahr 2003/04.</t>
  </si>
  <si>
    <t>2) Integr. Haupt- und Realschule letztmalig im Schuljahr 2004/05.</t>
  </si>
  <si>
    <t>3) Von 2008 bis 2016 wurde der 10. Schuljahrgang an Schulen im 12-jährigen Bildungsgang</t>
  </si>
  <si>
    <t>   und ab 2017 der Lückenschuljahrgang(LSJG), durch Umstellung auf den 13-jährigen Bildungsgang,</t>
  </si>
  <si>
    <t>   als Einführungsphase statistisch im Sekundarbereich II geführt.</t>
  </si>
  <si>
    <t>4) 2009: Sprachlernklassen für Schülerinnen und Schüler nichtdeutscher Herkunftssprache sind in den Regelklassen enthalten.</t>
  </si>
  <si>
    <t>5) Von 2017 bis zum Auslaufen im Jahr 2020 ist der Lückenschuljahrgang (LSJG) hier abgebildet.</t>
  </si>
  <si>
    <t>2013*</t>
  </si>
  <si>
    <t>2015*</t>
  </si>
  <si>
    <t>2016*</t>
  </si>
  <si>
    <t>2017*</t>
  </si>
  <si>
    <t>2018*</t>
  </si>
  <si>
    <t>Ausländerinnen und Ausländer*</t>
  </si>
  <si>
    <t>Ausländerinnen und Ausländer*</t>
  </si>
  <si>
    <t>Schüler insgesamt</t>
  </si>
  <si>
    <t>Schulform</t>
  </si>
  <si>
    <r>
      <t>Schulgliederung</t>
    </r>
    <r>
      <rPr>
        <vertAlign val="superscript"/>
        <sz val="6"/>
        <rFont val="NDSFrutiger 45 Light"/>
      </rPr>
      <t>1)</t>
    </r>
  </si>
  <si>
    <r>
      <t>Statistische Region
Land
Schulgliederung</t>
    </r>
    <r>
      <rPr>
        <vertAlign val="superscript"/>
        <sz val="6"/>
        <rFont val="NDSFrutiger 45 Light"/>
      </rPr>
      <t>1)</t>
    </r>
  </si>
  <si>
    <t>3</t>
  </si>
  <si>
    <t>Integrierte Gesamtschule</t>
  </si>
  <si>
    <r>
      <t>Oberschule</t>
    </r>
    <r>
      <rPr>
        <vertAlign val="superscript"/>
        <sz val="6"/>
        <rFont val="NDSFrutiger 55 Roman"/>
      </rPr>
      <t>2)</t>
    </r>
  </si>
  <si>
    <t>AGS</t>
  </si>
  <si>
    <t xml:space="preserve">1) Integrierte Gesamtschule: einschließlich Freie Waldorfschule u. ä.; die verschiedenen Zweige der Kooperativen Gesamtschule werden den Schulformen Hauptschule, Realschule und Gymnasium zugeordnet. </t>
  </si>
  <si>
    <r>
      <t>1) Integrierte Gesamtschule: einschließlich Freie Waldorfschule</t>
    </r>
    <r>
      <rPr>
        <sz val="6"/>
        <rFont val="NDSFrutiger 45 Light"/>
      </rPr>
      <t xml:space="preserve"> u. ä.; die verschiedenen Zweige der Kooperativen Gesamtschule werden den Schulformen Hauptschule, Realschule und Gymnasium zugeordnet. </t>
    </r>
  </si>
  <si>
    <t>© Landesamt für Statistik Niedersachsen, 2020.</t>
  </si>
  <si>
    <t>2019*</t>
  </si>
  <si>
    <t>         Daten früherer Jahre können auf Anfrage zur Verfügung gestellt werden (schulstatistik(at)statistik.niedersachsen.de).</t>
  </si>
  <si>
    <t>   und 2017 der Lückenschuljahrgang(LSJG), durch Umstellung auf den 13-jährigen Bildungsgang,</t>
  </si>
  <si>
    <t xml:space="preserve"> Insgesamt</t>
  </si>
  <si>
    <t>Tabelle B4-1: Verteilung der Schülerinnen und Schüler im 8. Schuljahrgang 2005 und 2019 nach Nationalität und Statistischen Regionen</t>
  </si>
  <si>
    <t>© Landesamt für Statistik Niedersachsen, 2021.</t>
  </si>
  <si>
    <t>2020*</t>
  </si>
  <si>
    <t>Gebietsstand: 01.01.2020</t>
  </si>
  <si>
    <t>5)</t>
  </si>
  <si>
    <t>LSJG 6)</t>
  </si>
  <si>
    <t>  Förderschule - Geistige Entw. 4)</t>
  </si>
  <si>
    <t>4) Förderschule Geistige Entwicklung: Der Unterricht erfolgt gegliedert in Stufen (01 = Primar, 05 = Sek. I und 10 = Sek. II), nicht nach Schuljahrgängen.</t>
  </si>
  <si>
    <t>5) 2009: Sprachlernklassen für Schülerinnen und Schüler nichtdeutscher Herkunftssprache sind in den Regelklassen enthalten.</t>
  </si>
  <si>
    <t>6) Von 2017 bis zum Auslaufen im Jahr 2020 ist der Lückenschuljahrgang (LSJG) hier abgebildet.</t>
  </si>
  <si>
    <t>gezippte Excel-Datei herunterladen </t>
  </si>
  <si>
    <t>Nationalität</t>
  </si>
  <si>
    <t>Value</t>
  </si>
  <si>
    <t>Unit</t>
  </si>
  <si>
    <t>Oberschule</t>
  </si>
  <si>
    <t>Year</t>
  </si>
  <si>
    <t>GeoCode</t>
  </si>
  <si>
    <t>Indikator 4.1.2: Verteilung der Schülerinnen und Schüler im 8. Schuljahrgang</t>
  </si>
  <si>
    <t xml:space="preserve">Tabelle 4.1.2: Verteilung der Schülerinnen und Schüler im 8. Schuljahrgang nach Nationalität und Statistischen Regionen </t>
  </si>
  <si>
    <t>Migration und Teilhabe in Niedersachsen - Integrationsmonitoring 2021</t>
  </si>
  <si>
    <t>Statistische Region Braunschweig</t>
  </si>
  <si>
    <t>Statistische Region Hannover</t>
  </si>
  <si>
    <t>Statistische Region Lüneburg</t>
  </si>
  <si>
    <t>Statistische Region Weser-Ems</t>
  </si>
  <si>
    <t>Niedersächsisches Ministerium für Soziales, Gesundheit und Gleichstellung (Hrsg.),</t>
  </si>
  <si>
    <t>© Landesamt für Statistik Niedersachsen, Hannover 2021,                                                                          </t>
  </si>
  <si>
    <t>Vervielfältigung und Verbreitung, auch auszugsweise, mit Quellenangabe gestattet.</t>
  </si>
  <si>
    <t>https://www.integrationsmonitoring.niedersachsen.de</t>
  </si>
  <si>
    <t>Gebietseinheit</t>
  </si>
  <si>
    <t>K031</t>
  </si>
  <si>
    <t>K032</t>
  </si>
  <si>
    <t>K033</t>
  </si>
  <si>
    <t>K034</t>
  </si>
  <si>
    <t>K030</t>
  </si>
  <si>
    <t>70.6281833616299</t>
  </si>
  <si>
    <t>68.172268907563</t>
  </si>
  <si>
    <t>80.7241746538871</t>
  </si>
  <si>
    <t>75.3039513677812</t>
  </si>
  <si>
    <t>73.6602052451539</t>
  </si>
  <si>
    <t>71.931196247068</t>
  </si>
  <si>
    <t>69.9805068226121</t>
  </si>
  <si>
    <t>81.7427385892116</t>
  </si>
  <si>
    <t>76.6493699036323</t>
  </si>
  <si>
    <t>74.9242096145518</t>
  </si>
  <si>
    <t>73.90263367917</t>
  </si>
  <si>
    <t>69.3280632411067</t>
  </si>
  <si>
    <t>83.5493519441675</t>
  </si>
  <si>
    <t>79.0996784565916</t>
  </si>
  <si>
    <t>76.2608353033885</t>
  </si>
  <si>
    <t>77.2727272727273</t>
  </si>
  <si>
    <t>72.3856209150327</t>
  </si>
  <si>
    <t>83.7487537387836</t>
  </si>
  <si>
    <t>83.6016696481813</t>
  </si>
  <si>
    <t>79.4117647058823</t>
  </si>
  <si>
    <t>81.4035087719298</t>
  </si>
  <si>
    <t>78.8447653429603</t>
  </si>
  <si>
    <t>84.3434343434343</t>
  </si>
  <si>
    <t>84.3232716650438</t>
  </si>
  <si>
    <t>82.3859881031064</t>
  </si>
  <si>
    <t>84.4923504867872</t>
  </si>
  <si>
    <t>79.8565840938722</t>
  </si>
  <si>
    <t>85.3975535168196</t>
  </si>
  <si>
    <t>86.0171218915614</t>
  </si>
  <si>
    <t>84.1675330461904</t>
  </si>
  <si>
    <t>86.5002836074872</t>
  </si>
  <si>
    <t>84.0944073884043</t>
  </si>
  <si>
    <t>89.0404515522107</t>
  </si>
  <si>
    <t>87.4157991426822</t>
  </si>
  <si>
    <t>86.9068541300527</t>
  </si>
  <si>
    <t>87.6654064272212</t>
  </si>
  <si>
    <t>84.060650887574</t>
  </si>
  <si>
    <t>91.1909146715776</t>
  </si>
  <si>
    <t>90.4007820136852</t>
  </si>
  <si>
    <t>88.8577275828091</t>
  </si>
  <si>
    <t>87.4326005806719</t>
  </si>
  <si>
    <t>83.9548409168662</t>
  </si>
  <si>
    <t>90.3919834954318</t>
  </si>
  <si>
    <t>90.0071633237822</t>
  </si>
  <si>
    <t>88.42848158759</t>
  </si>
  <si>
    <t>87.3603082851638</t>
  </si>
  <si>
    <t>84.6888478126925</t>
  </si>
  <si>
    <t>90.7898189451588</t>
  </si>
  <si>
    <t>89.9293576474454</t>
  </si>
  <si>
    <t>88.6333312154521</t>
  </si>
  <si>
    <t>86.2395340371314</t>
  </si>
  <si>
    <t>83.7609417446423</t>
  </si>
  <si>
    <t>90.6642259414226</t>
  </si>
  <si>
    <t>90.6942633637549</t>
  </si>
  <si>
    <t>88.4893882646692</t>
  </si>
  <si>
    <t>86.9134638057062</t>
  </si>
  <si>
    <t>85.288440917864</t>
  </si>
  <si>
    <t>90.5775075987842</t>
  </si>
  <si>
    <t>92.0820117806978</t>
  </si>
  <si>
    <t>89.4233654876742</t>
  </si>
  <si>
    <t>29.3718166383701</t>
  </si>
  <si>
    <t>31.827731092437</t>
  </si>
  <si>
    <t>19.2758253461129</t>
  </si>
  <si>
    <t>24.6960486322188</t>
  </si>
  <si>
    <t>26.3397947548461</t>
  </si>
  <si>
    <t>28.068803752932</t>
  </si>
  <si>
    <t>30.0194931773879</t>
  </si>
  <si>
    <t>18.2572614107884</t>
  </si>
  <si>
    <t>23.3506300963677</t>
  </si>
  <si>
    <t>25.0757903854482</t>
  </si>
  <si>
    <t>26.09736632083</t>
  </si>
  <si>
    <t>30.6719367588933</t>
  </si>
  <si>
    <t>16.4506480558325</t>
  </si>
  <si>
    <t>20.9003215434084</t>
  </si>
  <si>
    <t>23.7391646966115</t>
  </si>
  <si>
    <t>22.7272727272727</t>
  </si>
  <si>
    <t>27.6143790849673</t>
  </si>
  <si>
    <t>16.2512462612164</t>
  </si>
  <si>
    <t>16.3983303518187</t>
  </si>
  <si>
    <t>20.5882352941176</t>
  </si>
  <si>
    <t>18.5964912280702</t>
  </si>
  <si>
    <t>21.1552346570397</t>
  </si>
  <si>
    <t>15.6565656565657</t>
  </si>
  <si>
    <t>15.6767283349562</t>
  </si>
  <si>
    <t>17.6140118968936</t>
  </si>
  <si>
    <t>15.5076495132128</t>
  </si>
  <si>
    <t>20.1434159061278</t>
  </si>
  <si>
    <t>14.6024464831804</t>
  </si>
  <si>
    <t>13.9828781084386</t>
  </si>
  <si>
    <t>15.8324669538096</t>
  </si>
  <si>
    <t>13.4997163925128</t>
  </si>
  <si>
    <t>15.9055926115957</t>
  </si>
  <si>
    <t>10.9595484477893</t>
  </si>
  <si>
    <t>12.5842008573178</t>
  </si>
  <si>
    <t>13.0931458699473</t>
  </si>
  <si>
    <t>12.3345935727788</t>
  </si>
  <si>
    <t>15.939349112426</t>
  </si>
  <si>
    <t>8.80908532842234</t>
  </si>
  <si>
    <t>9.59921798631476</t>
  </si>
  <si>
    <t>11.1422724171909</t>
  </si>
  <si>
    <t>12.5673994193281</t>
  </si>
  <si>
    <t>16.0451590831338</t>
  </si>
  <si>
    <t>9.60801650456823</t>
  </si>
  <si>
    <t>9.99283667621776</t>
  </si>
  <si>
    <t>11.57151841241</t>
  </si>
  <si>
    <t>12.6396917148362</t>
  </si>
  <si>
    <t>15.3111521873075</t>
  </si>
  <si>
    <t>9.21018105484125</t>
  </si>
  <si>
    <t>10.0706423525546</t>
  </si>
  <si>
    <t>11.3666687845479</t>
  </si>
  <si>
    <t>13.7604659628686</t>
  </si>
  <si>
    <t>16.2390582553577</t>
  </si>
  <si>
    <t>9.33577405857741</t>
  </si>
  <si>
    <t>9.30573663624511</t>
  </si>
  <si>
    <t>11.5106117353308</t>
  </si>
  <si>
    <t>13.0865361942938</t>
  </si>
  <si>
    <t>14.711559082136</t>
  </si>
  <si>
    <t>9.42249240121581</t>
  </si>
  <si>
    <t>7.91798821930222</t>
  </si>
  <si>
    <t>10.5766345123258</t>
  </si>
  <si>
    <t>88.8669561784445</t>
  </si>
  <si>
    <t>86.9274490137078</t>
  </si>
  <si>
    <t>91.5384615384615</t>
  </si>
  <si>
    <t>90.1896425966448</t>
  </si>
  <si>
    <t>89.1938913589793</t>
  </si>
  <si>
    <t>88.6900228484387</t>
  </si>
  <si>
    <t>87.1092491137609</t>
  </si>
  <si>
    <t>92.6660516605166</t>
  </si>
  <si>
    <t>91.8092105263158</t>
  </si>
  <si>
    <t>89.896680991131</t>
  </si>
  <si>
    <t>90.5581039755352</t>
  </si>
  <si>
    <t>86.2562007586811</t>
  </si>
  <si>
    <t>93.5197514425211</t>
  </si>
  <si>
    <t>91.8546365914787</t>
  </si>
  <si>
    <t>90.2158774373259</t>
  </si>
  <si>
    <t>90.634110787172</t>
  </si>
  <si>
    <t>88.4017758046615</t>
  </si>
  <si>
    <t>94.0311418685121</t>
  </si>
  <si>
    <t>92.6552179656539</t>
  </si>
  <si>
    <t>91.2334270791483</t>
  </si>
  <si>
    <t>90.3443379481718</t>
  </si>
  <si>
    <t>89.6143958868895</t>
  </si>
  <si>
    <t>94.1538461538462</t>
  </si>
  <si>
    <t>93.7020316027088</t>
  </si>
  <si>
    <t>91.9414719371042</t>
  </si>
  <si>
    <t>93.1810766721044</t>
  </si>
  <si>
    <t>91.3305964742816</t>
  </si>
  <si>
    <t>96.382252559727</t>
  </si>
  <si>
    <t>95.1491053677932</t>
  </si>
  <si>
    <t>93.9469866807332</t>
  </si>
  <si>
    <t>93.816067653277</t>
  </si>
  <si>
    <t>91.7523609653725</t>
  </si>
  <si>
    <t>96.7070707070707</t>
  </si>
  <si>
    <t>94.8541269608562</t>
  </si>
  <si>
    <t>94.384842519685</t>
  </si>
  <si>
    <t>92.2915353917244</t>
  </si>
  <si>
    <t>91.6212752322973</t>
  </si>
  <si>
    <t>96.9669356938297</t>
  </si>
  <si>
    <t>95.6000748923423</t>
  </si>
  <si>
    <t>94.5755439779344</t>
  </si>
  <si>
    <t>92.8557673791643</t>
  </si>
  <si>
    <t>91.018922852984</t>
  </si>
  <si>
    <t>96.6388744137572</t>
  </si>
  <si>
    <t>95.4565821310153</t>
  </si>
  <si>
    <t>94.3264936241828</t>
  </si>
  <si>
    <t>89.1836734693878</t>
  </si>
  <si>
    <t>91.4738591333248</t>
  </si>
  <si>
    <t>96.4614817545153</t>
  </si>
  <si>
    <t>95.4591577879249</t>
  </si>
  <si>
    <t>94.3833907568017</t>
  </si>
  <si>
    <t>93.136738634369</t>
  </si>
  <si>
    <t>90.8653846153846</t>
  </si>
  <si>
    <t>96.6625615763547</t>
  </si>
  <si>
    <t>95.899482129213</t>
  </si>
  <si>
    <t>94.4716479264901</t>
  </si>
  <si>
    <t>93.5603142813126</t>
  </si>
  <si>
    <t>90.7606045831302</t>
  </si>
  <si>
    <t>96.6383404148963</t>
  </si>
  <si>
    <t>96.0331299040976</t>
  </si>
  <si>
    <t>94.4390786431352</t>
  </si>
  <si>
    <t>11.1330438215555</t>
  </si>
  <si>
    <t>13.0725509862922</t>
  </si>
  <si>
    <t>8.46153846153846</t>
  </si>
  <si>
    <t>9.81035740335521</t>
  </si>
  <si>
    <t>10.8061086410207</t>
  </si>
  <si>
    <t>11.3099771515613</t>
  </si>
  <si>
    <t>12.8907508862391</t>
  </si>
  <si>
    <t>7.3339483394834</t>
  </si>
  <si>
    <t>8.19078947368421</t>
  </si>
  <si>
    <t>10.103319008869</t>
  </si>
  <si>
    <t>9.44189602446483</t>
  </si>
  <si>
    <t>13.7437992413189</t>
  </si>
  <si>
    <t>6.48024855747892</t>
  </si>
  <si>
    <t>8.1453634085213</t>
  </si>
  <si>
    <t>9.78412256267409</t>
  </si>
  <si>
    <t>9.36588921282799</t>
  </si>
  <si>
    <t>11.5982241953385</t>
  </si>
  <si>
    <t>5.96885813148789</t>
  </si>
  <si>
    <t>7.3447820343461</t>
  </si>
  <si>
    <t>8.76657292085175</t>
  </si>
  <si>
    <t>9.65566205182819</t>
  </si>
  <si>
    <t>10.3856041131105</t>
  </si>
  <si>
    <t>5.84615384615385</t>
  </si>
  <si>
    <t>6.2979683972912</t>
  </si>
  <si>
    <t>8.05852806289583</t>
  </si>
  <si>
    <t>6.8189233278956</t>
  </si>
  <si>
    <t>8.66940352571842</t>
  </si>
  <si>
    <t>3.61774744027304</t>
  </si>
  <si>
    <t>4.85089463220676</t>
  </si>
  <si>
    <t>6.05301331926678</t>
  </si>
  <si>
    <t>6.18393234672304</t>
  </si>
  <si>
    <t>8.24763903462749</t>
  </si>
  <si>
    <t>3.29292929292929</t>
  </si>
  <si>
    <t>5.14587303914382</t>
  </si>
  <si>
    <t>5.61515748031496</t>
  </si>
  <si>
    <t>7.70846460827557</t>
  </si>
  <si>
    <t>8.37872476770266</t>
  </si>
  <si>
    <t>3.03306430617027</t>
  </si>
  <si>
    <t>4.39992510765774</t>
  </si>
  <si>
    <t>5.42445602206558</t>
  </si>
  <si>
    <t>7.14423262083574</t>
  </si>
  <si>
    <t>8.98107714701601</t>
  </si>
  <si>
    <t>3.36112558624284</t>
  </si>
  <si>
    <t>4.54341786898468</t>
  </si>
  <si>
    <t>5.6735063758172</t>
  </si>
  <si>
    <t>10.8163265306122</t>
  </si>
  <si>
    <t>8.52614086667519</t>
  </si>
  <si>
    <t>3.5385182454847</t>
  </si>
  <si>
    <t>4.54084221207509</t>
  </si>
  <si>
    <t>5.61660924319829</t>
  </si>
  <si>
    <t>6.86326136563103</t>
  </si>
  <si>
    <t>9.13461538461538</t>
  </si>
  <si>
    <t>3.33743842364532</t>
  </si>
  <si>
    <t>4.10051787078699</t>
  </si>
  <si>
    <t>5.52835207350985</t>
  </si>
  <si>
    <t>6.43968571868741</t>
  </si>
  <si>
    <t>9.23939541686982</t>
  </si>
  <si>
    <t>3.36165958510372</t>
  </si>
  <si>
    <t>3.96687009590235</t>
  </si>
  <si>
    <t>5.56092135686481</t>
  </si>
  <si>
    <t>86.7431485022307</t>
  </si>
  <si>
    <t>80.9323405632891</t>
  </si>
  <si>
    <t>88.1531100478469</t>
  </si>
  <si>
    <t>83.8603114676734</t>
  </si>
  <si>
    <t>84.8357753690288</t>
  </si>
  <si>
    <t>87.9703886489821</t>
  </si>
  <si>
    <t>80.1820020222447</t>
  </si>
  <si>
    <t>89.5745072757414</t>
  </si>
  <si>
    <t>85.4710556186152</t>
  </si>
  <si>
    <t>86.0360121102672</t>
  </si>
  <si>
    <t>87.625</t>
  </si>
  <si>
    <t>85.7193105874077</t>
  </si>
  <si>
    <t>90.1497384088039</t>
  </si>
  <si>
    <t>87.821906833009</t>
  </si>
  <si>
    <t>88.1749719596219</t>
  </si>
  <si>
    <t>90.0584795321637</t>
  </si>
  <si>
    <t>85.6221547799696</t>
  </si>
  <si>
    <t>91.6635995583364</t>
  </si>
  <si>
    <t>88.6122692078618</t>
  </si>
  <si>
    <t>89.2269601100413</t>
  </si>
  <si>
    <t>91.6826615483046</t>
  </si>
  <si>
    <t>89.390142021721</t>
  </si>
  <si>
    <t>93.1905126243305</t>
  </si>
  <si>
    <t>90.7862407862408</t>
  </si>
  <si>
    <t>91.4299557870511</t>
  </si>
  <si>
    <t>94.8598130841121</t>
  </si>
  <si>
    <t>90.7633909742725</t>
  </si>
  <si>
    <t>94.8763955342903</t>
  </si>
  <si>
    <t>93.1050022532672</t>
  </si>
  <si>
    <t>93.4886115043109</t>
  </si>
  <si>
    <t>96.5616045845272</t>
  </si>
  <si>
    <t>92.2841396203307</t>
  </si>
  <si>
    <t>96.1414790996785</t>
  </si>
  <si>
    <t>94.9443413729128</t>
  </si>
  <si>
    <t>95.0504850524649</t>
  </si>
  <si>
    <t>13.2568514977693</t>
  </si>
  <si>
    <t>19.0676594367109</t>
  </si>
  <si>
    <t>11.8468899521531</t>
  </si>
  <si>
    <t>16.1396885323266</t>
  </si>
  <si>
    <t>15.1642246309712</t>
  </si>
  <si>
    <t>12.0296113510179</t>
  </si>
  <si>
    <t>19.8179979777553</t>
  </si>
  <si>
    <t>10.4254927242586</t>
  </si>
  <si>
    <t>14.5289443813848</t>
  </si>
  <si>
    <t>13.9639878897328</t>
  </si>
  <si>
    <t>12.375</t>
  </si>
  <si>
    <t>14.2806894125923</t>
  </si>
  <si>
    <t>9.8502615911961</t>
  </si>
  <si>
    <t>12.178093166991</t>
  </si>
  <si>
    <t>11.8250280403781</t>
  </si>
  <si>
    <t>9.94152046783626</t>
  </si>
  <si>
    <t>14.3778452200304</t>
  </si>
  <si>
    <t>8.3364004416636</t>
  </si>
  <si>
    <t>11.3877307921382</t>
  </si>
  <si>
    <t>10.7730398899587</t>
  </si>
  <si>
    <t>8.31733845169546</t>
  </si>
  <si>
    <t>10.609857978279</t>
  </si>
  <si>
    <t>6.80948737566947</t>
  </si>
  <si>
    <t>9.21375921375921</t>
  </si>
  <si>
    <t>8.57004421294894</t>
  </si>
  <si>
    <t>5.14018691588785</t>
  </si>
  <si>
    <t>9.23660902572754</t>
  </si>
  <si>
    <t>5.12360446570973</t>
  </si>
  <si>
    <t>6.89499774673276</t>
  </si>
  <si>
    <t>6.5113884956891</t>
  </si>
  <si>
    <t>3.43839541547278</t>
  </si>
  <si>
    <t>7.71586037966932</t>
  </si>
  <si>
    <t>3.85852090032154</t>
  </si>
  <si>
    <t>5.0556586270872</t>
  </si>
  <si>
    <t>4.94951494753514</t>
  </si>
  <si>
    <t>94.0414967192765</t>
  </si>
  <si>
    <t>94.711007485581</t>
  </si>
  <si>
    <t>96.3231886296926</t>
  </si>
  <si>
    <t>95.3491082876792</t>
  </si>
  <si>
    <t>95.1317614424411</t>
  </si>
  <si>
    <t>95.3367875647668</t>
  </si>
  <si>
    <t>95.2438001677249</t>
  </si>
  <si>
    <t>97.1393605629494</t>
  </si>
  <si>
    <t>96.4847363552266</t>
  </si>
  <si>
    <t>96.0554773593326</t>
  </si>
  <si>
    <t>94.5676855895196</t>
  </si>
  <si>
    <t>95.8177202949353</t>
  </si>
  <si>
    <t>96.7161493477283</t>
  </si>
  <si>
    <t>96.8231594925729</t>
  </si>
  <si>
    <t>96.497156239545</t>
  </si>
  <si>
    <t>95.5705173635719</t>
  </si>
  <si>
    <t>95.4112971215223</t>
  </si>
  <si>
    <t>97.5630983463882</t>
  </si>
  <si>
    <t>97.0054644808743</t>
  </si>
  <si>
    <t>96.4222600113367</t>
  </si>
  <si>
    <t>94.7239263803681</t>
  </si>
  <si>
    <t>96.4184265777448</t>
  </si>
  <si>
    <t>97.7460901563937</t>
  </si>
  <si>
    <t>97.4450918870462</t>
  </si>
  <si>
    <t>96.9809901531729</t>
  </si>
  <si>
    <t>93.9068100358423</t>
  </si>
  <si>
    <t>96.4650819066387</t>
  </si>
  <si>
    <t>98.5474693021863</t>
  </si>
  <si>
    <t>97.8364584489071</t>
  </si>
  <si>
    <t>97.5297720313032</t>
  </si>
  <si>
    <t>97.1953085160632</t>
  </si>
  <si>
    <t>96.6276923076923</t>
  </si>
  <si>
    <t>98.278905560459</t>
  </si>
  <si>
    <t>97.6090788893786</t>
  </si>
  <si>
    <t>97.413158423131</t>
  </si>
  <si>
    <t>97.3363651128796</t>
  </si>
  <si>
    <t>95.7701797673599</t>
  </si>
  <si>
    <t>98.6690949845895</t>
  </si>
  <si>
    <t>97.67268068752</t>
  </si>
  <si>
    <t>97.3149841208738</t>
  </si>
  <si>
    <t>97.1650300918594</t>
  </si>
  <si>
    <t>95.3828701077708</t>
  </si>
  <si>
    <t>98.4269965044367</t>
  </si>
  <si>
    <t>97.8794877178249</t>
  </si>
  <si>
    <t>97.1800704203409</t>
  </si>
  <si>
    <t>94.2226890756303</t>
  </si>
  <si>
    <t>95.173766205469</t>
  </si>
  <si>
    <t>98.211972013475</t>
  </si>
  <si>
    <t>97.5695139027806</t>
  </si>
  <si>
    <t>96.9814356804434</t>
  </si>
  <si>
    <t>97.029702970297</t>
  </si>
  <si>
    <t>95.6618112729576</t>
  </si>
  <si>
    <t>98.3074222668004</t>
  </si>
  <si>
    <t>97.8136882129278</t>
  </si>
  <si>
    <t>97.1860730593607</t>
  </si>
  <si>
    <t>96.8948035487959</t>
  </si>
  <si>
    <t>94.035594035594</t>
  </si>
  <si>
    <t>98.0819912152269</t>
  </si>
  <si>
    <t>97.3954913547822</t>
  </si>
  <si>
    <t>96.5322264348281</t>
  </si>
  <si>
    <t>5.95850328072353</t>
  </si>
  <si>
    <t>5.28899251441895</t>
  </si>
  <si>
    <t>3.67681137030743</t>
  </si>
  <si>
    <t>4.65089171232078</t>
  </si>
  <si>
    <t>4.86823855755895</t>
  </si>
  <si>
    <t>4.66321243523316</t>
  </si>
  <si>
    <t>4.75619983227507</t>
  </si>
  <si>
    <t>2.86063943705063</t>
  </si>
  <si>
    <t>3.51526364477336</t>
  </si>
  <si>
    <t>3.94452264066738</t>
  </si>
  <si>
    <t>4.18227970506467</t>
  </si>
  <si>
    <t>2.68406057879742</t>
  </si>
  <si>
    <t>3.17684050742708</t>
  </si>
  <si>
    <t>3.502843760455</t>
  </si>
  <si>
    <t>4.42948263642807</t>
  </si>
  <si>
    <t>4.58870287847766</t>
  </si>
  <si>
    <t>2.43690165361184</t>
  </si>
  <si>
    <t>2.99453551912568</t>
  </si>
  <si>
    <t>3.57773998866327</t>
  </si>
  <si>
    <t>3.82120946538124</t>
  </si>
  <si>
    <t>3.58157342225516</t>
  </si>
  <si>
    <t>2.25390984360626</t>
  </si>
  <si>
    <t>2.55490811295383</t>
  </si>
  <si>
    <t>3.01900984682713</t>
  </si>
  <si>
    <t>2.63440860215054</t>
  </si>
  <si>
    <t>3.53491809336125</t>
  </si>
  <si>
    <t>1.45253069781372</t>
  </si>
  <si>
    <t>2.16354155109287</t>
  </si>
  <si>
    <t>2.47022796869684</t>
  </si>
  <si>
    <t>2.80469148393677</t>
  </si>
  <si>
    <t>3.37230769230769</t>
  </si>
  <si>
    <t>1.72109443954104</t>
  </si>
  <si>
    <t>2.39092111062142</t>
  </si>
  <si>
    <t>2.58684157686902</t>
  </si>
  <si>
    <t>2.66363488712035</t>
  </si>
  <si>
    <t>4.22982023264011</t>
  </si>
  <si>
    <t>1.33090501541048</t>
  </si>
  <si>
    <t>2.32731931247998</t>
  </si>
  <si>
    <t>2.68501587912617</t>
  </si>
  <si>
    <t>2.83496990814064</t>
  </si>
  <si>
    <t>4.61712989222915</t>
  </si>
  <si>
    <t>1.57300349556332</t>
  </si>
  <si>
    <t>2.1205122821751</t>
  </si>
  <si>
    <t>2.81992957965912</t>
  </si>
  <si>
    <t>2.83613445378151</t>
  </si>
  <si>
    <t>4.82623379453099</t>
  </si>
  <si>
    <t>1.78802798652501</t>
  </si>
  <si>
    <t>2.43048609721944</t>
  </si>
  <si>
    <t>3.0185643195566</t>
  </si>
  <si>
    <t>2.97029702970297</t>
  </si>
  <si>
    <t>4.33818872704243</t>
  </si>
  <si>
    <t>1.6925777331996</t>
  </si>
  <si>
    <t>2.18631178707224</t>
  </si>
  <si>
    <t>2.81392694063927</t>
  </si>
  <si>
    <t>3.10519645120406</t>
  </si>
  <si>
    <t>5.96440596440596</t>
  </si>
  <si>
    <t>1.91800878477306</t>
  </si>
  <si>
    <t>2.60450864521777</t>
  </si>
  <si>
    <t>3.46777356517192</t>
  </si>
  <si>
    <t>91.637519872814</t>
  </si>
  <si>
    <t>85.8603823921743</t>
  </si>
  <si>
    <t>91.845703125</t>
  </si>
  <si>
    <t>92.7774130006566</t>
  </si>
  <si>
    <t>89.9034309492031</t>
  </si>
  <si>
    <t>93.3725611644472</t>
  </si>
  <si>
    <t>88.0862413869749</t>
  </si>
  <si>
    <t>93.5143288084465</t>
  </si>
  <si>
    <t>93.7062937062937</t>
  </si>
  <si>
    <t>91.6037735849057</t>
  </si>
  <si>
    <t>92.9915639195328</t>
  </si>
  <si>
    <t>89.9305555555556</t>
  </si>
  <si>
    <t>93.8957816377171</t>
  </si>
  <si>
    <t>94.4462919853675</t>
  </si>
  <si>
    <t>92.4259497746297</t>
  </si>
  <si>
    <t>94.8064836255375</t>
  </si>
  <si>
    <t>91.0130718954248</t>
  </si>
  <si>
    <t>95.3280839895013</t>
  </si>
  <si>
    <t>95.5845990815966</t>
  </si>
  <si>
    <t>93.7224943950843</t>
  </si>
  <si>
    <t>96.0560265388868</t>
  </si>
  <si>
    <t>92.442173211404</t>
  </si>
  <si>
    <t>97.2809667673716</t>
  </si>
  <si>
    <t>95.6204379562044</t>
  </si>
  <si>
    <t>94.8825895780709</t>
  </si>
  <si>
    <t>95.6441491325212</t>
  </si>
  <si>
    <t>91.6762013729977</t>
  </si>
  <si>
    <t>97.0854922279793</t>
  </si>
  <si>
    <t>97.3195139385275</t>
  </si>
  <si>
    <t>94.984355740969</t>
  </si>
  <si>
    <t>96.2781186094069</t>
  </si>
  <si>
    <t>92.6285714285714</t>
  </si>
  <si>
    <t>96.95885509839</t>
  </si>
  <si>
    <t>97.5662913185616</t>
  </si>
  <si>
    <t>95.4156479217604</t>
  </si>
  <si>
    <t>96.8516332152696</t>
  </si>
  <si>
    <t>92.6958052214726</t>
  </si>
  <si>
    <t>98.3030303030303</t>
  </si>
  <si>
    <t>98.1967855742846</t>
  </si>
  <si>
    <t>95.8288655372078</t>
  </si>
  <si>
    <t>94.6114577424844</t>
  </si>
  <si>
    <t>91.5071353985381</t>
  </si>
  <si>
    <t>98.7202925045704</t>
  </si>
  <si>
    <t>98.5458612975391</t>
  </si>
  <si>
    <t>94.663606369244</t>
  </si>
  <si>
    <t>94.8072383949646</t>
  </si>
  <si>
    <t>89.9620184481823</t>
  </si>
  <si>
    <t>99.7395833333333</t>
  </si>
  <si>
    <t>98.5576923076923</t>
  </si>
  <si>
    <t>94.4893015744853</t>
  </si>
  <si>
    <t>95.1043338683788</t>
  </si>
  <si>
    <t>91.7877094972067</t>
  </si>
  <si>
    <t>99.4301994301994</t>
  </si>
  <si>
    <t>98.3545250560957</t>
  </si>
  <si>
    <t>95.0889077053345</t>
  </si>
  <si>
    <t>93.9748201438849</t>
  </si>
  <si>
    <t>91.4648910411622</t>
  </si>
  <si>
    <t>100</t>
  </si>
  <si>
    <t>96.6772151898734</t>
  </si>
  <si>
    <t>94.2449355432781</t>
  </si>
  <si>
    <t>8.36248012718601</t>
  </si>
  <si>
    <t>14.1396176078257</t>
  </si>
  <si>
    <t>8.154296875</t>
  </si>
  <si>
    <t>7.2225869993434</t>
  </si>
  <si>
    <t>10.0965690507969</t>
  </si>
  <si>
    <t>6.6274388355528</t>
  </si>
  <si>
    <t>11.9137586130251</t>
  </si>
  <si>
    <t>6.48567119155355</t>
  </si>
  <si>
    <t>6.29370629370629</t>
  </si>
  <si>
    <t>8.39622641509434</t>
  </si>
  <si>
    <t>7.00843608046723</t>
  </si>
  <si>
    <t>10.0694444444444</t>
  </si>
  <si>
    <t>6.10421836228288</t>
  </si>
  <si>
    <t>5.55370801463252</t>
  </si>
  <si>
    <t>7.57405022537025</t>
  </si>
  <si>
    <t>5.19351637446245</t>
  </si>
  <si>
    <t>8.98692810457516</t>
  </si>
  <si>
    <t>4.67191601049869</t>
  </si>
  <si>
    <t>4.41540091840339</t>
  </si>
  <si>
    <t>6.27750560491572</t>
  </si>
  <si>
    <t>3.94397346111316</t>
  </si>
  <si>
    <t>7.55782678859602</t>
  </si>
  <si>
    <t>2.7190332326284</t>
  </si>
  <si>
    <t>4.37956204379562</t>
  </si>
  <si>
    <t>5.11741042192909</t>
  </si>
  <si>
    <t>4.35585086747877</t>
  </si>
  <si>
    <t>8.32379862700229</t>
  </si>
  <si>
    <t>2.91450777202073</t>
  </si>
  <si>
    <t>2.68048606147248</t>
  </si>
  <si>
    <t>5.015644259031</t>
  </si>
  <si>
    <t>3.72188139059305</t>
  </si>
  <si>
    <t>7.37142857142857</t>
  </si>
  <si>
    <t>3.04114490161002</t>
  </si>
  <si>
    <t>2.43370868143843</t>
  </si>
  <si>
    <t>4.58435207823961</t>
  </si>
  <si>
    <t>3.14836678473042</t>
  </si>
  <si>
    <t>7.30419477852743</t>
  </si>
  <si>
    <t>1.6969696969697</t>
  </si>
  <si>
    <t>1.80321442571541</t>
  </si>
  <si>
    <t>4.17113446279219</t>
  </si>
  <si>
    <t>5.3885422575156</t>
  </si>
  <si>
    <t>8.49286460146189</t>
  </si>
  <si>
    <t>1.27970749542962</t>
  </si>
  <si>
    <t>1.45413870246085</t>
  </si>
  <si>
    <t>5.33639363075599</t>
  </si>
  <si>
    <t>5.1927616050354</t>
  </si>
  <si>
    <t>10.0379815518177</t>
  </si>
  <si>
    <t>0.260416666666667</t>
  </si>
  <si>
    <t>1.44230769230769</t>
  </si>
  <si>
    <t>5.51069842551474</t>
  </si>
  <si>
    <t>4.89566613162119</t>
  </si>
  <si>
    <t>8.2122905027933</t>
  </si>
  <si>
    <t>0.56980056980057</t>
  </si>
  <si>
    <t>1.64547494390426</t>
  </si>
  <si>
    <t>4.91109229466554</t>
  </si>
  <si>
    <t>6.02517985611511</t>
  </si>
  <si>
    <t>8.53510895883777</t>
  </si>
  <si>
    <t>0</t>
  </si>
  <si>
    <t>3.32278481012658</t>
  </si>
  <si>
    <t>5.75506445672192</t>
  </si>
  <si>
    <t>89.0070921985816</t>
  </si>
  <si>
    <t>86.1963190184049</t>
  </si>
  <si>
    <t>96.7391304347826</t>
  </si>
  <si>
    <t>88.8888888888889</t>
  </si>
  <si>
    <t>89.3217893217893</t>
  </si>
  <si>
    <t>89.7435897435898</t>
  </si>
  <si>
    <t>93.4306569343066</t>
  </si>
  <si>
    <t>91.8079096045198</t>
  </si>
  <si>
    <t>92.6206244087039</t>
  </si>
  <si>
    <t>92.1691792294807</t>
  </si>
  <si>
    <t>88.6039886039886</t>
  </si>
  <si>
    <t>92.0517560073937</t>
  </si>
  <si>
    <t>90.9657320872274</t>
  </si>
  <si>
    <t>91.0628019323672</t>
  </si>
  <si>
    <t>90.8868201861832</t>
  </si>
  <si>
    <t>89.0756302521009</t>
  </si>
  <si>
    <t>91.1877394636015</t>
  </si>
  <si>
    <t>93.5275080906149</t>
  </si>
  <si>
    <t>92.1673819742489</t>
  </si>
  <si>
    <t>90.1960784313726</t>
  </si>
  <si>
    <t>92.1996879875195</t>
  </si>
  <si>
    <t>92.9577464788732</t>
  </si>
  <si>
    <t>93.1640625</t>
  </si>
  <si>
    <t>92.3805601317957</t>
  </si>
  <si>
    <t>89.5551257253385</t>
  </si>
  <si>
    <t>90.7012195121951</t>
  </si>
  <si>
    <t>92.6881720430108</t>
  </si>
  <si>
    <t>93.2246998284734</t>
  </si>
  <si>
    <t>91.8687589158345</t>
  </si>
  <si>
    <t>91.8406072106262</t>
  </si>
  <si>
    <t>86.5265760197775</t>
  </si>
  <si>
    <t>90.1213171577123</t>
  </si>
  <si>
    <t>91.8168168168168</t>
  </si>
  <si>
    <t>90.2003081664099</t>
  </si>
  <si>
    <t>88.047138047138</t>
  </si>
  <si>
    <t>86.7718446601942</t>
  </si>
  <si>
    <t>91.2568306010929</t>
  </si>
  <si>
    <t>91.3907284768212</t>
  </si>
  <si>
    <t>89.6271797955502</t>
  </si>
  <si>
    <t>87.220447284345</t>
  </si>
  <si>
    <t>83.1460674157303</t>
  </si>
  <si>
    <t>89.9053627760252</t>
  </si>
  <si>
    <t>89.9777282850779</t>
  </si>
  <si>
    <t>87.6185164528723</t>
  </si>
  <si>
    <t>83.2</t>
  </si>
  <si>
    <t>81.2260536398467</t>
  </si>
  <si>
    <t>87.8787878787879</t>
  </si>
  <si>
    <t>89.0261627906977</t>
  </si>
  <si>
    <t>85.6607811663991</t>
  </si>
  <si>
    <t>83.2288401253918</t>
  </si>
  <si>
    <t>80.3231939163498</t>
  </si>
  <si>
    <t>91.2908242612753</t>
  </si>
  <si>
    <t>90.1041666666667</t>
  </si>
  <si>
    <t>86.3203698667392</t>
  </si>
  <si>
    <t>82.4654622741764</t>
  </si>
  <si>
    <t>77.0614692653673</t>
  </si>
  <si>
    <t>85.6544502617801</t>
  </si>
  <si>
    <t>86.9656992084433</t>
  </si>
  <si>
    <t>83.3170731707317</t>
  </si>
  <si>
    <t>10.9929078014184</t>
  </si>
  <si>
    <t>13.8036809815951</t>
  </si>
  <si>
    <t>3.26086956521739</t>
  </si>
  <si>
    <t>11.1111111111111</t>
  </si>
  <si>
    <t>10.6782106782107</t>
  </si>
  <si>
    <t>10.2564102564103</t>
  </si>
  <si>
    <t>6.56934306569343</t>
  </si>
  <si>
    <t>8.19209039548022</t>
  </si>
  <si>
    <t>7.37937559129612</t>
  </si>
  <si>
    <t>7.83082077051926</t>
  </si>
  <si>
    <t>11.3960113960114</t>
  </si>
  <si>
    <t>7.94824399260628</t>
  </si>
  <si>
    <t>9.03426791277258</t>
  </si>
  <si>
    <t>8.93719806763285</t>
  </si>
  <si>
    <t>9.11317981381676</t>
  </si>
  <si>
    <t>10.9243697478992</t>
  </si>
  <si>
    <t>8.81226053639847</t>
  </si>
  <si>
    <t>6.47249190938511</t>
  </si>
  <si>
    <t>7.83261802575107</t>
  </si>
  <si>
    <t>9.80392156862745</t>
  </si>
  <si>
    <t>7.8003120124805</t>
  </si>
  <si>
    <t>7.04225352112676</t>
  </si>
  <si>
    <t>6.8359375</t>
  </si>
  <si>
    <t>7.61943986820428</t>
  </si>
  <si>
    <t>10.4448742746615</t>
  </si>
  <si>
    <t>9.29878048780488</t>
  </si>
  <si>
    <t>7.31182795698925</t>
  </si>
  <si>
    <t>6.77530017152659</t>
  </si>
  <si>
    <t>8.13124108416548</t>
  </si>
  <si>
    <t>8.15939278937381</t>
  </si>
  <si>
    <t>13.4734239802225</t>
  </si>
  <si>
    <t>9.8786828422877</t>
  </si>
  <si>
    <t>8.18318318318318</t>
  </si>
  <si>
    <t>9.79969183359014</t>
  </si>
  <si>
    <t>11.952861952862</t>
  </si>
  <si>
    <t>13.2281553398058</t>
  </si>
  <si>
    <t>8.7431693989071</t>
  </si>
  <si>
    <t>8.60927152317881</t>
  </si>
  <si>
    <t>10.3728202044498</t>
  </si>
  <si>
    <t>12.779552715655</t>
  </si>
  <si>
    <t>16.8539325842697</t>
  </si>
  <si>
    <t>10.0946372239748</t>
  </si>
  <si>
    <t>10.022271714922</t>
  </si>
  <si>
    <t>12.3814835471277</t>
  </si>
  <si>
    <t>16.8</t>
  </si>
  <si>
    <t>18.7739463601533</t>
  </si>
  <si>
    <t>12.1212121212121</t>
  </si>
  <si>
    <t>10.9738372093023</t>
  </si>
  <si>
    <t>14.3392188336009</t>
  </si>
  <si>
    <t>16.7711598746081</t>
  </si>
  <si>
    <t>19.6768060836502</t>
  </si>
  <si>
    <t>8.70917573872473</t>
  </si>
  <si>
    <t>9.89583333333333</t>
  </si>
  <si>
    <t>13.6796301332608</t>
  </si>
  <si>
    <t>17.5345377258236</t>
  </si>
  <si>
    <t>22.9385307346327</t>
  </si>
  <si>
    <t>14.3455497382199</t>
  </si>
  <si>
    <t>13.0343007915567</t>
  </si>
  <si>
    <t>16.6829268292683</t>
  </si>
  <si>
    <t>89.7811236581626</t>
  </si>
  <si>
    <t>88.0279930017496</t>
  </si>
  <si>
    <t>91.8166263496371</t>
  </si>
  <si>
    <t>89.3063467054498</t>
  </si>
  <si>
    <t>89.6190814300554</t>
  </si>
  <si>
    <t>90.7313442933496</t>
  </si>
  <si>
    <t>88.9458272327965</t>
  </si>
  <si>
    <t>92.8559142251018</t>
  </si>
  <si>
    <t>90.6781950824102</t>
  </si>
  <si>
    <t>90.7198005571172</t>
  </si>
  <si>
    <t>91.4063034114993</t>
  </si>
  <si>
    <t>89.8930765881272</t>
  </si>
  <si>
    <t>93.3273421702988</t>
  </si>
  <si>
    <t>91.7752995252807</t>
  </si>
  <si>
    <t>91.5660078852867</t>
  </si>
  <si>
    <t>92.0952896589063</t>
  </si>
  <si>
    <t>90.5361396004472</t>
  </si>
  <si>
    <t>94.2263538108305</t>
  </si>
  <si>
    <t>92.5999252895032</t>
  </si>
  <si>
    <t>92.3389516855056</t>
  </si>
  <si>
    <t>92.9464834939512</t>
  </si>
  <si>
    <t>92.1888198757764</t>
  </si>
  <si>
    <t>94.8085251880556</t>
  </si>
  <si>
    <t>93.5966010394143</t>
  </si>
  <si>
    <t>93.3858768194241</t>
  </si>
  <si>
    <t>94.408050246505</t>
  </si>
  <si>
    <t>92.4890485800069</t>
  </si>
  <si>
    <t>95.9311075190903</t>
  </si>
  <si>
    <t>94.8556256223034</t>
  </si>
  <si>
    <t>94.4139582449926</t>
  </si>
  <si>
    <t>94.77636092951</t>
  </si>
  <si>
    <t>92.926230691497</t>
  </si>
  <si>
    <t>96.1239895069329</t>
  </si>
  <si>
    <t>95.0181422351234</t>
  </si>
  <si>
    <t>94.6961888709697</t>
  </si>
  <si>
    <t>94.1678520625889</t>
  </si>
  <si>
    <t>92.2913785154449</t>
  </si>
  <si>
    <t>96.5196380834876</t>
  </si>
  <si>
    <t>95.3841920616358</t>
  </si>
  <si>
    <t>94.6356427620536</t>
  </si>
  <si>
    <t>93.6959587907034</t>
  </si>
  <si>
    <t>91.5316117542297</t>
  </si>
  <si>
    <t>96.0788297440065</t>
  </si>
  <si>
    <t>95.1435178887226</t>
  </si>
  <si>
    <t>94.161099033679</t>
  </si>
  <si>
    <t>93.6190196653948</t>
  </si>
  <si>
    <t>91.4069591527988</t>
  </si>
  <si>
    <t>95.8447818751506</t>
  </si>
  <si>
    <t>94.9094102722571</t>
  </si>
  <si>
    <t>93.9972506491523</t>
  </si>
  <si>
    <t>93.4072881940453</t>
  </si>
  <si>
    <t>91.4045940217156</t>
  </si>
  <si>
    <t>96.0743999234962</t>
  </si>
  <si>
    <t>95.3753695847795</t>
  </si>
  <si>
    <t>94.1714841428494</t>
  </si>
  <si>
    <t>92.663769178405</t>
  </si>
  <si>
    <t>90.1237121933055</t>
  </si>
  <si>
    <t>95.0958702064897</t>
  </si>
  <si>
    <t>94.8427672955975</t>
  </si>
  <si>
    <t>93.3034021136361</t>
  </si>
  <si>
    <t>10.2188763418374</t>
  </si>
  <si>
    <t>11.9720069982504</t>
  </si>
  <si>
    <t>8.18337365036285</t>
  </si>
  <si>
    <t>10.6936532945502</t>
  </si>
  <si>
    <t>10.3809185699446</t>
  </si>
  <si>
    <t>9.26865570665043</t>
  </si>
  <si>
    <t>11.0541727672035</t>
  </si>
  <si>
    <t>7.14408577489823</t>
  </si>
  <si>
    <t>9.32180491758984</t>
  </si>
  <si>
    <t>9.28019944288276</t>
  </si>
  <si>
    <t>8.59369658850072</t>
  </si>
  <si>
    <t>10.1069234118729</t>
  </si>
  <si>
    <t>6.67265782970119</t>
  </si>
  <si>
    <t>8.22470047471931</t>
  </si>
  <si>
    <t>8.43399211471334</t>
  </si>
  <si>
    <t>7.90471034109366</t>
  </si>
  <si>
    <t>9.46386039955281</t>
  </si>
  <si>
    <t>5.77364618916951</t>
  </si>
  <si>
    <t>7.40007471049682</t>
  </si>
  <si>
    <t>7.66104831449435</t>
  </si>
  <si>
    <t>7.0535165060488</t>
  </si>
  <si>
    <t>7.8111801242236</t>
  </si>
  <si>
    <t>5.19147481194438</t>
  </si>
  <si>
    <t>6.40339896058571</t>
  </si>
  <si>
    <t>6.61412318057586</t>
  </si>
  <si>
    <t>5.59194975349497</t>
  </si>
  <si>
    <t>7.51095141999311</t>
  </si>
  <si>
    <t>4.06889248090965</t>
  </si>
  <si>
    <t>5.14437437769665</t>
  </si>
  <si>
    <t>5.58604175500736</t>
  </si>
  <si>
    <t>5.22363907049</t>
  </si>
  <si>
    <t>7.07376930850296</t>
  </si>
  <si>
    <t>3.87601049306708</t>
  </si>
  <si>
    <t>4.98185776487663</t>
  </si>
  <si>
    <t>5.3038111290303</t>
  </si>
  <si>
    <t>5.8321479374111</t>
  </si>
  <si>
    <t>7.70862148455509</t>
  </si>
  <si>
    <t>3.48036191651244</t>
  </si>
  <si>
    <t>4.61580793836417</t>
  </si>
  <si>
    <t>5.3643572379464</t>
  </si>
  <si>
    <t>6.30404120929662</t>
  </si>
  <si>
    <t>8.46838824577026</t>
  </si>
  <si>
    <t>3.9211702559935</t>
  </si>
  <si>
    <t>4.85648211127738</t>
  </si>
  <si>
    <t>5.83890096632104</t>
  </si>
  <si>
    <t>6.38098033460522</t>
  </si>
  <si>
    <t>8.59304084720121</t>
  </si>
  <si>
    <t>4.15521812484936</t>
  </si>
  <si>
    <t>5.0905897277429</t>
  </si>
  <si>
    <t>6.00274935084772</t>
  </si>
  <si>
    <t>6.59271180595471</t>
  </si>
  <si>
    <t>8.59540597828438</t>
  </si>
  <si>
    <t>3.92560007650378</t>
  </si>
  <si>
    <t>4.62463041522047</t>
  </si>
  <si>
    <t>5.82851585715058</t>
  </si>
  <si>
    <t>7.33623082159501</t>
  </si>
  <si>
    <t>9.87628780669453</t>
  </si>
  <si>
    <t>4.90412979351032</t>
  </si>
  <si>
    <t>5.15723270440252</t>
  </si>
  <si>
    <t>6.69659788636387</t>
  </si>
  <si>
    <t>832</t>
  </si>
  <si>
    <t>649</t>
  </si>
  <si>
    <t>758</t>
  </si>
  <si>
    <t>991</t>
  </si>
  <si>
    <t>3230</t>
  </si>
  <si>
    <t>920</t>
  </si>
  <si>
    <t>718</t>
  </si>
  <si>
    <t>788</t>
  </si>
  <si>
    <t>1034</t>
  </si>
  <si>
    <t>3460</t>
  </si>
  <si>
    <t>926</t>
  </si>
  <si>
    <t>877</t>
  </si>
  <si>
    <t>838</t>
  </si>
  <si>
    <t>1230</t>
  </si>
  <si>
    <t>3871</t>
  </si>
  <si>
    <t>1003</t>
  </si>
  <si>
    <t>886</t>
  </si>
  <si>
    <t>840</t>
  </si>
  <si>
    <t>1402</t>
  </si>
  <si>
    <t>4131</t>
  </si>
  <si>
    <t>1160</t>
  </si>
  <si>
    <t>1092</t>
  </si>
  <si>
    <t>1002</t>
  </si>
  <si>
    <t>1732</t>
  </si>
  <si>
    <t>4986</t>
  </si>
  <si>
    <t>1215</t>
  </si>
  <si>
    <t>1225</t>
  </si>
  <si>
    <t>1117</t>
  </si>
  <si>
    <t>2110</t>
  </si>
  <si>
    <t>5667</t>
  </si>
  <si>
    <t>1525</t>
  </si>
  <si>
    <t>1639</t>
  </si>
  <si>
    <t>1893</t>
  </si>
  <si>
    <t>2855</t>
  </si>
  <si>
    <t>7912</t>
  </si>
  <si>
    <t>1855</t>
  </si>
  <si>
    <t>2273</t>
  </si>
  <si>
    <t>2971</t>
  </si>
  <si>
    <t>4624</t>
  </si>
  <si>
    <t>11723</t>
  </si>
  <si>
    <t>2108</t>
  </si>
  <si>
    <t>2454</t>
  </si>
  <si>
    <t>3067</t>
  </si>
  <si>
    <t>5026</t>
  </si>
  <si>
    <t>12655</t>
  </si>
  <si>
    <t>2267</t>
  </si>
  <si>
    <t>2749</t>
  </si>
  <si>
    <t>5474</t>
  </si>
  <si>
    <t>13950</t>
  </si>
  <si>
    <t>2369</t>
  </si>
  <si>
    <t>2775</t>
  </si>
  <si>
    <t>3467</t>
  </si>
  <si>
    <t>5565</t>
  </si>
  <si>
    <t>14176</t>
  </si>
  <si>
    <t>3686</t>
  </si>
  <si>
    <t>3977</t>
  </si>
  <si>
    <t>5066</t>
  </si>
  <si>
    <t>8129</t>
  </si>
  <si>
    <t>20858</t>
  </si>
  <si>
    <t>346</t>
  </si>
  <si>
    <t>303</t>
  </si>
  <si>
    <t>181</t>
  </si>
  <si>
    <t>325</t>
  </si>
  <si>
    <t>1155</t>
  </si>
  <si>
    <t>359</t>
  </si>
  <si>
    <t>308</t>
  </si>
  <si>
    <t>176</t>
  </si>
  <si>
    <t>315</t>
  </si>
  <si>
    <t>1158</t>
  </si>
  <si>
    <t>327</t>
  </si>
  <si>
    <t>388</t>
  </si>
  <si>
    <t>165</t>
  </si>
  <si>
    <t>1205</t>
  </si>
  <si>
    <t>295</t>
  </si>
  <si>
    <t>338</t>
  </si>
  <si>
    <t>163</t>
  </si>
  <si>
    <t>275</t>
  </si>
  <si>
    <t>1071</t>
  </si>
  <si>
    <t>265</t>
  </si>
  <si>
    <t>293</t>
  </si>
  <si>
    <t>186</t>
  </si>
  <si>
    <t>322</t>
  </si>
  <si>
    <t>1066</t>
  </si>
  <si>
    <t>223</t>
  </si>
  <si>
    <t>309</t>
  </si>
  <si>
    <t>191</t>
  </si>
  <si>
    <t>343</t>
  </si>
  <si>
    <t>238</t>
  </si>
  <si>
    <t>310</t>
  </si>
  <si>
    <t>233</t>
  </si>
  <si>
    <t>411</t>
  </si>
  <si>
    <t>1192</t>
  </si>
  <si>
    <t>261</t>
  </si>
  <si>
    <t>431</t>
  </si>
  <si>
    <t>287</t>
  </si>
  <si>
    <t>491</t>
  </si>
  <si>
    <t>1470</t>
  </si>
  <si>
    <t>469</t>
  </si>
  <si>
    <t>326</t>
  </si>
  <si>
    <t>558</t>
  </si>
  <si>
    <t>1656</t>
  </si>
  <si>
    <t>328</t>
  </si>
  <si>
    <t>497</t>
  </si>
  <si>
    <t>351</t>
  </si>
  <si>
    <t>613</t>
  </si>
  <si>
    <t>1789</t>
  </si>
  <si>
    <t>378</t>
  </si>
  <si>
    <t>538</t>
  </si>
  <si>
    <t>357</t>
  </si>
  <si>
    <t>571</t>
  </si>
  <si>
    <t>1844</t>
  </si>
  <si>
    <t>555</t>
  </si>
  <si>
    <t>686</t>
  </si>
  <si>
    <t>527</t>
  </si>
  <si>
    <t>699</t>
  </si>
  <si>
    <t>2467</t>
  </si>
  <si>
    <t>2251</t>
  </si>
  <si>
    <t>2600</t>
  </si>
  <si>
    <t>1904</t>
  </si>
  <si>
    <t>2473</t>
  </si>
  <si>
    <t>9228</t>
  </si>
  <si>
    <t>2329</t>
  </si>
  <si>
    <t>2703</t>
  </si>
  <si>
    <t>2009</t>
  </si>
  <si>
    <t>2791</t>
  </si>
  <si>
    <t>9832</t>
  </si>
  <si>
    <t>2956</t>
  </si>
  <si>
    <t>2107</t>
  </si>
  <si>
    <t>2932</t>
  </si>
  <si>
    <t>10364</t>
  </si>
  <si>
    <t>2487</t>
  </si>
  <si>
    <t>3186</t>
  </si>
  <si>
    <t>2174</t>
  </si>
  <si>
    <t>3507</t>
  </si>
  <si>
    <t>11354</t>
  </si>
  <si>
    <t>2545</t>
  </si>
  <si>
    <t>3486</t>
  </si>
  <si>
    <t>2448</t>
  </si>
  <si>
    <t>4151</t>
  </si>
  <si>
    <t>12630</t>
  </si>
  <si>
    <t>2856</t>
  </si>
  <si>
    <t>3782</t>
  </si>
  <si>
    <t>2824</t>
  </si>
  <si>
    <t>4786</t>
  </si>
  <si>
    <t>14248</t>
  </si>
  <si>
    <t>3550</t>
  </si>
  <si>
    <t>4372</t>
  </si>
  <si>
    <t>4787</t>
  </si>
  <si>
    <t>6470</t>
  </si>
  <si>
    <t>19179</t>
  </si>
  <si>
    <t>4394</t>
  </si>
  <si>
    <t>5719</t>
  </si>
  <si>
    <t>7449</t>
  </si>
  <si>
    <t>10212</t>
  </si>
  <si>
    <t>27774</t>
  </si>
  <si>
    <t>4822</t>
  </si>
  <si>
    <t>6253</t>
  </si>
  <si>
    <t>7418</t>
  </si>
  <si>
    <t>10652</t>
  </si>
  <si>
    <t>29145</t>
  </si>
  <si>
    <t>5244</t>
  </si>
  <si>
    <t>7156</t>
  </si>
  <si>
    <t>7851</t>
  </si>
  <si>
    <t>11289</t>
  </si>
  <si>
    <t>31777</t>
  </si>
  <si>
    <t>5306</t>
  </si>
  <si>
    <t>6804</t>
  </si>
  <si>
    <t>7849</t>
  </si>
  <si>
    <t>11296</t>
  </si>
  <si>
    <t>31255</t>
  </si>
  <si>
    <t>6073</t>
  </si>
  <si>
    <t>7446</t>
  </si>
  <si>
    <t>7733</t>
  </si>
  <si>
    <t>11015</t>
  </si>
  <si>
    <t>32267</t>
  </si>
  <si>
    <t>282</t>
  </si>
  <si>
    <t>391</t>
  </si>
  <si>
    <t>269</t>
  </si>
  <si>
    <t>1118</t>
  </si>
  <si>
    <t>297</t>
  </si>
  <si>
    <t>400</t>
  </si>
  <si>
    <t>159</t>
  </si>
  <si>
    <t>249</t>
  </si>
  <si>
    <t>1105</t>
  </si>
  <si>
    <t>247</t>
  </si>
  <si>
    <t>471</t>
  </si>
  <si>
    <t>146</t>
  </si>
  <si>
    <t>260</t>
  </si>
  <si>
    <t>1124</t>
  </si>
  <si>
    <t>257</t>
  </si>
  <si>
    <t>418</t>
  </si>
  <si>
    <t>138</t>
  </si>
  <si>
    <t>278</t>
  </si>
  <si>
    <t>1091</t>
  </si>
  <si>
    <t>272</t>
  </si>
  <si>
    <t>404</t>
  </si>
  <si>
    <t>152</t>
  </si>
  <si>
    <t>279</t>
  </si>
  <si>
    <t>1107</t>
  </si>
  <si>
    <t>209</t>
  </si>
  <si>
    <t>106</t>
  </si>
  <si>
    <t>244</t>
  </si>
  <si>
    <t>918</t>
  </si>
  <si>
    <t>234</t>
  </si>
  <si>
    <t>393</t>
  </si>
  <si>
    <t>1141</t>
  </si>
  <si>
    <t>367</t>
  </si>
  <si>
    <t>523</t>
  </si>
  <si>
    <t>470</t>
  </si>
  <si>
    <t>1593</t>
  </si>
  <si>
    <t>371</t>
  </si>
  <si>
    <t>617</t>
  </si>
  <si>
    <t>258</t>
  </si>
  <si>
    <t>507</t>
  </si>
  <si>
    <t>1753</t>
  </si>
  <si>
    <t>636</t>
  </si>
  <si>
    <t>667</t>
  </si>
  <si>
    <t>288</t>
  </si>
  <si>
    <t>537</t>
  </si>
  <si>
    <t>1891</t>
  </si>
  <si>
    <t>684</t>
  </si>
  <si>
    <t>271</t>
  </si>
  <si>
    <t>483</t>
  </si>
  <si>
    <t>1829</t>
  </si>
  <si>
    <t>455</t>
  </si>
  <si>
    <t>1900</t>
  </si>
  <si>
    <t>1361</t>
  </si>
  <si>
    <t>2500</t>
  </si>
  <si>
    <t>4606</t>
  </si>
  <si>
    <t>7108</t>
  </si>
  <si>
    <t>15575</t>
  </si>
  <si>
    <t>1426</t>
  </si>
  <si>
    <t>2379</t>
  </si>
  <si>
    <t>4863</t>
  </si>
  <si>
    <t>7530</t>
  </si>
  <si>
    <t>16198</t>
  </si>
  <si>
    <t>2437</t>
  </si>
  <si>
    <t>4997</t>
  </si>
  <si>
    <t>7673</t>
  </si>
  <si>
    <t>16509</t>
  </si>
  <si>
    <t>1540</t>
  </si>
  <si>
    <t>2257</t>
  </si>
  <si>
    <t>4981</t>
  </si>
  <si>
    <t>7439</t>
  </si>
  <si>
    <t>16217</t>
  </si>
  <si>
    <t>1433</t>
  </si>
  <si>
    <t>2140</t>
  </si>
  <si>
    <t>4872</t>
  </si>
  <si>
    <t>6651</t>
  </si>
  <si>
    <t>15096</t>
  </si>
  <si>
    <t>1421</t>
  </si>
  <si>
    <t>2152</t>
  </si>
  <si>
    <t>4759</t>
  </si>
  <si>
    <t>6198</t>
  </si>
  <si>
    <t>14530</t>
  </si>
  <si>
    <t>1011</t>
  </si>
  <si>
    <t>1507</t>
  </si>
  <si>
    <t>2990</t>
  </si>
  <si>
    <t>4094</t>
  </si>
  <si>
    <t>9602</t>
  </si>
  <si>
    <t>208</t>
  </si>
  <si>
    <t>589</t>
  </si>
  <si>
    <t>619</t>
  </si>
  <si>
    <t>1368</t>
  </si>
  <si>
    <t>2784</t>
  </si>
  <si>
    <t>195</t>
  </si>
  <si>
    <t>588</t>
  </si>
  <si>
    <t>566</t>
  </si>
  <si>
    <t>1280</t>
  </si>
  <si>
    <t>2629</t>
  </si>
  <si>
    <t>198</t>
  </si>
  <si>
    <t>406</t>
  </si>
  <si>
    <t>546</t>
  </si>
  <si>
    <t>1064</t>
  </si>
  <si>
    <t>2214</t>
  </si>
  <si>
    <t>170</t>
  </si>
  <si>
    <t>379</t>
  </si>
  <si>
    <t>453</t>
  </si>
  <si>
    <t>956</t>
  </si>
  <si>
    <t>1958</t>
  </si>
  <si>
    <t>130</t>
  </si>
  <si>
    <t>254</t>
  </si>
  <si>
    <t>356</t>
  </si>
  <si>
    <t>675</t>
  </si>
  <si>
    <t>1415</t>
  </si>
  <si>
    <t>77</t>
  </si>
  <si>
    <t>219</t>
  </si>
  <si>
    <t>459</t>
  </si>
  <si>
    <t>1012</t>
  </si>
  <si>
    <t>36</t>
  </si>
  <si>
    <t>126</t>
  </si>
  <si>
    <t>120</t>
  </si>
  <si>
    <t>218</t>
  </si>
  <si>
    <t>500</t>
  </si>
  <si>
    <t>5303</t>
  </si>
  <si>
    <t>7718</t>
  </si>
  <si>
    <t>6235</t>
  </si>
  <si>
    <t>8180</t>
  </si>
  <si>
    <t>27436</t>
  </si>
  <si>
    <t>5336</t>
  </si>
  <si>
    <t>7950</t>
  </si>
  <si>
    <t>6350</t>
  </si>
  <si>
    <t>8344</t>
  </si>
  <si>
    <t>27980</t>
  </si>
  <si>
    <t>5414</t>
  </si>
  <si>
    <t>7927</t>
  </si>
  <si>
    <t>6450</t>
  </si>
  <si>
    <t>8930</t>
  </si>
  <si>
    <t>28843</t>
  </si>
  <si>
    <t>5394</t>
  </si>
  <si>
    <t>7922</t>
  </si>
  <si>
    <t>6726</t>
  </si>
  <si>
    <t>8876</t>
  </si>
  <si>
    <t>28918</t>
  </si>
  <si>
    <t>5404</t>
  </si>
  <si>
    <t>7807</t>
  </si>
  <si>
    <t>6375</t>
  </si>
  <si>
    <t>8696</t>
  </si>
  <si>
    <t>28365</t>
  </si>
  <si>
    <t>5240</t>
  </si>
  <si>
    <t>7832</t>
  </si>
  <si>
    <t>6581</t>
  </si>
  <si>
    <t>8818</t>
  </si>
  <si>
    <t>28664</t>
  </si>
  <si>
    <t>5718</t>
  </si>
  <si>
    <t>6681</t>
  </si>
  <si>
    <t>8859</t>
  </si>
  <si>
    <t>29109</t>
  </si>
  <si>
    <t>5993</t>
  </si>
  <si>
    <t>8151</t>
  </si>
  <si>
    <t>7043</t>
  </si>
  <si>
    <t>9149</t>
  </si>
  <si>
    <t>30336</t>
  </si>
  <si>
    <t>6135</t>
  </si>
  <si>
    <t>8408</t>
  </si>
  <si>
    <t>7321</t>
  </si>
  <si>
    <t>9324</t>
  </si>
  <si>
    <t>31188</t>
  </si>
  <si>
    <t>6279</t>
  </si>
  <si>
    <t>8736</t>
  </si>
  <si>
    <t>7580</t>
  </si>
  <si>
    <t>9755</t>
  </si>
  <si>
    <t>32546</t>
  </si>
  <si>
    <t>6860</t>
  </si>
  <si>
    <t>9063</t>
  </si>
  <si>
    <t>7841</t>
  </si>
  <si>
    <t>10290</t>
  </si>
  <si>
    <t>34054</t>
  </si>
  <si>
    <t>6116</t>
  </si>
  <si>
    <t>7820</t>
  </si>
  <si>
    <t>6699</t>
  </si>
  <si>
    <t>8900</t>
  </si>
  <si>
    <t>29535</t>
  </si>
  <si>
    <t>336</t>
  </si>
  <si>
    <t>399</t>
  </si>
  <si>
    <t>1404</t>
  </si>
  <si>
    <t>397</t>
  </si>
  <si>
    <t>187</t>
  </si>
  <si>
    <t>304</t>
  </si>
  <si>
    <t>1149</t>
  </si>
  <si>
    <t>229</t>
  </si>
  <si>
    <t>179</t>
  </si>
  <si>
    <t>1047</t>
  </si>
  <si>
    <t>250</t>
  </si>
  <si>
    <t>381</t>
  </si>
  <si>
    <t>168</t>
  </si>
  <si>
    <t>274</t>
  </si>
  <si>
    <t>1073</t>
  </si>
  <si>
    <t>290</t>
  </si>
  <si>
    <t>147</t>
  </si>
  <si>
    <t>228</t>
  </si>
  <si>
    <t>883</t>
  </si>
  <si>
    <t>97</t>
  </si>
  <si>
    <t>726</t>
  </si>
  <si>
    <t>117</t>
  </si>
  <si>
    <t>217</t>
  </si>
  <si>
    <t>773</t>
  </si>
  <si>
    <t>164</t>
  </si>
  <si>
    <t>360</t>
  </si>
  <si>
    <t>95</t>
  </si>
  <si>
    <t>837</t>
  </si>
  <si>
    <t>407</t>
  </si>
  <si>
    <t>202</t>
  </si>
  <si>
    <t>905</t>
  </si>
  <si>
    <t>189</t>
  </si>
  <si>
    <t>443</t>
  </si>
  <si>
    <t>243</t>
  </si>
  <si>
    <t>1013</t>
  </si>
  <si>
    <t>210</t>
  </si>
  <si>
    <t>135</t>
  </si>
  <si>
    <t>230</t>
  </si>
  <si>
    <t>986</t>
  </si>
  <si>
    <t>196</t>
  </si>
  <si>
    <t>496</t>
  </si>
  <si>
    <t>131</t>
  </si>
  <si>
    <t>1061</t>
  </si>
  <si>
    <t>2882</t>
  </si>
  <si>
    <t>3862</t>
  </si>
  <si>
    <t>1881</t>
  </si>
  <si>
    <t>2826</t>
  </si>
  <si>
    <t>11451</t>
  </si>
  <si>
    <t>3015</t>
  </si>
  <si>
    <t>3963</t>
  </si>
  <si>
    <t>1860</t>
  </si>
  <si>
    <t>2814</t>
  </si>
  <si>
    <t>11652</t>
  </si>
  <si>
    <t>2866</t>
  </si>
  <si>
    <t>3885</t>
  </si>
  <si>
    <t>1892</t>
  </si>
  <si>
    <t>2840</t>
  </si>
  <si>
    <t>11483</t>
  </si>
  <si>
    <t>3899</t>
  </si>
  <si>
    <t>1816</t>
  </si>
  <si>
    <t>2706</t>
  </si>
  <si>
    <t>11287</t>
  </si>
  <si>
    <t>2606</t>
  </si>
  <si>
    <t>3437</t>
  </si>
  <si>
    <t>1610</t>
  </si>
  <si>
    <t>2489</t>
  </si>
  <si>
    <t>10142</t>
  </si>
  <si>
    <t>2591</t>
  </si>
  <si>
    <t>3205</t>
  </si>
  <si>
    <t>1499</t>
  </si>
  <si>
    <t>2723</t>
  </si>
  <si>
    <t>10018</t>
  </si>
  <si>
    <t>2354</t>
  </si>
  <si>
    <t>3242</t>
  </si>
  <si>
    <t>1084</t>
  </si>
  <si>
    <t>2686</t>
  </si>
  <si>
    <t>9366</t>
  </si>
  <si>
    <t>2461</t>
  </si>
  <si>
    <t>3160</t>
  </si>
  <si>
    <t>811</t>
  </si>
  <si>
    <t>2505</t>
  </si>
  <si>
    <t>8937</t>
  </si>
  <si>
    <t>1668</t>
  </si>
  <si>
    <t>540</t>
  </si>
  <si>
    <t>1762</t>
  </si>
  <si>
    <t>6599</t>
  </si>
  <si>
    <t>1658</t>
  </si>
  <si>
    <t>383</t>
  </si>
  <si>
    <t>1435</t>
  </si>
  <si>
    <t>4681</t>
  </si>
  <si>
    <t>1185</t>
  </si>
  <si>
    <t>1643</t>
  </si>
  <si>
    <t>349</t>
  </si>
  <si>
    <t>1315</t>
  </si>
  <si>
    <t>4492</t>
  </si>
  <si>
    <t>1045</t>
  </si>
  <si>
    <t>1511</t>
  </si>
  <si>
    <t>316</t>
  </si>
  <si>
    <t>1222</t>
  </si>
  <si>
    <t>263</t>
  </si>
  <si>
    <t>167</t>
  </si>
  <si>
    <t>220</t>
  </si>
  <si>
    <t>1286</t>
  </si>
  <si>
    <t>214</t>
  </si>
  <si>
    <t>536</t>
  </si>
  <si>
    <t>129</t>
  </si>
  <si>
    <t>1068</t>
  </si>
  <si>
    <t>216</t>
  </si>
  <si>
    <t>435</t>
  </si>
  <si>
    <t>123</t>
  </si>
  <si>
    <t>941</t>
  </si>
  <si>
    <t>157</t>
  </si>
  <si>
    <t>385</t>
  </si>
  <si>
    <t>89</t>
  </si>
  <si>
    <t>125</t>
  </si>
  <si>
    <t>756</t>
  </si>
  <si>
    <t>107</t>
  </si>
  <si>
    <t>281</t>
  </si>
  <si>
    <t>45</t>
  </si>
  <si>
    <t>114</t>
  </si>
  <si>
    <t>547</t>
  </si>
  <si>
    <t>118</t>
  </si>
  <si>
    <t>291</t>
  </si>
  <si>
    <t>75</t>
  </si>
  <si>
    <t>529</t>
  </si>
  <si>
    <t>91</t>
  </si>
  <si>
    <t>34</t>
  </si>
  <si>
    <t>67</t>
  </si>
  <si>
    <t>450</t>
  </si>
  <si>
    <t>80</t>
  </si>
  <si>
    <t>46</t>
  </si>
  <si>
    <t>389</t>
  </si>
  <si>
    <t>26</t>
  </si>
  <si>
    <t>372</t>
  </si>
  <si>
    <t>66</t>
  </si>
  <si>
    <t>185</t>
  </si>
  <si>
    <t>21</t>
  </si>
  <si>
    <t>273</t>
  </si>
  <si>
    <t>61</t>
  </si>
  <si>
    <t>22</t>
  </si>
  <si>
    <t>232</t>
  </si>
  <si>
    <t>141</t>
  </si>
  <si>
    <t>42</t>
  </si>
  <si>
    <t>251</t>
  </si>
  <si>
    <t>178</t>
  </si>
  <si>
    <t>528</t>
  </si>
  <si>
    <t>1238</t>
  </si>
  <si>
    <t>512</t>
  </si>
  <si>
    <t>979</t>
  </si>
  <si>
    <t>2201</t>
  </si>
  <si>
    <t>311</t>
  </si>
  <si>
    <t>498</t>
  </si>
  <si>
    <t>292</t>
  </si>
  <si>
    <t>754</t>
  </si>
  <si>
    <t>318</t>
  </si>
  <si>
    <t>476</t>
  </si>
  <si>
    <t>289</t>
  </si>
  <si>
    <t>859</t>
  </si>
  <si>
    <t>1942</t>
  </si>
  <si>
    <t>368</t>
  </si>
  <si>
    <t>591</t>
  </si>
  <si>
    <t>330</t>
  </si>
  <si>
    <t>954</t>
  </si>
  <si>
    <t>2243</t>
  </si>
  <si>
    <t>463</t>
  </si>
  <si>
    <t>595</t>
  </si>
  <si>
    <t>1087</t>
  </si>
  <si>
    <t>2576</t>
  </si>
  <si>
    <t>484</t>
  </si>
  <si>
    <t>700</t>
  </si>
  <si>
    <t>520</t>
  </si>
  <si>
    <t>1223</t>
  </si>
  <si>
    <t>2927</t>
  </si>
  <si>
    <t>715</t>
  </si>
  <si>
    <t>501</t>
  </si>
  <si>
    <t>1242</t>
  </si>
  <si>
    <t>2981</t>
  </si>
  <si>
    <t>814</t>
  </si>
  <si>
    <t>570</t>
  </si>
  <si>
    <t>1212</t>
  </si>
  <si>
    <t>3142</t>
  </si>
  <si>
    <t>848</t>
  </si>
  <si>
    <t>609</t>
  </si>
  <si>
    <t>3202</t>
  </si>
  <si>
    <t>531</t>
  </si>
  <si>
    <t>845</t>
  </si>
  <si>
    <t>587</t>
  </si>
  <si>
    <t>1211</t>
  </si>
  <si>
    <t>3174</t>
  </si>
  <si>
    <t>776</t>
  </si>
  <si>
    <t>1028</t>
  </si>
  <si>
    <t>818</t>
  </si>
  <si>
    <t>1648</t>
  </si>
  <si>
    <t>4270</t>
  </si>
  <si>
    <t>31</t>
  </si>
  <si>
    <t>148</t>
  </si>
  <si>
    <t>44</t>
  </si>
  <si>
    <t>29</t>
  </si>
  <si>
    <t>78</t>
  </si>
  <si>
    <t>40</t>
  </si>
  <si>
    <t>43</t>
  </si>
  <si>
    <t>74</t>
  </si>
  <si>
    <t>39</t>
  </si>
  <si>
    <t>20</t>
  </si>
  <si>
    <t>73</t>
  </si>
  <si>
    <t>50</t>
  </si>
  <si>
    <t>25</t>
  </si>
  <si>
    <t>70</t>
  </si>
  <si>
    <t>54</t>
  </si>
  <si>
    <t>79</t>
  </si>
  <si>
    <t>109</t>
  </si>
  <si>
    <t>57</t>
  </si>
  <si>
    <t>71</t>
  </si>
  <si>
    <t>48</t>
  </si>
  <si>
    <t>345</t>
  </si>
  <si>
    <t>64</t>
  </si>
  <si>
    <t>444</t>
  </si>
  <si>
    <t>105</t>
  </si>
  <si>
    <t>84</t>
  </si>
  <si>
    <t>151</t>
  </si>
  <si>
    <t>207</t>
  </si>
  <si>
    <t>56</t>
  </si>
  <si>
    <t>133</t>
  </si>
  <si>
    <t>503</t>
  </si>
  <si>
    <t>306</t>
  </si>
  <si>
    <t>137</t>
  </si>
  <si>
    <t>855</t>
  </si>
  <si>
    <t>12880</t>
  </si>
  <si>
    <t>17610</t>
  </si>
  <si>
    <t>15562</t>
  </si>
  <si>
    <t>22106</t>
  </si>
  <si>
    <t>68158</t>
  </si>
  <si>
    <t>13411</t>
  </si>
  <si>
    <t>18225</t>
  </si>
  <si>
    <t>16195</t>
  </si>
  <si>
    <t>23492</t>
  </si>
  <si>
    <t>71323</t>
  </si>
  <si>
    <t>13370</t>
  </si>
  <si>
    <t>18580</t>
  </si>
  <si>
    <t>16616</t>
  </si>
  <si>
    <t>24359</t>
  </si>
  <si>
    <t>72925</t>
  </si>
  <si>
    <t>13608</t>
  </si>
  <si>
    <t>18626</t>
  </si>
  <si>
    <t>16826</t>
  </si>
  <si>
    <t>24789</t>
  </si>
  <si>
    <t>73849</t>
  </si>
  <si>
    <t>13599</t>
  </si>
  <si>
    <t>18553</t>
  </si>
  <si>
    <t>16637</t>
  </si>
  <si>
    <t>24673</t>
  </si>
  <si>
    <t>73462</t>
  </si>
  <si>
    <t>13979</t>
  </si>
  <si>
    <t>18791</t>
  </si>
  <si>
    <t>17211</t>
  </si>
  <si>
    <t>25722</t>
  </si>
  <si>
    <t>75703</t>
  </si>
  <si>
    <t>14642</t>
  </si>
  <si>
    <t>19311</t>
  </si>
  <si>
    <t>17955</t>
  </si>
  <si>
    <t>26187</t>
  </si>
  <si>
    <t>78095</t>
  </si>
  <si>
    <t>15226</t>
  </si>
  <si>
    <t>20018</t>
  </si>
  <si>
    <t>18775</t>
  </si>
  <si>
    <t>27732</t>
  </si>
  <si>
    <t>81751</t>
  </si>
  <si>
    <t>15279</t>
  </si>
  <si>
    <t>20558</t>
  </si>
  <si>
    <t>18916</t>
  </si>
  <si>
    <t>27976</t>
  </si>
  <si>
    <t>82729</t>
  </si>
  <si>
    <t>15948</t>
  </si>
  <si>
    <t>21147</t>
  </si>
  <si>
    <t>19883</t>
  </si>
  <si>
    <t>29178</t>
  </si>
  <si>
    <t>86156</t>
  </si>
  <si>
    <t>16251</t>
  </si>
  <si>
    <t>21130</t>
  </si>
  <si>
    <t>20093</t>
  </si>
  <si>
    <t>29677</t>
  </si>
  <si>
    <t>87151</t>
  </si>
  <si>
    <t>17696</t>
  </si>
  <si>
    <t>21782</t>
  </si>
  <si>
    <t>20632</t>
  </si>
  <si>
    <t>30914</t>
  </si>
  <si>
    <t>91024</t>
  </si>
  <si>
    <t>1466</t>
  </si>
  <si>
    <t>2395</t>
  </si>
  <si>
    <t>1387</t>
  </si>
  <si>
    <t>2647</t>
  </si>
  <si>
    <t>7895</t>
  </si>
  <si>
    <t>1370</t>
  </si>
  <si>
    <t>2265</t>
  </si>
  <si>
    <t>1246</t>
  </si>
  <si>
    <t>2415</t>
  </si>
  <si>
    <t>7296</t>
  </si>
  <si>
    <t>1257</t>
  </si>
  <si>
    <t>2089</t>
  </si>
  <si>
    <t>1188</t>
  </si>
  <si>
    <t>2183</t>
  </si>
  <si>
    <t>6717</t>
  </si>
  <si>
    <t>1168</t>
  </si>
  <si>
    <t>1947</t>
  </si>
  <si>
    <t>1031</t>
  </si>
  <si>
    <t>1981</t>
  </si>
  <si>
    <t>6127</t>
  </si>
  <si>
    <t>1032</t>
  </si>
  <si>
    <t>1572</t>
  </si>
  <si>
    <t>911</t>
  </si>
  <si>
    <t>1688</t>
  </si>
  <si>
    <t>5203</t>
  </si>
  <si>
    <t>828</t>
  </si>
  <si>
    <t>1526</t>
  </si>
  <si>
    <t>730</t>
  </si>
  <si>
    <t>1395</t>
  </si>
  <si>
    <t>4479</t>
  </si>
  <si>
    <t>807</t>
  </si>
  <si>
    <t>724</t>
  </si>
  <si>
    <t>1373</t>
  </si>
  <si>
    <t>4374</t>
  </si>
  <si>
    <t>943</t>
  </si>
  <si>
    <t>1672</t>
  </si>
  <si>
    <t>677</t>
  </si>
  <si>
    <t>1342</t>
  </si>
  <si>
    <t>4634</t>
  </si>
  <si>
    <t>1902</t>
  </si>
  <si>
    <t>772</t>
  </si>
  <si>
    <t>1428</t>
  </si>
  <si>
    <t>5130</t>
  </si>
  <si>
    <t>1988</t>
  </si>
  <si>
    <t>862</t>
  </si>
  <si>
    <t>1565</t>
  </si>
  <si>
    <t>5502</t>
  </si>
  <si>
    <t>1147</t>
  </si>
  <si>
    <t>1987</t>
  </si>
  <si>
    <t>821</t>
  </si>
  <si>
    <t>1439</t>
  </si>
  <si>
    <t>1401</t>
  </si>
  <si>
    <t>2387</t>
  </si>
  <si>
    <t>1681</t>
  </si>
  <si>
    <t>6533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</si>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</sst>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\ ###\ ##0"/>
    <numFmt numFmtId="165" formatCode="0.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NDSFrutiger 55 Roman"/>
    </font>
    <font>
      <sz val="6"/>
      <color theme="1"/>
      <name val="NDSFrutiger 45 Light"/>
    </font>
    <font>
      <sz val="9"/>
      <name val="NDSFrutiger 55 Roman"/>
    </font>
    <font>
      <sz val="6"/>
      <name val="NDSFrutiger 45 Light"/>
    </font>
    <font>
      <vertAlign val="superscript"/>
      <sz val="6"/>
      <name val="NDSFrutiger 45 Light"/>
    </font>
    <font>
      <sz val="6"/>
      <name val="NDSFrutiger 55 Roman"/>
    </font>
    <font>
      <sz val="6"/>
      <color theme="1"/>
      <name val="NDSFrutiger 55 Roman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7.5"/>
      <color rgb="FF000080"/>
      <name val="Arial"/>
      <family val="2"/>
    </font>
    <font>
      <sz val="11"/>
      <color theme="1"/>
      <name val="NDSFrutiger 55 Roman"/>
    </font>
    <font>
      <sz val="8"/>
      <name val="NDSFrutiger 45 Light"/>
    </font>
    <font>
      <vertAlign val="superscript"/>
      <sz val="6"/>
      <name val="NDSFrutiger 55 Roman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4E4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5F5FF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000000"/>
      </right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/>
      <right/>
      <top/>
      <bottom style="medium">
        <color rgb="FF888888"/>
      </bottom>
      <diagonal/>
    </border>
    <border>
      <left/>
      <right style="medium">
        <color rgb="FF888888"/>
      </right>
      <top/>
      <bottom style="medium">
        <color rgb="FF888888"/>
      </bottom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5" fillId="0" borderId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26" fillId="0" borderId="0" applyNumberFormat="0" applyFill="0" applyBorder="0" applyAlignment="0" applyProtection="0"/>
  </cellStyleXfs>
  <cellXfs count="271">
    <xf numFmtId="0" fontId="0" fillId="0" borderId="0" xfId="0"/>
    <xf numFmtId="0" fontId="18" fillId="0" borderId="0" xfId="0" applyFont="1" applyAlignment="1" applyProtection="1">
      <alignment vertical="center" wrapText="1"/>
      <protection locked="0"/>
    </xf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 wrapText="1"/>
    </xf>
    <xf numFmtId="164" fontId="21" fillId="0" borderId="0" xfId="0" applyNumberFormat="1" applyFont="1" applyBorder="1" applyAlignment="1">
      <alignment vertical="center" wrapText="1"/>
    </xf>
    <xf numFmtId="0" fontId="23" fillId="0" borderId="0" xfId="0" applyFont="1" applyAlignment="1">
      <alignment vertical="top"/>
    </xf>
    <xf numFmtId="0" fontId="23" fillId="0" borderId="0" xfId="0" applyFont="1" applyBorder="1" applyAlignment="1">
      <alignment vertical="top"/>
    </xf>
    <xf numFmtId="0" fontId="21" fillId="0" borderId="0" xfId="0" applyFont="1" applyAlignment="1"/>
    <xf numFmtId="0" fontId="21" fillId="0" borderId="0" xfId="0" applyFont="1" applyBorder="1" applyAlignment="1"/>
    <xf numFmtId="165" fontId="21" fillId="0" borderId="0" xfId="0" applyNumberFormat="1" applyFont="1" applyBorder="1" applyAlignment="1"/>
    <xf numFmtId="165" fontId="21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vertical="top"/>
    </xf>
    <xf numFmtId="0" fontId="21" fillId="0" borderId="0" xfId="0" applyFont="1" applyAlignment="1">
      <alignment horizontal="right" vertical="center"/>
    </xf>
    <xf numFmtId="0" fontId="23" fillId="0" borderId="0" xfId="0" applyFont="1" applyAlignment="1">
      <alignment horizontal="right" vertical="top"/>
    </xf>
    <xf numFmtId="165" fontId="21" fillId="0" borderId="0" xfId="0" applyNumberFormat="1" applyFont="1" applyBorder="1" applyAlignment="1">
      <alignment horizontal="right" vertical="center" wrapText="1"/>
    </xf>
    <xf numFmtId="164" fontId="21" fillId="0" borderId="0" xfId="0" applyNumberFormat="1" applyFont="1" applyBorder="1" applyAlignment="1">
      <alignment horizontal="right" vertical="center" wrapText="1"/>
    </xf>
    <xf numFmtId="0" fontId="24" fillId="0" borderId="15" xfId="0" applyFont="1" applyBorder="1" applyAlignment="1"/>
    <xf numFmtId="165" fontId="23" fillId="0" borderId="0" xfId="0" applyNumberFormat="1" applyFont="1" applyBorder="1" applyAlignment="1"/>
    <xf numFmtId="0" fontId="0" fillId="0" borderId="0" xfId="0" applyAlignment="1">
      <alignment horizontal="right" vertical="center"/>
    </xf>
    <xf numFmtId="0" fontId="21" fillId="0" borderId="0" xfId="0" applyFont="1" applyBorder="1" applyAlignment="1">
      <alignment vertical="top"/>
    </xf>
    <xf numFmtId="0" fontId="21" fillId="0" borderId="0" xfId="0" applyFont="1" applyBorder="1" applyAlignment="1">
      <alignment horizontal="left" vertical="top" wrapText="1"/>
    </xf>
    <xf numFmtId="164" fontId="21" fillId="0" borderId="0" xfId="0" applyNumberFormat="1" applyFont="1" applyBorder="1" applyAlignment="1">
      <alignment horizontal="left" vertical="top" wrapText="1"/>
    </xf>
    <xf numFmtId="0" fontId="21" fillId="0" borderId="0" xfId="42" applyFont="1" applyAlignment="1">
      <alignment horizontal="left" vertical="top"/>
    </xf>
    <xf numFmtId="0" fontId="24" fillId="0" borderId="0" xfId="0" applyFont="1" applyAlignment="1">
      <alignment vertical="center"/>
    </xf>
    <xf numFmtId="0" fontId="23" fillId="0" borderId="0" xfId="0" applyFont="1" applyBorder="1" applyAlignment="1">
      <alignment vertical="center" wrapText="1"/>
    </xf>
    <xf numFmtId="164" fontId="23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horizontal="right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0" fillId="0" borderId="31" xfId="0" applyBorder="1"/>
    <xf numFmtId="0" fontId="27" fillId="0" borderId="0" xfId="0" applyFont="1"/>
    <xf numFmtId="0" fontId="0" fillId="0" borderId="24" xfId="0" applyBorder="1"/>
    <xf numFmtId="0" fontId="0" fillId="0" borderId="28" xfId="0" applyBorder="1" applyAlignment="1">
      <alignment vertical="center" wrapText="1"/>
    </xf>
    <xf numFmtId="0" fontId="16" fillId="33" borderId="20" xfId="0" applyFont="1" applyFill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26" xfId="0" applyBorder="1"/>
    <xf numFmtId="0" fontId="16" fillId="33" borderId="19" xfId="0" applyFont="1" applyFill="1" applyBorder="1" applyAlignment="1">
      <alignment horizontal="center" vertical="center" wrapText="1"/>
    </xf>
    <xf numFmtId="0" fontId="0" fillId="0" borderId="23" xfId="0" applyBorder="1"/>
    <xf numFmtId="0" fontId="16" fillId="33" borderId="18" xfId="0" applyFont="1" applyFill="1" applyBorder="1" applyAlignment="1">
      <alignment horizontal="center" vertical="center" wrapText="1"/>
    </xf>
    <xf numFmtId="0" fontId="16" fillId="33" borderId="21" xfId="0" applyFont="1" applyFill="1" applyBorder="1" applyAlignment="1">
      <alignment horizontal="center" vertical="center" wrapText="1"/>
    </xf>
    <xf numFmtId="0" fontId="0" fillId="0" borderId="32" xfId="0" applyBorder="1"/>
    <xf numFmtId="0" fontId="0" fillId="0" borderId="27" xfId="0" applyBorder="1"/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26" fillId="0" borderId="0" xfId="49"/>
    <xf numFmtId="0" fontId="28" fillId="0" borderId="0" xfId="0" applyFont="1"/>
    <xf numFmtId="0" fontId="0" fillId="33" borderId="19" xfId="0" applyFill="1" applyBorder="1" applyAlignment="1">
      <alignment horizontal="center" vertical="center" wrapText="1"/>
    </xf>
    <xf numFmtId="0" fontId="16" fillId="33" borderId="22" xfId="0" applyFont="1" applyFill="1" applyBorder="1" applyAlignment="1">
      <alignment vertical="center" wrapText="1"/>
    </xf>
    <xf numFmtId="0" fontId="16" fillId="33" borderId="23" xfId="0" applyFont="1" applyFill="1" applyBorder="1" applyAlignment="1">
      <alignment vertical="center" wrapText="1"/>
    </xf>
    <xf numFmtId="0" fontId="16" fillId="33" borderId="24" xfId="0" applyFont="1" applyFill="1" applyBorder="1" applyAlignment="1">
      <alignment vertical="center" wrapText="1"/>
    </xf>
    <xf numFmtId="0" fontId="16" fillId="33" borderId="31" xfId="0" applyFont="1" applyFill="1" applyBorder="1" applyAlignment="1">
      <alignment vertical="center" wrapText="1"/>
    </xf>
    <xf numFmtId="0" fontId="16" fillId="33" borderId="0" xfId="0" applyFont="1" applyFill="1" applyBorder="1" applyAlignment="1">
      <alignment vertical="center" wrapText="1"/>
    </xf>
    <xf numFmtId="0" fontId="16" fillId="33" borderId="32" xfId="0" applyFont="1" applyFill="1" applyBorder="1" applyAlignment="1">
      <alignment vertical="center" wrapText="1"/>
    </xf>
    <xf numFmtId="0" fontId="16" fillId="33" borderId="25" xfId="0" applyFont="1" applyFill="1" applyBorder="1" applyAlignment="1">
      <alignment vertical="center" wrapText="1"/>
    </xf>
    <xf numFmtId="0" fontId="16" fillId="33" borderId="26" xfId="0" applyFont="1" applyFill="1" applyBorder="1" applyAlignment="1">
      <alignment vertical="center" wrapText="1"/>
    </xf>
    <xf numFmtId="0" fontId="16" fillId="33" borderId="27" xfId="0" applyFont="1" applyFill="1" applyBorder="1" applyAlignment="1">
      <alignment vertical="center" wrapText="1"/>
    </xf>
    <xf numFmtId="0" fontId="16" fillId="33" borderId="19" xfId="0" applyFont="1" applyFill="1" applyBorder="1" applyAlignment="1">
      <alignment vertical="center" wrapText="1"/>
    </xf>
    <xf numFmtId="0" fontId="16" fillId="33" borderId="21" xfId="0" applyFont="1" applyFill="1" applyBorder="1" applyAlignment="1">
      <alignment vertical="center" wrapText="1"/>
    </xf>
    <xf numFmtId="0" fontId="16" fillId="34" borderId="19" xfId="0" applyFont="1" applyFill="1" applyBorder="1" applyAlignment="1">
      <alignment vertical="center" wrapText="1"/>
    </xf>
    <xf numFmtId="0" fontId="16" fillId="34" borderId="21" xfId="0" applyFont="1" applyFill="1" applyBorder="1" applyAlignment="1">
      <alignment vertical="center" wrapText="1"/>
    </xf>
    <xf numFmtId="0" fontId="16" fillId="34" borderId="1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29" xfId="0" applyFill="1" applyBorder="1" applyAlignment="1">
      <alignment vertical="center" wrapText="1"/>
    </xf>
    <xf numFmtId="0" fontId="0" fillId="34" borderId="18" xfId="0" applyFill="1" applyBorder="1" applyAlignment="1">
      <alignment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0" fillId="0" borderId="29" xfId="0" applyFill="1" applyBorder="1" applyAlignment="1">
      <alignment vertical="center" wrapText="1"/>
    </xf>
    <xf numFmtId="0" fontId="0" fillId="0" borderId="0" xfId="0" applyFill="1"/>
    <xf numFmtId="0" fontId="0" fillId="0" borderId="18" xfId="0" applyFill="1" applyBorder="1" applyAlignment="1">
      <alignment vertical="center" wrapText="1"/>
    </xf>
    <xf numFmtId="0" fontId="0" fillId="0" borderId="28" xfId="0" applyFill="1" applyBorder="1" applyAlignment="1">
      <alignment vertical="center" wrapText="1"/>
    </xf>
    <xf numFmtId="0" fontId="0" fillId="34" borderId="28" xfId="0" applyFill="1" applyBorder="1" applyAlignment="1">
      <alignment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164" fontId="21" fillId="0" borderId="0" xfId="0" applyNumberFormat="1" applyFont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9" fillId="0" borderId="0" xfId="0" applyFont="1" applyAlignment="1">
      <alignment vertical="center"/>
    </xf>
    <xf numFmtId="1" fontId="21" fillId="0" borderId="0" xfId="0" applyNumberFormat="1" applyFont="1" applyBorder="1" applyAlignment="1">
      <alignment horizontal="right" vertical="center" wrapText="1"/>
    </xf>
    <xf numFmtId="0" fontId="21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164" fontId="21" fillId="0" borderId="0" xfId="0" applyNumberFormat="1" applyFont="1" applyFill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164" fontId="23" fillId="0" borderId="0" xfId="0" applyNumberFormat="1" applyFont="1" applyBorder="1" applyAlignment="1">
      <alignment horizontal="right" vertical="top"/>
    </xf>
    <xf numFmtId="0" fontId="19" fillId="0" borderId="0" xfId="0" applyFont="1" applyFill="1" applyBorder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64" fontId="21" fillId="0" borderId="0" xfId="0" applyNumberFormat="1" applyFont="1" applyBorder="1" applyAlignment="1">
      <alignment horizontal="right" vertical="center"/>
    </xf>
    <xf numFmtId="165" fontId="21" fillId="0" borderId="0" xfId="0" applyNumberFormat="1" applyFont="1" applyBorder="1" applyAlignment="1">
      <alignment horizontal="center" vertical="center" wrapText="1"/>
    </xf>
    <xf numFmtId="165" fontId="23" fillId="0" borderId="0" xfId="0" applyNumberFormat="1" applyFont="1" applyBorder="1" applyAlignment="1">
      <alignment horizontal="right" vertical="top"/>
    </xf>
    <xf numFmtId="1" fontId="23" fillId="0" borderId="0" xfId="0" applyNumberFormat="1" applyFont="1" applyBorder="1" applyAlignment="1">
      <alignment horizontal="right" vertical="center" wrapText="1"/>
    </xf>
    <xf numFmtId="0" fontId="29" fillId="0" borderId="0" xfId="0" applyFont="1"/>
    <xf numFmtId="164" fontId="23" fillId="0" borderId="0" xfId="0" applyNumberFormat="1" applyFont="1" applyBorder="1" applyAlignment="1">
      <alignment horizontal="right" vertical="center"/>
    </xf>
    <xf numFmtId="0" fontId="0" fillId="0" borderId="12" xfId="0" applyFill="1" applyBorder="1"/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9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20" fillId="0" borderId="0" xfId="0" applyFont="1"/>
    <xf numFmtId="0" fontId="30" fillId="0" borderId="0" xfId="0" applyFont="1"/>
    <xf numFmtId="0" fontId="30" fillId="0" borderId="0" xfId="0" applyFont="1" applyBorder="1"/>
    <xf numFmtId="164" fontId="21" fillId="0" borderId="0" xfId="0" applyNumberFormat="1" applyFont="1" applyBorder="1" applyAlignment="1">
      <alignment vertical="top" wrapText="1"/>
    </xf>
    <xf numFmtId="165" fontId="21" fillId="0" borderId="0" xfId="0" applyNumberFormat="1" applyFont="1" applyBorder="1" applyAlignment="1">
      <alignment vertical="top" wrapText="1"/>
    </xf>
    <xf numFmtId="164" fontId="21" fillId="0" borderId="0" xfId="0" applyNumberFormat="1" applyFont="1" applyAlignment="1">
      <alignment vertical="top" wrapText="1"/>
    </xf>
    <xf numFmtId="1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 vertical="top" wrapText="1"/>
    </xf>
    <xf numFmtId="0" fontId="29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19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right" vertical="center"/>
    </xf>
    <xf numFmtId="164" fontId="23" fillId="0" borderId="0" xfId="0" applyNumberFormat="1" applyFont="1" applyAlignment="1">
      <alignment horizontal="right" vertical="top"/>
    </xf>
    <xf numFmtId="164" fontId="19" fillId="0" borderId="0" xfId="0" applyNumberFormat="1" applyFont="1" applyFill="1" applyBorder="1" applyAlignment="1">
      <alignment horizontal="right" vertical="center" wrapText="1"/>
    </xf>
    <xf numFmtId="164" fontId="19" fillId="0" borderId="0" xfId="0" applyNumberFormat="1" applyFont="1" applyAlignment="1">
      <alignment horizontal="right" vertical="center"/>
    </xf>
    <xf numFmtId="164" fontId="24" fillId="0" borderId="0" xfId="0" applyNumberFormat="1" applyFont="1" applyFill="1" applyBorder="1" applyAlignment="1">
      <alignment horizontal="right" vertical="center" wrapText="1"/>
    </xf>
    <xf numFmtId="164" fontId="24" fillId="0" borderId="0" xfId="0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0" fontId="21" fillId="35" borderId="0" xfId="0" applyFont="1" applyFill="1" applyBorder="1" applyAlignment="1">
      <alignment vertical="center" wrapText="1"/>
    </xf>
    <xf numFmtId="164" fontId="21" fillId="35" borderId="0" xfId="0" applyNumberFormat="1" applyFont="1" applyFill="1" applyBorder="1" applyAlignment="1">
      <alignment vertical="center" wrapText="1"/>
    </xf>
    <xf numFmtId="165" fontId="21" fillId="35" borderId="0" xfId="0" applyNumberFormat="1" applyFont="1" applyFill="1" applyBorder="1" applyAlignment="1">
      <alignment vertical="center" wrapText="1"/>
    </xf>
    <xf numFmtId="164" fontId="21" fillId="35" borderId="0" xfId="0" applyNumberFormat="1" applyFont="1" applyFill="1" applyBorder="1" applyAlignment="1">
      <alignment horizontal="right" vertical="center" wrapText="1"/>
    </xf>
    <xf numFmtId="165" fontId="21" fillId="35" borderId="0" xfId="0" applyNumberFormat="1" applyFont="1" applyFill="1" applyBorder="1" applyAlignment="1">
      <alignment horizontal="right" vertical="center" wrapText="1"/>
    </xf>
    <xf numFmtId="0" fontId="23" fillId="35" borderId="0" xfId="0" applyFont="1" applyFill="1" applyBorder="1" applyAlignment="1">
      <alignment vertical="center" wrapText="1"/>
    </xf>
    <xf numFmtId="164" fontId="23" fillId="35" borderId="0" xfId="0" applyNumberFormat="1" applyFont="1" applyFill="1" applyBorder="1" applyAlignment="1">
      <alignment vertical="center" wrapText="1"/>
    </xf>
    <xf numFmtId="165" fontId="23" fillId="35" borderId="0" xfId="0" applyNumberFormat="1" applyFont="1" applyFill="1" applyBorder="1" applyAlignment="1">
      <alignment vertical="center" wrapText="1"/>
    </xf>
    <xf numFmtId="164" fontId="23" fillId="35" borderId="0" xfId="0" applyNumberFormat="1" applyFont="1" applyFill="1" applyBorder="1" applyAlignment="1">
      <alignment horizontal="right" vertical="center" wrapText="1"/>
    </xf>
    <xf numFmtId="165" fontId="23" fillId="35" borderId="0" xfId="0" applyNumberFormat="1" applyFont="1" applyFill="1" applyBorder="1" applyAlignment="1">
      <alignment horizontal="right" vertical="center" wrapText="1"/>
    </xf>
    <xf numFmtId="1" fontId="23" fillId="35" borderId="0" xfId="0" applyNumberFormat="1" applyFont="1" applyFill="1" applyBorder="1" applyAlignment="1">
      <alignment horizontal="right" vertical="center" wrapText="1"/>
    </xf>
    <xf numFmtId="165" fontId="23" fillId="35" borderId="0" xfId="0" applyNumberFormat="1" applyFont="1" applyFill="1" applyBorder="1" applyAlignment="1">
      <alignment horizontal="right" vertical="top" wrapText="1"/>
    </xf>
    <xf numFmtId="1" fontId="21" fillId="35" borderId="0" xfId="0" applyNumberFormat="1" applyFont="1" applyFill="1" applyBorder="1" applyAlignment="1">
      <alignment horizontal="right" vertical="center" wrapText="1"/>
    </xf>
    <xf numFmtId="1" fontId="23" fillId="35" borderId="0" xfId="0" applyNumberFormat="1" applyFont="1" applyFill="1" applyBorder="1" applyAlignment="1">
      <alignment horizontal="right" vertical="top" wrapText="1"/>
    </xf>
    <xf numFmtId="165" fontId="21" fillId="36" borderId="0" xfId="0" applyNumberFormat="1" applyFont="1" applyFill="1" applyBorder="1" applyAlignment="1">
      <alignment horizontal="righ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13" xfId="0" applyFont="1" applyFill="1" applyBorder="1" applyAlignment="1">
      <alignment horizontal="center" vertical="center" wrapText="1"/>
    </xf>
    <xf numFmtId="0" fontId="0" fillId="0" borderId="12" xfId="0" applyFill="1" applyBorder="1" applyAlignment="1">
      <alignment vertical="center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6" fillId="0" borderId="18" xfId="0" applyFon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13" xfId="0" applyFill="1" applyBorder="1"/>
    <xf numFmtId="0" fontId="21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165" fontId="21" fillId="0" borderId="0" xfId="0" applyNumberFormat="1" applyFont="1" applyAlignment="1">
      <alignment vertical="center" wrapText="1"/>
    </xf>
    <xf numFmtId="0" fontId="21" fillId="35" borderId="0" xfId="0" applyFont="1" applyFill="1" applyAlignment="1">
      <alignment vertical="center" wrapText="1"/>
    </xf>
    <xf numFmtId="165" fontId="21" fillId="35" borderId="0" xfId="0" applyNumberFormat="1" applyFont="1" applyFill="1" applyAlignment="1">
      <alignment vertical="center" wrapText="1"/>
    </xf>
    <xf numFmtId="1" fontId="21" fillId="0" borderId="0" xfId="0" applyNumberFormat="1" applyFont="1" applyFill="1" applyBorder="1" applyAlignment="1">
      <alignment horizontal="right" vertical="center" wrapText="1"/>
    </xf>
    <xf numFmtId="165" fontId="21" fillId="0" borderId="0" xfId="0" applyNumberFormat="1" applyFont="1" applyFill="1" applyBorder="1" applyAlignment="1">
      <alignment horizontal="right" vertical="center" wrapText="1"/>
    </xf>
    <xf numFmtId="1" fontId="23" fillId="0" borderId="0" xfId="0" applyNumberFormat="1" applyFont="1" applyFill="1" applyBorder="1" applyAlignment="1">
      <alignment horizontal="right" vertical="top" wrapText="1"/>
    </xf>
    <xf numFmtId="165" fontId="23" fillId="0" borderId="0" xfId="0" applyNumberFormat="1" applyFont="1" applyFill="1" applyBorder="1" applyAlignment="1">
      <alignment horizontal="right" vertical="top" wrapText="1"/>
    </xf>
    <xf numFmtId="0" fontId="0" fillId="0" borderId="0" xfId="0" applyFill="1" applyBorder="1" applyAlignment="1">
      <alignment horizontal="center" vertical="center"/>
    </xf>
    <xf numFmtId="0" fontId="0" fillId="0" borderId="29" xfId="0" applyBorder="1" applyAlignment="1">
      <alignment vertical="center" wrapText="1"/>
    </xf>
    <xf numFmtId="164" fontId="21" fillId="0" borderId="0" xfId="0" applyNumberFormat="1" applyFont="1" applyFill="1" applyBorder="1" applyAlignment="1">
      <alignment horizontal="right" vertical="center" wrapText="1"/>
    </xf>
    <xf numFmtId="1" fontId="23" fillId="0" borderId="0" xfId="0" applyNumberFormat="1" applyFont="1" applyFill="1" applyBorder="1" applyAlignment="1">
      <alignment horizontal="right" vertical="center" wrapText="1"/>
    </xf>
    <xf numFmtId="164" fontId="23" fillId="0" borderId="0" xfId="0" applyNumberFormat="1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33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4" fillId="33" borderId="40" xfId="0" applyFont="1" applyFill="1" applyBorder="1" applyAlignment="1">
      <alignment horizontal="center" vertical="center"/>
    </xf>
    <xf numFmtId="0" fontId="34" fillId="33" borderId="41" xfId="0" applyFont="1" applyFill="1" applyBorder="1" applyAlignment="1">
      <alignment horizontal="center" vertical="center"/>
    </xf>
    <xf numFmtId="0" fontId="34" fillId="33" borderId="42" xfId="0" applyFont="1" applyFill="1" applyBorder="1" applyAlignment="1">
      <alignment horizontal="center" vertical="center"/>
    </xf>
    <xf numFmtId="0" fontId="34" fillId="33" borderId="43" xfId="0" applyFont="1" applyFill="1" applyBorder="1" applyAlignment="1">
      <alignment horizontal="center" vertical="center"/>
    </xf>
    <xf numFmtId="0" fontId="0" fillId="33" borderId="40" xfId="0" applyFill="1" applyBorder="1" applyAlignment="1">
      <alignment horizontal="center" vertical="center"/>
    </xf>
    <xf numFmtId="0" fontId="34" fillId="33" borderId="46" xfId="0" applyFont="1" applyFill="1" applyBorder="1" applyAlignment="1">
      <alignment horizontal="center" vertical="center"/>
    </xf>
    <xf numFmtId="0" fontId="34" fillId="33" borderId="48" xfId="0" applyFont="1" applyFill="1" applyBorder="1" applyAlignment="1">
      <alignment horizontal="center" vertical="center"/>
    </xf>
    <xf numFmtId="0" fontId="35" fillId="33" borderId="39" xfId="0" applyFont="1" applyFill="1" applyBorder="1" applyAlignment="1">
      <alignment horizontal="center" vertical="center"/>
    </xf>
    <xf numFmtId="0" fontId="34" fillId="37" borderId="39" xfId="0" applyFont="1" applyFill="1" applyBorder="1" applyAlignment="1">
      <alignment horizontal="right" vertical="center"/>
    </xf>
    <xf numFmtId="0" fontId="34" fillId="33" borderId="39" xfId="0" applyFont="1" applyFill="1" applyBorder="1" applyAlignment="1">
      <alignment horizontal="right" vertical="center"/>
    </xf>
    <xf numFmtId="0" fontId="34" fillId="33" borderId="52" xfId="0" applyFont="1" applyFill="1" applyBorder="1" applyAlignment="1">
      <alignment horizontal="center" vertical="center"/>
    </xf>
    <xf numFmtId="0" fontId="34" fillId="33" borderId="53" xfId="0" applyFont="1" applyFill="1" applyBorder="1" applyAlignment="1">
      <alignment horizontal="center" vertical="center"/>
    </xf>
    <xf numFmtId="0" fontId="0" fillId="0" borderId="54" xfId="0" applyBorder="1"/>
    <xf numFmtId="0" fontId="0" fillId="0" borderId="56" xfId="0" applyBorder="1"/>
    <xf numFmtId="0" fontId="34" fillId="33" borderId="57" xfId="0" applyFont="1" applyFill="1" applyBorder="1" applyAlignment="1">
      <alignment horizontal="center" vertical="center"/>
    </xf>
    <xf numFmtId="0" fontId="0" fillId="0" borderId="58" xfId="0" applyBorder="1"/>
    <xf numFmtId="0" fontId="34" fillId="33" borderId="59" xfId="0" applyFont="1" applyFill="1" applyBorder="1" applyAlignment="1">
      <alignment horizontal="center" vertical="center"/>
    </xf>
    <xf numFmtId="0" fontId="0" fillId="0" borderId="60" xfId="0" applyBorder="1"/>
    <xf numFmtId="0" fontId="34" fillId="37" borderId="61" xfId="0" applyFont="1" applyFill="1" applyBorder="1" applyAlignment="1">
      <alignment horizontal="left" vertical="center"/>
    </xf>
    <xf numFmtId="0" fontId="34" fillId="33" borderId="61" xfId="0" applyFont="1" applyFill="1" applyBorder="1" applyAlignment="1">
      <alignment horizontal="left" vertical="center"/>
    </xf>
    <xf numFmtId="0" fontId="34" fillId="37" borderId="63" xfId="0" applyFont="1" applyFill="1" applyBorder="1" applyAlignment="1">
      <alignment horizontal="left" vertical="center"/>
    </xf>
    <xf numFmtId="0" fontId="34" fillId="33" borderId="63" xfId="0" applyFont="1" applyFill="1" applyBorder="1" applyAlignment="1">
      <alignment horizontal="left" vertical="center"/>
    </xf>
    <xf numFmtId="0" fontId="34" fillId="33" borderId="64" xfId="0" applyFont="1" applyFill="1" applyBorder="1" applyAlignment="1">
      <alignment horizontal="left" vertical="center"/>
    </xf>
    <xf numFmtId="0" fontId="34" fillId="33" borderId="65" xfId="0" applyFont="1" applyFill="1" applyBorder="1" applyAlignment="1">
      <alignment horizontal="right" vertical="center"/>
    </xf>
    <xf numFmtId="0" fontId="0" fillId="0" borderId="66" xfId="0" applyBorder="1"/>
    <xf numFmtId="0" fontId="0" fillId="0" borderId="67" xfId="0" applyBorder="1"/>
    <xf numFmtId="0" fontId="34" fillId="33" borderId="54" xfId="0" applyFont="1" applyFill="1" applyBorder="1" applyAlignment="1">
      <alignment horizontal="center" vertical="center"/>
    </xf>
    <xf numFmtId="0" fontId="34" fillId="33" borderId="55" xfId="0" applyFont="1" applyFill="1" applyBorder="1" applyAlignment="1">
      <alignment horizontal="center" vertical="center"/>
    </xf>
    <xf numFmtId="0" fontId="34" fillId="33" borderId="0" xfId="0" applyFont="1" applyFill="1" applyBorder="1" applyAlignment="1">
      <alignment horizontal="center" vertical="center"/>
    </xf>
    <xf numFmtId="0" fontId="34" fillId="33" borderId="47" xfId="0" applyFont="1" applyFill="1" applyBorder="1" applyAlignment="1">
      <alignment horizontal="center" vertical="center"/>
    </xf>
    <xf numFmtId="0" fontId="34" fillId="33" borderId="49" xfId="0" applyFont="1" applyFill="1" applyBorder="1" applyAlignment="1">
      <alignment horizontal="center" vertical="center"/>
    </xf>
    <xf numFmtId="0" fontId="34" fillId="33" borderId="50" xfId="0" applyFont="1" applyFill="1" applyBorder="1" applyAlignment="1">
      <alignment horizontal="center" vertical="center"/>
    </xf>
    <xf numFmtId="0" fontId="34" fillId="33" borderId="44" xfId="0" applyFont="1" applyFill="1" applyBorder="1" applyAlignment="1">
      <alignment horizontal="center" vertical="center"/>
    </xf>
    <xf numFmtId="0" fontId="34" fillId="33" borderId="45" xfId="0" applyFont="1" applyFill="1" applyBorder="1" applyAlignment="1">
      <alignment horizontal="center" vertical="center"/>
    </xf>
    <xf numFmtId="0" fontId="34" fillId="37" borderId="51" xfId="0" applyFont="1" applyFill="1" applyBorder="1" applyAlignment="1">
      <alignment horizontal="left" vertical="center"/>
    </xf>
    <xf numFmtId="0" fontId="34" fillId="37" borderId="62" xfId="0" applyFont="1" applyFill="1" applyBorder="1" applyAlignment="1">
      <alignment horizontal="left" vertical="center"/>
    </xf>
    <xf numFmtId="0" fontId="34" fillId="33" borderId="51" xfId="0" applyFont="1" applyFill="1" applyBorder="1" applyAlignment="1">
      <alignment horizontal="left" vertical="center"/>
    </xf>
    <xf numFmtId="0" fontId="34" fillId="33" borderId="62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13" xfId="0" applyFont="1" applyFill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vertical="center"/>
    </xf>
    <xf numFmtId="0" fontId="23" fillId="0" borderId="0" xfId="0" applyFont="1" applyBorder="1" applyAlignment="1">
      <alignment vertical="center"/>
    </xf>
    <xf numFmtId="0" fontId="0" fillId="0" borderId="0" xfId="0" applyAlignment="1"/>
    <xf numFmtId="0" fontId="24" fillId="0" borderId="0" xfId="0" applyFont="1" applyBorder="1" applyAlignment="1"/>
    <xf numFmtId="0" fontId="0" fillId="0" borderId="0" xfId="0" applyBorder="1"/>
    <xf numFmtId="0" fontId="21" fillId="0" borderId="10" xfId="0" applyFont="1" applyBorder="1" applyAlignment="1">
      <alignment vertical="top"/>
    </xf>
    <xf numFmtId="49" fontId="0" fillId="0" borderId="0" xfId="0" applyNumberFormat="1"/>
    <xf numFmtId="164" fontId="0" fillId="0" borderId="0" xfId="0" applyNumberFormat="1"/>
    <xf numFmtId="1" fontId="19" fillId="0" borderId="0" xfId="0" applyNumberFormat="1" applyFont="1"/>
    <xf numFmtId="1" fontId="24" fillId="0" borderId="0" xfId="0" applyNumberFormat="1" applyFont="1" applyAlignment="1">
      <alignment vertical="top"/>
    </xf>
    <xf numFmtId="1" fontId="19" fillId="0" borderId="0" xfId="0" applyNumberFormat="1" applyFont="1" applyAlignment="1">
      <alignment horizontal="right"/>
    </xf>
    <xf numFmtId="0" fontId="19" fillId="0" borderId="0" xfId="0" applyFont="1" applyAlignment="1">
      <alignment horizontal="right"/>
    </xf>
    <xf numFmtId="0" fontId="24" fillId="0" borderId="0" xfId="0" applyFont="1" applyAlignment="1">
      <alignment horizontal="right" vertical="top"/>
    </xf>
    <xf numFmtId="0" fontId="19" fillId="0" borderId="35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 wrapText="1"/>
    </xf>
    <xf numFmtId="0" fontId="21" fillId="0" borderId="6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18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center" vertical="center" wrapText="1"/>
    </xf>
    <xf numFmtId="0" fontId="21" fillId="0" borderId="37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38" xfId="0" applyFont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36" xfId="0" applyFont="1" applyFill="1" applyBorder="1" applyAlignment="1">
      <alignment horizontal="center" vertical="center" wrapText="1"/>
    </xf>
    <xf numFmtId="0" fontId="0" fillId="0" borderId="2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6" fillId="33" borderId="19" xfId="0" applyFont="1" applyFill="1" applyBorder="1" applyAlignment="1">
      <alignment horizontal="center" vertical="center" wrapText="1"/>
    </xf>
    <xf numFmtId="0" fontId="16" fillId="33" borderId="21" xfId="0" applyFont="1" applyFill="1" applyBorder="1" applyAlignment="1">
      <alignment horizontal="center" vertical="center" wrapText="1"/>
    </xf>
    <xf numFmtId="0" fontId="16" fillId="0" borderId="19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center" vertical="center" wrapText="1"/>
    </xf>
    <xf numFmtId="0" fontId="16" fillId="34" borderId="19" xfId="0" applyFont="1" applyFill="1" applyBorder="1" applyAlignment="1">
      <alignment horizontal="center" vertical="center" wrapText="1"/>
    </xf>
    <xf numFmtId="0" fontId="16" fillId="34" borderId="21" xfId="0" applyFont="1" applyFill="1" applyBorder="1" applyAlignment="1">
      <alignment horizontal="center" vertical="center" wrapText="1"/>
    </xf>
    <xf numFmtId="0" fontId="16" fillId="33" borderId="22" xfId="0" applyFont="1" applyFill="1" applyBorder="1" applyAlignment="1">
      <alignment horizontal="center" vertical="center" wrapText="1"/>
    </xf>
    <xf numFmtId="0" fontId="16" fillId="33" borderId="23" xfId="0" applyFont="1" applyFill="1" applyBorder="1" applyAlignment="1">
      <alignment horizontal="center" vertical="center" wrapText="1"/>
    </xf>
    <xf numFmtId="0" fontId="16" fillId="33" borderId="24" xfId="0" applyFont="1" applyFill="1" applyBorder="1" applyAlignment="1">
      <alignment horizontal="center" vertical="center" wrapText="1"/>
    </xf>
    <xf numFmtId="0" fontId="16" fillId="33" borderId="31" xfId="0" applyFont="1" applyFill="1" applyBorder="1" applyAlignment="1">
      <alignment horizontal="center" vertical="center" wrapText="1"/>
    </xf>
    <xf numFmtId="0" fontId="16" fillId="33" borderId="0" xfId="0" applyFont="1" applyFill="1" applyBorder="1" applyAlignment="1">
      <alignment horizontal="center" vertical="center" wrapText="1"/>
    </xf>
    <xf numFmtId="0" fontId="16" fillId="33" borderId="32" xfId="0" applyFont="1" applyFill="1" applyBorder="1" applyAlignment="1">
      <alignment horizontal="center" vertical="center" wrapText="1"/>
    </xf>
    <xf numFmtId="0" fontId="16" fillId="33" borderId="25" xfId="0" applyFont="1" applyFill="1" applyBorder="1" applyAlignment="1">
      <alignment horizontal="center" vertical="center" wrapText="1"/>
    </xf>
    <xf numFmtId="0" fontId="16" fillId="33" borderId="26" xfId="0" applyFont="1" applyFill="1" applyBorder="1" applyAlignment="1">
      <alignment horizontal="center" vertical="center" wrapText="1"/>
    </xf>
    <xf numFmtId="0" fontId="16" fillId="33" borderId="27" xfId="0" applyFont="1" applyFill="1" applyBorder="1" applyAlignment="1">
      <alignment horizontal="center" vertical="center" wrapText="1"/>
    </xf>
  </cellXfs>
  <cellStyles count="50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9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Standard 2" xfId="43"/>
    <cellStyle name="Standard 3" xfId="44"/>
    <cellStyle name="Standard 4" xfId="45"/>
    <cellStyle name="Standard 5" xfId="46"/>
    <cellStyle name="Standard 6" xfId="47"/>
    <cellStyle name="Standard 7" xfId="48"/>
    <cellStyle name="Standard_Tabelle_A_6_HT" xfId="42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8"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center" vertical="center" textRotation="0" wrapText="1" indent="0" justifyLastLine="0" shrinkToFit="0" readingOrder="0"/>
    </dxf>
    <dxf>
      <font>
        <strike val="0"/>
      </font>
    </dxf>
  </dxfs>
  <tableStyles count="1" defaultTableStyle="TableStyleMedium2" defaultPivotStyle="PivotStyleLight16">
    <tableStyle name="Tabellenformat 1" pivot="0" count="1">
      <tableStyleElement type="wholeTable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Hannover\Dez15-Uebergreifende-Analysen\Projekte\Integrationsmonitoring_2021\Daten_2021\GeoCodes\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1">
          <cell r="A1" t="str">
            <v>AGS</v>
          </cell>
          <cell r="B1" t="str">
            <v>Gebietseinheit</v>
          </cell>
          <cell r="C1" t="str">
            <v>GeoCode</v>
          </cell>
        </row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id="1" name="Tabelle11" displayName="Tabelle11" ref="A6:N42" totalsRowShown="0" headerRowDxfId="46" dataDxfId="45" tableBorderDxfId="44">
  <autoFilter ref="A6:N42"/>
  <tableColumns count="14">
    <tableColumn id="1" name="1" dataDxfId="43"/>
    <tableColumn id="2" name="2" dataDxfId="42"/>
    <tableColumn id="3" name="3" dataDxfId="41"/>
    <tableColumn id="4" name="4" dataDxfId="40"/>
    <tableColumn id="5" name="5" dataDxfId="39"/>
    <tableColumn id="6" name="6" dataDxfId="38"/>
    <tableColumn id="7" name="7" dataDxfId="37"/>
    <tableColumn id="8" name="8" dataDxfId="36"/>
    <tableColumn id="9" name="9" dataDxfId="35"/>
    <tableColumn id="10" name="10" dataDxfId="34"/>
    <tableColumn id="11" name="11" dataDxfId="33">
      <calculatedColumnFormula>'2019_B4_Berechnung'!Q4</calculatedColumnFormula>
    </tableColumn>
    <tableColumn id="12" name="12" dataDxfId="32"/>
    <tableColumn id="13" name="13" dataDxfId="31">
      <calculatedColumnFormula>K7/(K7+L7)*100</calculatedColumnFormula>
    </tableColumn>
    <tableColumn id="14" name="14" dataDxfId="30">
      <calculatedColumnFormula>L7/(L7+K7)*100</calculatedColumnFormula>
    </tableColumn>
  </tableColumns>
  <tableStyleInfo name="Tabellenformat 1" showFirstColumn="0" showLastColumn="0" showRowStripes="1" showColumnStripes="0"/>
</table>
</file>

<file path=xl/tables/table2.xml><?xml version="1.0" encoding="utf-8"?>
<table xmlns="http://schemas.openxmlformats.org/spreadsheetml/2006/main" id="2" name="Niedersachsen" displayName="Niedersachsen" ref="H2:L14" totalsRowShown="0" tableBorderDxfId="29">
  <autoFilter ref="H2:L14"/>
  <tableColumns count="5">
    <tableColumn id="1" name="Schulform" dataDxfId="28"/>
    <tableColumn id="2" name="Jahr" dataDxfId="27"/>
    <tableColumn id="3" name=" Insgesamt" dataDxfId="26">
      <calculatedColumnFormula>VLOOKUP(H3,'2019_B4_Rohdaten_alle'!A28:AB145,11,FALSE)</calculatedColumnFormula>
    </tableColumn>
    <tableColumn id="4" name="Deutsche" dataDxfId="25">
      <calculatedColumnFormula>J3-L3</calculatedColumnFormula>
    </tableColumn>
    <tableColumn id="5" name="Ausländerinnen und Ausländer" dataDxfId="24">
      <calculatedColumnFormula>VLOOKUP($A3,'2019_B4_Rohdaten_Ausländer'!$A$28:$AB$145,11,FALSE)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Braunschweig" displayName="Braunschweig" ref="N2:R14" totalsRowShown="0" tableBorderDxfId="23">
  <autoFilter ref="N2:R14"/>
  <tableColumns count="5">
    <tableColumn id="1" name="Schulform" dataDxfId="22"/>
    <tableColumn id="2" name="Jahr" dataDxfId="21"/>
    <tableColumn id="3" name=" Insgesamt" dataDxfId="20">
      <calculatedColumnFormula>VLOOKUP($N3,'2019_B4_Rohdaten_alle'!$A$52:$R$73,11,FALSE)</calculatedColumnFormula>
    </tableColumn>
    <tableColumn id="4" name="Deutsche" dataDxfId="19">
      <calculatedColumnFormula>P3-R3</calculatedColumnFormula>
    </tableColumn>
    <tableColumn id="5" name="Ausländerinnen und Ausländer" dataDxfId="18">
      <calculatedColumnFormula>VLOOKUP($A3,'2019_B4_Rohdaten_Ausländer'!$A$52:$R$73,11,FALSE)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Hannover" displayName="Hannover" ref="H17:L29" totalsRowShown="0" tableBorderDxfId="17">
  <autoFilter ref="H17:L29"/>
  <tableColumns count="5">
    <tableColumn id="1" name="Schulform" dataDxfId="16"/>
    <tableColumn id="2" name="Jahr" dataDxfId="15"/>
    <tableColumn id="3" name=" Insgesamt" dataDxfId="14">
      <calculatedColumnFormula>VLOOKUP($H18,'2019_B4_Rohdaten_alle'!$A$76:$R$97,11,FALSE)</calculatedColumnFormula>
    </tableColumn>
    <tableColumn id="4" name="Deutsche" dataDxfId="13">
      <calculatedColumnFormula>J18-L18</calculatedColumnFormula>
    </tableColumn>
    <tableColumn id="5" name="Ausländerinnen und Ausländer" dataDxfId="12">
      <calculatedColumnFormula>VLOOKUP($H18,'2019_B4_Rohdaten_Ausländer'!$A$76:$R$97,11,FALSE)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6" name="Lüneburg" displayName="Lüneburg" ref="N17:R29" totalsRowShown="0" tableBorderDxfId="11">
  <autoFilter ref="N17:R29"/>
  <tableColumns count="5">
    <tableColumn id="1" name="Schulform" dataDxfId="10"/>
    <tableColumn id="2" name="Jahr" dataDxfId="9"/>
    <tableColumn id="3" name=" Insgesamt" dataDxfId="8">
      <calculatedColumnFormula>VLOOKUP($N18,'2019_B4_Rohdaten_alle'!$A$100:$R$121,11,FALSE)</calculatedColumnFormula>
    </tableColumn>
    <tableColumn id="4" name="Deutsche" dataDxfId="7">
      <calculatedColumnFormula>P18-R18</calculatedColumnFormula>
    </tableColumn>
    <tableColumn id="5" name="Ausländerinnen und Ausländer" dataDxfId="6">
      <calculatedColumnFormula>VLOOKUP($N18,'2019_B4_Rohdaten_Ausländer'!$A$100:$R$121,11,FALSE)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WeserEms" displayName="WeserEms" ref="N32:R44" totalsRowShown="0" tableBorderDxfId="5">
  <autoFilter ref="N32:R44"/>
  <tableColumns count="5">
    <tableColumn id="1" name="Schulform" dataDxfId="4"/>
    <tableColumn id="2" name="Jahr" dataDxfId="3"/>
    <tableColumn id="3" name=" Insgesamt" dataDxfId="2">
      <calculatedColumnFormula>VLOOKUP($N33,'2019_B4_Rohdaten_alle'!$A$124:$R$145,11,FALSE)</calculatedColumnFormula>
    </tableColumn>
    <tableColumn id="4" name="Deutsche" dataDxfId="1">
      <calculatedColumnFormula>P33-R33</calculatedColumnFormula>
    </tableColumn>
    <tableColumn id="5" name="Ausländerinnen und Ausländer" dataDxfId="0">
      <calculatedColumnFormula>VLOOKUP($N33,'2019_B4_Rohdaten_Ausländer'!$A$124:$R$145,11,FALSE)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1.nls.niedersachsen.de/Statistik/pool/K300151A/K300151A_000017C2FB3418F7E5A322ACC8DCA827A5D0CDC3ED5716C26294.zip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1.nls.niedersachsen.de/Statistik/pool/K300151A/K300151A_000017C2FB3441EBCC6DB23FEC52490772C7DE94911E2E929839.zip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151A/K300151A_0000173B37BEDD980F17348675C8DB557B5E44C1A32A14EBF43B.zip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151A/K300151A_0000173B37BECC976B8E200E2EAF4D721B50F3FA8A8C9C80AD15.zip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DC133F5DD876C1254AAFD936EBC58BB3D5AFA874.zip" TargetMode="External"/><Relationship Id="rId1" Type="http://schemas.openxmlformats.org/officeDocument/2006/relationships/hyperlink" Target="https://www1.nls.niedersachsen.de/Statistik/pool/K300151A/K300151A_000016CE1821B3CD18E32DE98195D6FFC3E1F65DC11ABC088A1E.zip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5B789444B483D12C5659F9FBA97B0D1BF297281F.zip" TargetMode="External"/><Relationship Id="rId1" Type="http://schemas.openxmlformats.org/officeDocument/2006/relationships/hyperlink" Target="https://www1.nls.niedersachsen.de/Statistik/pool/K300151A/K300151A_000016CE182179FF021B9848683FA404CBA8293ACC80192862F2.zip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FE29B5215E4BD64D2D6F89EFE500DC1A65DB390C.zip" TargetMode="External"/><Relationship Id="rId1" Type="http://schemas.openxmlformats.org/officeDocument/2006/relationships/hyperlink" Target="https://www1.nls.niedersachsen.de/Statistik/pool/K300151A/K300151A_000016CE182113CF085D5BD2984D7CA0952D3316C83D254D4270.zip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6BBE97DB791195692F53911C0F6F433AB5901019.zip" TargetMode="External"/><Relationship Id="rId1" Type="http://schemas.openxmlformats.org/officeDocument/2006/relationships/hyperlink" Target="https://www1.nls.niedersachsen.de/Statistik/pool/K300151A/K300151A_000016CE1821DF4329AF2A3B9D2635F85781C95184998454643B.zip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943CF081BC03A7A89800C567FD75C5462D5F1DBA.zip" TargetMode="External"/><Relationship Id="rId1" Type="http://schemas.openxmlformats.org/officeDocument/2006/relationships/hyperlink" Target="https://www1.nls.niedersachsen.de/Statistik/pool/K300151A/K300151A_000016CE1821B631A59C0DCF92C40E8568E8BBAD9E01C436EEEC.zip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BA666879CD108446E77C7806A3CB922AA1B3F87A.zip" TargetMode="External"/><Relationship Id="rId1" Type="http://schemas.openxmlformats.org/officeDocument/2006/relationships/hyperlink" Target="https://www1.nls.niedersachsen.de/Statistik/pool/K300151A/K300151A_000016CE1821AF88DA2DF6976AC38AAB4AC282E7B965BFE30F4C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>
    <tabColor theme="5"/>
  </sheetPr>
  <dimension ref="B1:R150"/>
  <sheetViews>
    <sheetView topLeftCell="B1" zoomScale="145" zoomScaleNormal="145" workbookViewId="0">
      <selection activeCell="C10" sqref="C10"/>
    </sheetView>
  </sheetViews>
  <sheetFormatPr baseColWidth="10" defaultRowHeight="15"/>
  <cols>
    <col min="1" max="1" width="5.7109375" customWidth="1"/>
    <col min="3" max="3" width="23.7109375" customWidth="1"/>
  </cols>
  <sheetData>
    <row r="1" spans="2:18" ht="15" customHeight="1">
      <c r="C1" s="108" t="s">
        <v>144</v>
      </c>
    </row>
    <row r="2" spans="2:18" ht="15" customHeight="1"/>
    <row r="3" spans="2:18" ht="15" customHeight="1">
      <c r="C3" s="213" t="s">
        <v>142</v>
      </c>
      <c r="D3" s="213"/>
      <c r="E3" s="213"/>
      <c r="F3" s="213"/>
      <c r="G3" s="213"/>
      <c r="H3" s="213"/>
      <c r="I3" s="213"/>
      <c r="J3" s="1"/>
      <c r="N3" s="2"/>
    </row>
    <row r="4" spans="2:18" ht="15" customHeight="1">
      <c r="C4" s="214" t="s">
        <v>143</v>
      </c>
      <c r="D4" s="214"/>
      <c r="E4" s="214"/>
      <c r="F4" s="214"/>
      <c r="G4" s="214"/>
      <c r="H4" s="214"/>
      <c r="I4" s="214"/>
      <c r="J4" s="3"/>
      <c r="N4" s="2"/>
    </row>
    <row r="5" spans="2:18">
      <c r="B5" s="208"/>
      <c r="C5" s="208"/>
      <c r="D5" s="208"/>
      <c r="E5" s="208"/>
      <c r="F5" s="208"/>
      <c r="G5" s="208"/>
      <c r="H5" s="208"/>
      <c r="I5" s="208"/>
      <c r="J5" s="3"/>
      <c r="N5" s="2"/>
    </row>
    <row r="6" spans="2:18" ht="8.25" customHeight="1">
      <c r="B6" s="227" t="s">
        <v>117</v>
      </c>
      <c r="C6" s="230" t="s">
        <v>2</v>
      </c>
      <c r="D6" s="233" t="s">
        <v>3</v>
      </c>
      <c r="E6" s="236" t="s">
        <v>4</v>
      </c>
      <c r="F6" s="236"/>
      <c r="G6" s="236" t="s">
        <v>5</v>
      </c>
      <c r="H6" s="236"/>
      <c r="I6" s="242" t="s">
        <v>6</v>
      </c>
      <c r="J6" s="242"/>
      <c r="K6" s="236" t="s">
        <v>7</v>
      </c>
      <c r="L6" s="236"/>
      <c r="M6" s="236" t="s">
        <v>8</v>
      </c>
      <c r="N6" s="236"/>
      <c r="O6" s="236" t="s">
        <v>9</v>
      </c>
      <c r="P6" s="236"/>
      <c r="Q6" s="236" t="s">
        <v>10</v>
      </c>
      <c r="R6" s="240"/>
    </row>
    <row r="7" spans="2:18" ht="30" customHeight="1">
      <c r="B7" s="228"/>
      <c r="C7" s="231"/>
      <c r="D7" s="234"/>
      <c r="E7" s="209" t="s">
        <v>11</v>
      </c>
      <c r="F7" s="210" t="s">
        <v>12</v>
      </c>
      <c r="G7" s="209" t="s">
        <v>11</v>
      </c>
      <c r="H7" s="210" t="s">
        <v>12</v>
      </c>
      <c r="I7" s="209" t="s">
        <v>11</v>
      </c>
      <c r="J7" s="210" t="s">
        <v>12</v>
      </c>
      <c r="K7" s="209" t="s">
        <v>11</v>
      </c>
      <c r="L7" s="210" t="s">
        <v>12</v>
      </c>
      <c r="M7" s="209" t="s">
        <v>11</v>
      </c>
      <c r="N7" s="210" t="s">
        <v>12</v>
      </c>
      <c r="O7" s="209" t="s">
        <v>11</v>
      </c>
      <c r="P7" s="210" t="s">
        <v>12</v>
      </c>
      <c r="Q7" s="209" t="s">
        <v>11</v>
      </c>
      <c r="R7" s="212" t="s">
        <v>12</v>
      </c>
    </row>
    <row r="8" spans="2:18" ht="8.25" customHeight="1">
      <c r="B8" s="229"/>
      <c r="C8" s="232"/>
      <c r="D8" s="235"/>
      <c r="E8" s="240" t="s">
        <v>13</v>
      </c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</row>
    <row r="9" spans="2:18" ht="8.25" customHeight="1">
      <c r="B9" s="9" t="s">
        <v>14</v>
      </c>
      <c r="C9" s="10" t="s">
        <v>15</v>
      </c>
      <c r="D9" s="10">
        <v>3</v>
      </c>
      <c r="E9" s="10">
        <v>4</v>
      </c>
      <c r="F9" s="10">
        <v>5</v>
      </c>
      <c r="G9" s="10">
        <v>6</v>
      </c>
      <c r="H9" s="10">
        <v>7</v>
      </c>
      <c r="I9" s="10">
        <v>8</v>
      </c>
      <c r="J9" s="10">
        <v>9</v>
      </c>
      <c r="K9" s="10">
        <v>10</v>
      </c>
      <c r="L9" s="10">
        <v>11</v>
      </c>
      <c r="M9" s="10">
        <v>12</v>
      </c>
      <c r="N9" s="10">
        <v>13</v>
      </c>
      <c r="O9" s="10">
        <v>14</v>
      </c>
      <c r="P9" s="10">
        <v>15</v>
      </c>
      <c r="Q9" s="10">
        <v>16</v>
      </c>
      <c r="R9" s="118">
        <v>17</v>
      </c>
    </row>
    <row r="10" spans="2:18" ht="8.25" customHeight="1">
      <c r="B10" s="2">
        <v>1</v>
      </c>
      <c r="C10" s="222" t="str">
        <f>'2020_B4_Berechnung_final'!B86</f>
        <v>Stat. Region Braunschweig</v>
      </c>
      <c r="D10" s="222">
        <f>'2020_B4_Berechnung_final'!C86</f>
        <v>2020</v>
      </c>
      <c r="E10" s="222">
        <f>'2020_B4_Berechnung_final'!D86</f>
        <v>70.62818336162988</v>
      </c>
      <c r="F10" s="222">
        <f>'2020_B4_Berechnung_final'!E86</f>
        <v>29.37181663837012</v>
      </c>
      <c r="G10" s="222">
        <f>'2020_B4_Berechnung_final'!F86</f>
        <v>88.866956178444539</v>
      </c>
      <c r="H10" s="222">
        <f>'2020_B4_Berechnung_final'!G86</f>
        <v>11.133043821555468</v>
      </c>
      <c r="I10" s="222">
        <f>'2020_B4_Berechnung_final'!H86</f>
        <v>86.74314850223071</v>
      </c>
      <c r="J10" s="222">
        <f>'2020_B4_Berechnung_final'!I86</f>
        <v>13.256851497769279</v>
      </c>
      <c r="K10" s="222">
        <f>'2020_B4_Berechnung_final'!J86</f>
        <v>94.041496719276466</v>
      </c>
      <c r="L10" s="222">
        <f>'2020_B4_Berechnung_final'!K86</f>
        <v>5.9585032807235327</v>
      </c>
      <c r="M10" s="222">
        <f>'2020_B4_Berechnung_final'!L86</f>
        <v>91.637519872813982</v>
      </c>
      <c r="N10" s="222">
        <f>'2020_B4_Berechnung_final'!M86</f>
        <v>8.362480127186009</v>
      </c>
      <c r="O10" s="222">
        <f>'2020_B4_Berechnung_final'!N86</f>
        <v>89.00709219858156</v>
      </c>
      <c r="P10" s="222">
        <f>'2020_B4_Berechnung_final'!O86</f>
        <v>10.99290780141844</v>
      </c>
      <c r="Q10" s="222">
        <f>'2020_B4_Berechnung_final'!P86</f>
        <v>89.781123658162556</v>
      </c>
      <c r="R10" s="222">
        <f>'2020_B4_Berechnung_final'!Q86</f>
        <v>10.218876341837447</v>
      </c>
    </row>
    <row r="11" spans="2:18" ht="8.25" customHeight="1">
      <c r="B11" s="2">
        <v>2</v>
      </c>
      <c r="C11" s="222" t="str">
        <f>'2020_B4_Berechnung_final'!B87</f>
        <v>Stat. Region Hannover</v>
      </c>
      <c r="D11" s="222">
        <f>'2020_B4_Berechnung_final'!C87</f>
        <v>2020</v>
      </c>
      <c r="E11" s="222">
        <f>'2020_B4_Berechnung_final'!D87</f>
        <v>68.172268907563023</v>
      </c>
      <c r="F11" s="222">
        <f>'2020_B4_Berechnung_final'!E87</f>
        <v>31.827731092436974</v>
      </c>
      <c r="G11" s="222">
        <f>'2020_B4_Berechnung_final'!F87</f>
        <v>86.927449013707786</v>
      </c>
      <c r="H11" s="222">
        <f>'2020_B4_Berechnung_final'!G87</f>
        <v>13.072550986292212</v>
      </c>
      <c r="I11" s="222">
        <f>'2020_B4_Berechnung_final'!H87</f>
        <v>80.932340563289102</v>
      </c>
      <c r="J11" s="222">
        <f>'2020_B4_Berechnung_final'!I87</f>
        <v>19.067659436710908</v>
      </c>
      <c r="K11" s="222">
        <f>'2020_B4_Berechnung_final'!J87</f>
        <v>94.71100748558105</v>
      </c>
      <c r="L11" s="222">
        <f>'2020_B4_Berechnung_final'!K87</f>
        <v>5.2889925144189469</v>
      </c>
      <c r="M11" s="222">
        <f>'2020_B4_Berechnung_final'!L87</f>
        <v>85.860382392174301</v>
      </c>
      <c r="N11" s="222">
        <f>'2020_B4_Berechnung_final'!M87</f>
        <v>14.1396176078257</v>
      </c>
      <c r="O11" s="222">
        <f>'2020_B4_Berechnung_final'!N87</f>
        <v>86.196319018404907</v>
      </c>
      <c r="P11" s="222">
        <f>'2020_B4_Berechnung_final'!O87</f>
        <v>13.803680981595093</v>
      </c>
      <c r="Q11" s="222">
        <f>'2020_B4_Berechnung_final'!P87</f>
        <v>88.027993001749564</v>
      </c>
      <c r="R11" s="222">
        <f>'2020_B4_Berechnung_final'!Q87</f>
        <v>11.972006998250437</v>
      </c>
    </row>
    <row r="12" spans="2:18" ht="8.25" customHeight="1">
      <c r="B12" s="2">
        <v>3</v>
      </c>
      <c r="C12" s="222" t="str">
        <f>'2020_B4_Berechnung_final'!B88</f>
        <v>Stat. Region Lüneburg</v>
      </c>
      <c r="D12" s="222">
        <f>'2020_B4_Berechnung_final'!C88</f>
        <v>2020</v>
      </c>
      <c r="E12" s="222">
        <f>'2020_B4_Berechnung_final'!D88</f>
        <v>80.724174653887118</v>
      </c>
      <c r="F12" s="222">
        <f>'2020_B4_Berechnung_final'!E88</f>
        <v>19.275825346112885</v>
      </c>
      <c r="G12" s="222">
        <f>'2020_B4_Berechnung_final'!F88</f>
        <v>91.538461538461533</v>
      </c>
      <c r="H12" s="222">
        <f>'2020_B4_Berechnung_final'!G88</f>
        <v>8.4615384615384617</v>
      </c>
      <c r="I12" s="222">
        <f>'2020_B4_Berechnung_final'!H88</f>
        <v>88.153110047846894</v>
      </c>
      <c r="J12" s="222">
        <f>'2020_B4_Berechnung_final'!I88</f>
        <v>11.846889952153109</v>
      </c>
      <c r="K12" s="222">
        <f>'2020_B4_Berechnung_final'!J88</f>
        <v>96.323188629692567</v>
      </c>
      <c r="L12" s="222">
        <f>'2020_B4_Berechnung_final'!K88</f>
        <v>3.6768113703074303</v>
      </c>
      <c r="M12" s="222">
        <f>'2020_B4_Berechnung_final'!L88</f>
        <v>91.845703125</v>
      </c>
      <c r="N12" s="222">
        <f>'2020_B4_Berechnung_final'!M88</f>
        <v>8.154296875</v>
      </c>
      <c r="O12" s="222">
        <f>'2020_B4_Berechnung_final'!N88</f>
        <v>96.739130434782609</v>
      </c>
      <c r="P12" s="222">
        <f>'2020_B4_Berechnung_final'!O88</f>
        <v>3.2608695652173911</v>
      </c>
      <c r="Q12" s="222">
        <f>'2020_B4_Berechnung_final'!P88</f>
        <v>91.816626349637147</v>
      </c>
      <c r="R12" s="222">
        <f>'2020_B4_Berechnung_final'!Q88</f>
        <v>8.1833736503628529</v>
      </c>
    </row>
    <row r="13" spans="2:18" ht="8.25" customHeight="1">
      <c r="B13" s="2">
        <v>4</v>
      </c>
      <c r="C13" s="222" t="str">
        <f>'2020_B4_Berechnung_final'!B89</f>
        <v>Stat. Region Weser-Ems</v>
      </c>
      <c r="D13" s="222">
        <f>'2020_B4_Berechnung_final'!C89</f>
        <v>2020</v>
      </c>
      <c r="E13" s="222">
        <f>'2020_B4_Berechnung_final'!D89</f>
        <v>75.303951367781153</v>
      </c>
      <c r="F13" s="222">
        <f>'2020_B4_Berechnung_final'!E89</f>
        <v>24.696048632218844</v>
      </c>
      <c r="G13" s="222">
        <f>'2020_B4_Berechnung_final'!F89</f>
        <v>90.189642596644788</v>
      </c>
      <c r="H13" s="222">
        <f>'2020_B4_Berechnung_final'!G89</f>
        <v>9.8103574033552139</v>
      </c>
      <c r="I13" s="222">
        <f>'2020_B4_Berechnung_final'!H89</f>
        <v>83.860311467673426</v>
      </c>
      <c r="J13" s="222">
        <f>'2020_B4_Berechnung_final'!I89</f>
        <v>16.139688532326566</v>
      </c>
      <c r="K13" s="222">
        <f>'2020_B4_Berechnung_final'!J89</f>
        <v>95.349108287679215</v>
      </c>
      <c r="L13" s="222">
        <f>'2020_B4_Berechnung_final'!K89</f>
        <v>4.6508917123207834</v>
      </c>
      <c r="M13" s="222">
        <f>'2020_B4_Berechnung_final'!L89</f>
        <v>92.777413000656594</v>
      </c>
      <c r="N13" s="222">
        <f>'2020_B4_Berechnung_final'!M89</f>
        <v>7.2225869993434015</v>
      </c>
      <c r="O13" s="222">
        <f>'2020_B4_Berechnung_final'!N89</f>
        <v>88.888888888888886</v>
      </c>
      <c r="P13" s="222">
        <f>'2020_B4_Berechnung_final'!O89</f>
        <v>11.111111111111111</v>
      </c>
      <c r="Q13" s="222">
        <f>'2020_B4_Berechnung_final'!P89</f>
        <v>89.30634670544984</v>
      </c>
      <c r="R13" s="222">
        <f>'2020_B4_Berechnung_final'!Q89</f>
        <v>10.693653294550156</v>
      </c>
    </row>
    <row r="14" spans="2:18" s="117" customFormat="1" ht="16.149999999999999" customHeight="1">
      <c r="B14" s="117">
        <v>0</v>
      </c>
      <c r="C14" s="223" t="str">
        <f>'2020_B4_Berechnung_final'!B90</f>
        <v>Niedersachsen</v>
      </c>
      <c r="D14" s="223">
        <f>'2020_B4_Berechnung_final'!C90</f>
        <v>2020</v>
      </c>
      <c r="E14" s="223">
        <f>'2020_B4_Berechnung_final'!D90</f>
        <v>73.660205245153932</v>
      </c>
      <c r="F14" s="223">
        <f>'2020_B4_Berechnung_final'!E90</f>
        <v>26.339794754846068</v>
      </c>
      <c r="G14" s="223">
        <f>'2020_B4_Berechnung_final'!F90</f>
        <v>89.193891358979315</v>
      </c>
      <c r="H14" s="223">
        <f>'2020_B4_Berechnung_final'!G90</f>
        <v>10.806108641020684</v>
      </c>
      <c r="I14" s="223">
        <f>'2020_B4_Berechnung_final'!H90</f>
        <v>84.835775369028809</v>
      </c>
      <c r="J14" s="223">
        <f>'2020_B4_Berechnung_final'!I90</f>
        <v>15.164224630971185</v>
      </c>
      <c r="K14" s="223">
        <f>'2020_B4_Berechnung_final'!J90</f>
        <v>95.131761442441061</v>
      </c>
      <c r="L14" s="223">
        <f>'2020_B4_Berechnung_final'!K90</f>
        <v>4.8682385575589464</v>
      </c>
      <c r="M14" s="223">
        <f>'2020_B4_Berechnung_final'!L90</f>
        <v>89.903430949203113</v>
      </c>
      <c r="N14" s="223">
        <f>'2020_B4_Berechnung_final'!M90</f>
        <v>10.096569050796891</v>
      </c>
      <c r="O14" s="223">
        <f>'2020_B4_Berechnung_final'!N90</f>
        <v>89.321789321789325</v>
      </c>
      <c r="P14" s="223">
        <f>'2020_B4_Berechnung_final'!O90</f>
        <v>10.678210678210679</v>
      </c>
      <c r="Q14" s="223">
        <f>'2020_B4_Berechnung_final'!P90</f>
        <v>89.61908143005536</v>
      </c>
      <c r="R14" s="223">
        <f>'2020_B4_Berechnung_final'!Q90</f>
        <v>10.380918569944644</v>
      </c>
    </row>
    <row r="15" spans="2:18" ht="8.25" customHeight="1">
      <c r="B15" s="2">
        <v>1</v>
      </c>
      <c r="C15" s="222" t="str">
        <f>'2020_B4_Berechnung_final'!B81</f>
        <v>Stat. Region Braunschweig</v>
      </c>
      <c r="D15" s="222">
        <f>'2020_B4_Berechnung_final'!C81</f>
        <v>2019</v>
      </c>
      <c r="E15" s="222">
        <f>'2020_B4_Berechnung_final'!D81</f>
        <v>71.931196247068016</v>
      </c>
      <c r="F15" s="222">
        <f>'2020_B4_Berechnung_final'!E81</f>
        <v>28.068803752931977</v>
      </c>
      <c r="G15" s="222">
        <f>'2020_B4_Berechnung_final'!F81</f>
        <v>88.690022848438687</v>
      </c>
      <c r="H15" s="222">
        <f>'2020_B4_Berechnung_final'!G81</f>
        <v>11.309977151561309</v>
      </c>
      <c r="I15" s="222">
        <f>'2020_B4_Berechnung_final'!H81</f>
        <v>87.970388648982109</v>
      </c>
      <c r="J15" s="222">
        <f>'2020_B4_Berechnung_final'!I81</f>
        <v>12.029611351017889</v>
      </c>
      <c r="K15" s="222">
        <f>'2020_B4_Berechnung_final'!J81</f>
        <v>95.336787564766837</v>
      </c>
      <c r="L15" s="222">
        <f>'2020_B4_Berechnung_final'!K81</f>
        <v>4.6632124352331603</v>
      </c>
      <c r="M15" s="222">
        <f>'2020_B4_Berechnung_final'!L81</f>
        <v>93.372561164447205</v>
      </c>
      <c r="N15" s="222">
        <f>'2020_B4_Berechnung_final'!M81</f>
        <v>6.6274388355528027</v>
      </c>
      <c r="O15" s="222">
        <f>'2020_B4_Berechnung_final'!N81</f>
        <v>89.743589743589752</v>
      </c>
      <c r="P15" s="222">
        <f>'2020_B4_Berechnung_final'!O81</f>
        <v>10.256410256410255</v>
      </c>
      <c r="Q15" s="222">
        <f>'2020_B4_Berechnung_final'!P81</f>
        <v>90.731344293349565</v>
      </c>
      <c r="R15" s="222">
        <f>'2020_B4_Berechnung_final'!Q81</f>
        <v>9.2686557066504296</v>
      </c>
    </row>
    <row r="16" spans="2:18" ht="8.25" customHeight="1">
      <c r="B16" s="2">
        <v>2</v>
      </c>
      <c r="C16" s="222" t="str">
        <f>'2020_B4_Berechnung_final'!B82</f>
        <v>Stat. Region Hannover</v>
      </c>
      <c r="D16" s="222">
        <f>'2020_B4_Berechnung_final'!C82</f>
        <v>2019</v>
      </c>
      <c r="E16" s="222">
        <f>'2020_B4_Berechnung_final'!D82</f>
        <v>69.980506822612085</v>
      </c>
      <c r="F16" s="222">
        <f>'2020_B4_Berechnung_final'!E82</f>
        <v>30.019493177387911</v>
      </c>
      <c r="G16" s="222">
        <f>'2020_B4_Berechnung_final'!F82</f>
        <v>87.109249113760882</v>
      </c>
      <c r="H16" s="222">
        <f>'2020_B4_Berechnung_final'!G82</f>
        <v>12.890750886239125</v>
      </c>
      <c r="I16" s="222">
        <f>'2020_B4_Berechnung_final'!H82</f>
        <v>80.182002022244689</v>
      </c>
      <c r="J16" s="222">
        <f>'2020_B4_Berechnung_final'!I82</f>
        <v>19.817997977755308</v>
      </c>
      <c r="K16" s="222">
        <f>'2020_B4_Berechnung_final'!J82</f>
        <v>95.243800167724942</v>
      </c>
      <c r="L16" s="222">
        <f>'2020_B4_Berechnung_final'!K82</f>
        <v>4.7561998322750689</v>
      </c>
      <c r="M16" s="222">
        <f>'2020_B4_Berechnung_final'!L82</f>
        <v>88.086241386974891</v>
      </c>
      <c r="N16" s="222">
        <f>'2020_B4_Berechnung_final'!M82</f>
        <v>11.913758613025117</v>
      </c>
      <c r="O16" s="222">
        <f>'2020_B4_Berechnung_final'!N82</f>
        <v>93.430656934306569</v>
      </c>
      <c r="P16" s="222">
        <f>'2020_B4_Berechnung_final'!O82</f>
        <v>6.5693430656934311</v>
      </c>
      <c r="Q16" s="222">
        <f>'2020_B4_Berechnung_final'!P82</f>
        <v>88.945827232796475</v>
      </c>
      <c r="R16" s="222">
        <f>'2020_B4_Berechnung_final'!Q82</f>
        <v>11.054172767203514</v>
      </c>
    </row>
    <row r="17" spans="2:18" ht="8.25" customHeight="1">
      <c r="B17" s="2">
        <v>3</v>
      </c>
      <c r="C17" s="222" t="str">
        <f>'2020_B4_Berechnung_final'!B83</f>
        <v>Stat. Region Lüneburg</v>
      </c>
      <c r="D17" s="222">
        <f>'2020_B4_Berechnung_final'!C83</f>
        <v>2019</v>
      </c>
      <c r="E17" s="222">
        <f>'2020_B4_Berechnung_final'!D83</f>
        <v>81.742738589211612</v>
      </c>
      <c r="F17" s="222">
        <f>'2020_B4_Berechnung_final'!E83</f>
        <v>18.257261410788381</v>
      </c>
      <c r="G17" s="222">
        <f>'2020_B4_Berechnung_final'!F83</f>
        <v>92.666051660516601</v>
      </c>
      <c r="H17" s="222">
        <f>'2020_B4_Berechnung_final'!G83</f>
        <v>7.3339483394833955</v>
      </c>
      <c r="I17" s="222">
        <f>'2020_B4_Berechnung_final'!H83</f>
        <v>89.574507275741382</v>
      </c>
      <c r="J17" s="222">
        <f>'2020_B4_Berechnung_final'!I83</f>
        <v>10.425492724258611</v>
      </c>
      <c r="K17" s="222">
        <f>'2020_B4_Berechnung_final'!J83</f>
        <v>97.139360562949363</v>
      </c>
      <c r="L17" s="222">
        <f>'2020_B4_Berechnung_final'!K83</f>
        <v>2.8606394370506347</v>
      </c>
      <c r="M17" s="222">
        <f>'2020_B4_Berechnung_final'!L83</f>
        <v>93.51432880844645</v>
      </c>
      <c r="N17" s="222">
        <f>'2020_B4_Berechnung_final'!M83</f>
        <v>6.4856711915535454</v>
      </c>
      <c r="O17" s="222">
        <f>'2020_B4_Berechnung_final'!N83</f>
        <v>91.807909604519779</v>
      </c>
      <c r="P17" s="222">
        <f>'2020_B4_Berechnung_final'!O83</f>
        <v>8.1920903954802249</v>
      </c>
      <c r="Q17" s="222">
        <f>'2020_B4_Berechnung_final'!P83</f>
        <v>92.85591422510177</v>
      </c>
      <c r="R17" s="222">
        <f>'2020_B4_Berechnung_final'!Q83</f>
        <v>7.1440857748982287</v>
      </c>
    </row>
    <row r="18" spans="2:18" ht="8.25" customHeight="1">
      <c r="B18" s="2">
        <v>4</v>
      </c>
      <c r="C18" s="222" t="str">
        <f>'2020_B4_Berechnung_final'!B84</f>
        <v>Stat. Region Weser-Ems</v>
      </c>
      <c r="D18" s="222">
        <f>'2020_B4_Berechnung_final'!C84</f>
        <v>2019</v>
      </c>
      <c r="E18" s="222">
        <f>'2020_B4_Berechnung_final'!D84</f>
        <v>76.649369903632319</v>
      </c>
      <c r="F18" s="222">
        <f>'2020_B4_Berechnung_final'!E84</f>
        <v>23.350630096367681</v>
      </c>
      <c r="G18" s="222">
        <f>'2020_B4_Berechnung_final'!F84</f>
        <v>91.80921052631578</v>
      </c>
      <c r="H18" s="222">
        <f>'2020_B4_Berechnung_final'!G84</f>
        <v>8.1907894736842106</v>
      </c>
      <c r="I18" s="222">
        <f>'2020_B4_Berechnung_final'!H84</f>
        <v>85.47105561861521</v>
      </c>
      <c r="J18" s="222">
        <f>'2020_B4_Berechnung_final'!I84</f>
        <v>14.52894438138479</v>
      </c>
      <c r="K18" s="222">
        <f>'2020_B4_Berechnung_final'!J84</f>
        <v>96.484736355226644</v>
      </c>
      <c r="L18" s="222">
        <f>'2020_B4_Berechnung_final'!K84</f>
        <v>3.5152636447733578</v>
      </c>
      <c r="M18" s="222">
        <f>'2020_B4_Berechnung_final'!L84</f>
        <v>93.706293706293707</v>
      </c>
      <c r="N18" s="222">
        <f>'2020_B4_Berechnung_final'!M84</f>
        <v>6.2937062937062942</v>
      </c>
      <c r="O18" s="222">
        <f>'2020_B4_Berechnung_final'!N84</f>
        <v>92.620624408703875</v>
      </c>
      <c r="P18" s="222">
        <f>'2020_B4_Berechnung_final'!O84</f>
        <v>7.379375591296121</v>
      </c>
      <c r="Q18" s="222">
        <f>'2020_B4_Berechnung_final'!P84</f>
        <v>90.678195082410156</v>
      </c>
      <c r="R18" s="222">
        <f>'2020_B4_Berechnung_final'!Q84</f>
        <v>9.3218049175898408</v>
      </c>
    </row>
    <row r="19" spans="2:18" s="117" customFormat="1" ht="16.149999999999999" customHeight="1">
      <c r="B19" s="117">
        <v>0</v>
      </c>
      <c r="C19" s="223" t="str">
        <f>'2020_B4_Berechnung_final'!B85</f>
        <v>Niedersachsen</v>
      </c>
      <c r="D19" s="223">
        <f>'2020_B4_Berechnung_final'!C85</f>
        <v>2019</v>
      </c>
      <c r="E19" s="223">
        <f>'2020_B4_Berechnung_final'!D85</f>
        <v>74.924209614551756</v>
      </c>
      <c r="F19" s="223">
        <f>'2020_B4_Berechnung_final'!E85</f>
        <v>25.075790385448244</v>
      </c>
      <c r="G19" s="223">
        <f>'2020_B4_Berechnung_final'!F85</f>
        <v>89.896680991131035</v>
      </c>
      <c r="H19" s="223">
        <f>'2020_B4_Berechnung_final'!G85</f>
        <v>10.103319008868977</v>
      </c>
      <c r="I19" s="223">
        <f>'2020_B4_Berechnung_final'!H85</f>
        <v>86.036012110267166</v>
      </c>
      <c r="J19" s="223">
        <f>'2020_B4_Berechnung_final'!I85</f>
        <v>13.963987889732831</v>
      </c>
      <c r="K19" s="223">
        <f>'2020_B4_Berechnung_final'!J85</f>
        <v>96.055477359332613</v>
      </c>
      <c r="L19" s="223">
        <f>'2020_B4_Berechnung_final'!K85</f>
        <v>3.9445226406673766</v>
      </c>
      <c r="M19" s="223">
        <f>'2020_B4_Berechnung_final'!L85</f>
        <v>91.603773584905653</v>
      </c>
      <c r="N19" s="223">
        <f>'2020_B4_Berechnung_final'!M85</f>
        <v>8.3962264150943398</v>
      </c>
      <c r="O19" s="223">
        <f>'2020_B4_Berechnung_final'!N85</f>
        <v>92.169179229480733</v>
      </c>
      <c r="P19" s="223">
        <f>'2020_B4_Berechnung_final'!O85</f>
        <v>7.8308207705192627</v>
      </c>
      <c r="Q19" s="223">
        <f>'2020_B4_Berechnung_final'!P85</f>
        <v>90.719800557117239</v>
      </c>
      <c r="R19" s="223">
        <f>'2020_B4_Berechnung_final'!Q85</f>
        <v>9.2801994428827648</v>
      </c>
    </row>
    <row r="20" spans="2:18" ht="8.25" customHeight="1">
      <c r="B20" s="2">
        <v>1</v>
      </c>
      <c r="C20" s="222" t="str">
        <f>'2020_B4_Berechnung_final'!B76</f>
        <v>Stat. Region Braunschweig</v>
      </c>
      <c r="D20" s="222">
        <f>'2020_B4_Berechnung_final'!C76</f>
        <v>2018</v>
      </c>
      <c r="E20" s="222">
        <f>'2020_B4_Berechnung_final'!D76</f>
        <v>73.902633679169995</v>
      </c>
      <c r="F20" s="222">
        <f>'2020_B4_Berechnung_final'!E76</f>
        <v>26.097366320830005</v>
      </c>
      <c r="G20" s="222">
        <f>'2020_B4_Berechnung_final'!F76</f>
        <v>90.558103975535161</v>
      </c>
      <c r="H20" s="222">
        <f>'2020_B4_Berechnung_final'!G76</f>
        <v>9.4418960244648318</v>
      </c>
      <c r="I20" s="222">
        <f>'2020_B4_Berechnung_final'!H76</f>
        <v>87.625</v>
      </c>
      <c r="J20" s="222">
        <f>'2020_B4_Berechnung_final'!I76</f>
        <v>12.375</v>
      </c>
      <c r="K20" s="222">
        <f>'2020_B4_Berechnung_final'!J76</f>
        <v>94.567685589519641</v>
      </c>
      <c r="L20" s="222">
        <f>'2020_B4_Berechnung_final'!K76</f>
        <v>4</v>
      </c>
      <c r="M20" s="222">
        <f>'2020_B4_Berechnung_final'!L76</f>
        <v>92.991563919532766</v>
      </c>
      <c r="N20" s="222">
        <f>'2020_B4_Berechnung_final'!M76</f>
        <v>7.008436080467229</v>
      </c>
      <c r="O20" s="222">
        <f>'2020_B4_Berechnung_final'!N76</f>
        <v>88.603988603988597</v>
      </c>
      <c r="P20" s="222">
        <f>'2020_B4_Berechnung_final'!O76</f>
        <v>11.396011396011396</v>
      </c>
      <c r="Q20" s="222">
        <f>'2020_B4_Berechnung_final'!P76</f>
        <v>91.40630341149928</v>
      </c>
      <c r="R20" s="222">
        <f>'2020_B4_Berechnung_final'!Q76</f>
        <v>8.5936965885007179</v>
      </c>
    </row>
    <row r="21" spans="2:18" ht="8.25" customHeight="1">
      <c r="B21" s="2">
        <v>2</v>
      </c>
      <c r="C21" s="222" t="str">
        <f>'2020_B4_Berechnung_final'!B77</f>
        <v>Stat. Region Hannover</v>
      </c>
      <c r="D21" s="222">
        <f>'2020_B4_Berechnung_final'!C77</f>
        <v>2018</v>
      </c>
      <c r="E21" s="222">
        <f>'2020_B4_Berechnung_final'!D77</f>
        <v>69.328063241106719</v>
      </c>
      <c r="F21" s="222">
        <f>'2020_B4_Berechnung_final'!E77</f>
        <v>30.671936758893281</v>
      </c>
      <c r="G21" s="222">
        <f>'2020_B4_Berechnung_final'!F77</f>
        <v>86.256200758681061</v>
      </c>
      <c r="H21" s="222">
        <f>'2020_B4_Berechnung_final'!G77</f>
        <v>13.743799241318937</v>
      </c>
      <c r="I21" s="222">
        <f>'2020_B4_Berechnung_final'!H77</f>
        <v>85.719310587407676</v>
      </c>
      <c r="J21" s="222">
        <f>'2020_B4_Berechnung_final'!I77</f>
        <v>14.280689412592332</v>
      </c>
      <c r="K21" s="222">
        <f>'2020_B4_Berechnung_final'!J77</f>
        <v>95.817720294935327</v>
      </c>
      <c r="L21" s="222">
        <f>'2020_B4_Berechnung_final'!K77</f>
        <v>4.1822797050646683</v>
      </c>
      <c r="M21" s="222">
        <f>'2020_B4_Berechnung_final'!L77</f>
        <v>89.930555555555557</v>
      </c>
      <c r="N21" s="222">
        <f>'2020_B4_Berechnung_final'!M77</f>
        <v>10.069444444444445</v>
      </c>
      <c r="O21" s="222">
        <f>'2020_B4_Berechnung_final'!N77</f>
        <v>92.05175600739372</v>
      </c>
      <c r="P21" s="222">
        <f>'2020_B4_Berechnung_final'!O77</f>
        <v>7.9482439926062849</v>
      </c>
      <c r="Q21" s="222">
        <f>'2020_B4_Berechnung_final'!P77</f>
        <v>89.893076588127158</v>
      </c>
      <c r="R21" s="222">
        <f>'2020_B4_Berechnung_final'!Q77</f>
        <v>10.106923411872854</v>
      </c>
    </row>
    <row r="22" spans="2:18" ht="8.25" customHeight="1">
      <c r="B22" s="2">
        <v>3</v>
      </c>
      <c r="C22" s="222" t="str">
        <f>'2020_B4_Berechnung_final'!B78</f>
        <v>Stat. Region Lüneburg</v>
      </c>
      <c r="D22" s="222">
        <f>'2020_B4_Berechnung_final'!C78</f>
        <v>2018</v>
      </c>
      <c r="E22" s="222">
        <f>'2020_B4_Berechnung_final'!D78</f>
        <v>83.549351944167498</v>
      </c>
      <c r="F22" s="222">
        <f>'2020_B4_Berechnung_final'!E78</f>
        <v>16.450648055832502</v>
      </c>
      <c r="G22" s="222">
        <f>'2020_B4_Berechnung_final'!F78</f>
        <v>93.519751442521084</v>
      </c>
      <c r="H22" s="222">
        <f>'2020_B4_Berechnung_final'!G78</f>
        <v>6.4802485574789168</v>
      </c>
      <c r="I22" s="222">
        <f>'2020_B4_Berechnung_final'!H78</f>
        <v>90.149738408803898</v>
      </c>
      <c r="J22" s="222">
        <f>'2020_B4_Berechnung_final'!I78</f>
        <v>9.8502615911961033</v>
      </c>
      <c r="K22" s="222">
        <f>'2020_B4_Berechnung_final'!J78</f>
        <v>96.716149347728305</v>
      </c>
      <c r="L22" s="222">
        <f>'2020_B4_Berechnung_final'!K78</f>
        <v>2.6840605787974212</v>
      </c>
      <c r="M22" s="222">
        <f>'2020_B4_Berechnung_final'!L78</f>
        <v>93.895781637717121</v>
      </c>
      <c r="N22" s="222">
        <f>'2020_B4_Berechnung_final'!M78</f>
        <v>6.1042183622828778</v>
      </c>
      <c r="O22" s="222">
        <f>'2020_B4_Berechnung_final'!N78</f>
        <v>90.965732087227408</v>
      </c>
      <c r="P22" s="222">
        <f>'2020_B4_Berechnung_final'!O78</f>
        <v>9.0342679127725845</v>
      </c>
      <c r="Q22" s="222">
        <f>'2020_B4_Berechnung_final'!P78</f>
        <v>93.327342170298806</v>
      </c>
      <c r="R22" s="222">
        <f>'2020_B4_Berechnung_final'!Q78</f>
        <v>6.6726578297011914</v>
      </c>
    </row>
    <row r="23" spans="2:18" ht="8.25" customHeight="1">
      <c r="B23" s="2">
        <v>4</v>
      </c>
      <c r="C23" s="222" t="str">
        <f>'2020_B4_Berechnung_final'!B79</f>
        <v>Stat. Region Weser-Ems</v>
      </c>
      <c r="D23" s="222">
        <f>'2020_B4_Berechnung_final'!C79</f>
        <v>2018</v>
      </c>
      <c r="E23" s="222">
        <f>'2020_B4_Berechnung_final'!D79</f>
        <v>79.099678456591633</v>
      </c>
      <c r="F23" s="222">
        <f>'2020_B4_Berechnung_final'!E79</f>
        <v>20.90032154340836</v>
      </c>
      <c r="G23" s="222">
        <f>'2020_B4_Berechnung_final'!F79</f>
        <v>91.854636591478695</v>
      </c>
      <c r="H23" s="222">
        <f>'2020_B4_Berechnung_final'!G79</f>
        <v>8.1453634085213036</v>
      </c>
      <c r="I23" s="222">
        <f>'2020_B4_Berechnung_final'!H79</f>
        <v>87.821906833009038</v>
      </c>
      <c r="J23" s="222">
        <f>'2020_B4_Berechnung_final'!I79</f>
        <v>12.178093166990958</v>
      </c>
      <c r="K23" s="222">
        <f>'2020_B4_Berechnung_final'!J79</f>
        <v>96.823159492572913</v>
      </c>
      <c r="L23" s="222">
        <f>'2020_B4_Berechnung_final'!K79</f>
        <v>3.1768405074270847</v>
      </c>
      <c r="M23" s="222">
        <f>'2020_B4_Berechnung_final'!L79</f>
        <v>94.44629198536748</v>
      </c>
      <c r="N23" s="222">
        <f>'2020_B4_Berechnung_final'!M79</f>
        <v>5.5537080146325239</v>
      </c>
      <c r="O23" s="222">
        <f>'2020_B4_Berechnung_final'!N79</f>
        <v>91.062801932367151</v>
      </c>
      <c r="P23" s="222">
        <f>'2020_B4_Berechnung_final'!O79</f>
        <v>8.9371980676328491</v>
      </c>
      <c r="Q23" s="222">
        <f>'2020_B4_Berechnung_final'!P79</f>
        <v>91.775299525280687</v>
      </c>
      <c r="R23" s="222">
        <f>'2020_B4_Berechnung_final'!Q79</f>
        <v>8.2247004747193131</v>
      </c>
    </row>
    <row r="24" spans="2:18" s="117" customFormat="1" ht="16.149999999999999" customHeight="1">
      <c r="B24" s="117">
        <v>0</v>
      </c>
      <c r="C24" s="223" t="str">
        <f>'2020_B4_Berechnung_final'!B80</f>
        <v>Niedersachsen</v>
      </c>
      <c r="D24" s="223">
        <f>'2020_B4_Berechnung_final'!C80</f>
        <v>2018</v>
      </c>
      <c r="E24" s="223">
        <f>'2020_B4_Berechnung_final'!D80</f>
        <v>76.26083530338849</v>
      </c>
      <c r="F24" s="223">
        <f>'2020_B4_Berechnung_final'!E80</f>
        <v>23.739164696611507</v>
      </c>
      <c r="G24" s="223">
        <f>'2020_B4_Berechnung_final'!F80</f>
        <v>90.215877437325915</v>
      </c>
      <c r="H24" s="223">
        <f>'2020_B4_Berechnung_final'!G80</f>
        <v>9.784122562674094</v>
      </c>
      <c r="I24" s="223">
        <f>'2020_B4_Berechnung_final'!H80</f>
        <v>88.174971959621857</v>
      </c>
      <c r="J24" s="223">
        <f>'2020_B4_Berechnung_final'!I80</f>
        <v>11.825028040378145</v>
      </c>
      <c r="K24" s="223">
        <f>'2020_B4_Berechnung_final'!J80</f>
        <v>96.497156239545006</v>
      </c>
      <c r="L24" s="223">
        <f>'2020_B4_Berechnung_final'!K80</f>
        <v>3.5028437604550016</v>
      </c>
      <c r="M24" s="223">
        <f>'2020_B4_Berechnung_final'!L80</f>
        <v>92.425949774629743</v>
      </c>
      <c r="N24" s="223">
        <f>'2020_B4_Berechnung_final'!M80</f>
        <v>7.5740502253702502</v>
      </c>
      <c r="O24" s="223">
        <f>'2020_B4_Berechnung_final'!N80</f>
        <v>90.886820186183243</v>
      </c>
      <c r="P24" s="223">
        <f>'2020_B4_Berechnung_final'!O80</f>
        <v>9.1131798138167568</v>
      </c>
      <c r="Q24" s="223">
        <f>'2020_B4_Berechnung_final'!P80</f>
        <v>91.566007885286666</v>
      </c>
      <c r="R24" s="223">
        <f>'2020_B4_Berechnung_final'!Q80</f>
        <v>8.4339921147133428</v>
      </c>
    </row>
    <row r="25" spans="2:18" ht="8.25" customHeight="1">
      <c r="B25" s="2">
        <v>1</v>
      </c>
      <c r="C25" s="222" t="str">
        <f>'2020_B4_Berechnung_final'!B71</f>
        <v>Stat. Region Braunschweig</v>
      </c>
      <c r="D25" s="222">
        <f>'2020_B4_Berechnung_final'!C71</f>
        <v>2017</v>
      </c>
      <c r="E25" s="222">
        <f>'2020_B4_Berechnung_final'!D71</f>
        <v>77.272727272727266</v>
      </c>
      <c r="F25" s="222">
        <f>'2020_B4_Berechnung_final'!E71</f>
        <v>22.727272727272727</v>
      </c>
      <c r="G25" s="222">
        <f>'2020_B4_Berechnung_final'!F71</f>
        <v>90.634110787172006</v>
      </c>
      <c r="H25" s="222">
        <f>'2020_B4_Berechnung_final'!G71</f>
        <v>9.3658892128279874</v>
      </c>
      <c r="I25" s="222">
        <f>'2020_B4_Berechnung_final'!H71</f>
        <v>90.058479532163744</v>
      </c>
      <c r="J25" s="222">
        <f>'2020_B4_Berechnung_final'!I71</f>
        <v>9.9415204678362574</v>
      </c>
      <c r="K25" s="222">
        <f>'2020_B4_Berechnung_final'!J71</f>
        <v>95.570517363571938</v>
      </c>
      <c r="L25" s="222">
        <f>'2020_B4_Berechnung_final'!K71</f>
        <v>4.4294826364280651</v>
      </c>
      <c r="M25" s="222">
        <f>'2020_B4_Berechnung_final'!L71</f>
        <v>94.806483625537538</v>
      </c>
      <c r="N25" s="222">
        <f>'2020_B4_Berechnung_final'!M71</f>
        <v>5.1935163744624546</v>
      </c>
      <c r="O25" s="222">
        <f>'2020_B4_Berechnung_final'!N71</f>
        <v>89.075630252100851</v>
      </c>
      <c r="P25" s="222">
        <f>'2020_B4_Berechnung_final'!O71</f>
        <v>10.92436974789916</v>
      </c>
      <c r="Q25" s="222">
        <f>'2020_B4_Berechnung_final'!P71</f>
        <v>92.095289658906339</v>
      </c>
      <c r="R25" s="222">
        <f>'2020_B4_Berechnung_final'!Q71</f>
        <v>7.904710341093665</v>
      </c>
    </row>
    <row r="26" spans="2:18" ht="8.25" customHeight="1">
      <c r="B26" s="2">
        <v>2</v>
      </c>
      <c r="C26" s="222" t="str">
        <f>'2020_B4_Berechnung_final'!B72</f>
        <v>Stat. Region Hannover</v>
      </c>
      <c r="D26" s="222">
        <f>'2020_B4_Berechnung_final'!C72</f>
        <v>2017</v>
      </c>
      <c r="E26" s="222">
        <f>'2020_B4_Berechnung_final'!D72</f>
        <v>72.385620915032675</v>
      </c>
      <c r="F26" s="222">
        <f>'2020_B4_Berechnung_final'!E72</f>
        <v>27.614379084967322</v>
      </c>
      <c r="G26" s="222">
        <f>'2020_B4_Berechnung_final'!F72</f>
        <v>88.401775804661483</v>
      </c>
      <c r="H26" s="222">
        <f>'2020_B4_Berechnung_final'!G72</f>
        <v>11.598224195338513</v>
      </c>
      <c r="I26" s="222">
        <f>'2020_B4_Berechnung_final'!H72</f>
        <v>85.622154779969648</v>
      </c>
      <c r="J26" s="222">
        <f>'2020_B4_Berechnung_final'!I72</f>
        <v>14.37784522003035</v>
      </c>
      <c r="K26" s="222">
        <f>'2020_B4_Berechnung_final'!J72</f>
        <v>95.411297121522338</v>
      </c>
      <c r="L26" s="222">
        <f>'2020_B4_Berechnung_final'!K72</f>
        <v>4.5887028784776591</v>
      </c>
      <c r="M26" s="222">
        <f>'2020_B4_Berechnung_final'!L72</f>
        <v>91.013071895424829</v>
      </c>
      <c r="N26" s="222">
        <f>'2020_B4_Berechnung_final'!M72</f>
        <v>8.9869281045751634</v>
      </c>
      <c r="O26" s="222">
        <f>'2020_B4_Berechnung_final'!N72</f>
        <v>91.187739463601531</v>
      </c>
      <c r="P26" s="222">
        <f>'2020_B4_Berechnung_final'!O72</f>
        <v>8.8122605363984672</v>
      </c>
      <c r="Q26" s="222">
        <f>'2020_B4_Berechnung_final'!P72</f>
        <v>90.536139600447186</v>
      </c>
      <c r="R26" s="222">
        <f>'2020_B4_Berechnung_final'!Q72</f>
        <v>9.4638603995528126</v>
      </c>
    </row>
    <row r="27" spans="2:18" ht="8.25" customHeight="1">
      <c r="B27" s="2">
        <v>3</v>
      </c>
      <c r="C27" s="222" t="str">
        <f>'2020_B4_Berechnung_final'!B73</f>
        <v>Stat. Region Lüneburg</v>
      </c>
      <c r="D27" s="222">
        <f>'2020_B4_Berechnung_final'!C73</f>
        <v>2017</v>
      </c>
      <c r="E27" s="222">
        <f>'2020_B4_Berechnung_final'!D73</f>
        <v>83.748753738783648</v>
      </c>
      <c r="F27" s="222">
        <f>'2020_B4_Berechnung_final'!E73</f>
        <v>16.251246261216352</v>
      </c>
      <c r="G27" s="222">
        <f>'2020_B4_Berechnung_final'!F73</f>
        <v>94.031141868512108</v>
      </c>
      <c r="H27" s="222">
        <f>'2020_B4_Berechnung_final'!G73</f>
        <v>5.968858131487889</v>
      </c>
      <c r="I27" s="222">
        <f>'2020_B4_Berechnung_final'!H73</f>
        <v>91.663599558336401</v>
      </c>
      <c r="J27" s="222">
        <f>'2020_B4_Berechnung_final'!I73</f>
        <v>8.3364004416635993</v>
      </c>
      <c r="K27" s="222">
        <f>'2020_B4_Berechnung_final'!J73</f>
        <v>97.563098346388159</v>
      </c>
      <c r="L27" s="222">
        <f>'2020_B4_Berechnung_final'!K73</f>
        <v>2.4369016536118364</v>
      </c>
      <c r="M27" s="222">
        <f>'2020_B4_Berechnung_final'!L73</f>
        <v>95.328083989501309</v>
      </c>
      <c r="N27" s="222">
        <f>'2020_B4_Berechnung_final'!M73</f>
        <v>4.6719160104986877</v>
      </c>
      <c r="O27" s="222">
        <f>'2020_B4_Berechnung_final'!N73</f>
        <v>93.527508090614887</v>
      </c>
      <c r="P27" s="222">
        <f>'2020_B4_Berechnung_final'!O73</f>
        <v>6.4724919093851128</v>
      </c>
      <c r="Q27" s="222">
        <f>'2020_B4_Berechnung_final'!P73</f>
        <v>94.226353810830489</v>
      </c>
      <c r="R27" s="222">
        <f>'2020_B4_Berechnung_final'!Q73</f>
        <v>5.7736461891695132</v>
      </c>
    </row>
    <row r="28" spans="2:18" ht="8.25" customHeight="1">
      <c r="B28" s="2">
        <v>4</v>
      </c>
      <c r="C28" s="222" t="str">
        <f>'2020_B4_Berechnung_final'!B74</f>
        <v>Stat. Region Weser-Ems</v>
      </c>
      <c r="D28" s="222">
        <f>'2020_B4_Berechnung_final'!C74</f>
        <v>2017</v>
      </c>
      <c r="E28" s="222">
        <f>'2020_B4_Berechnung_final'!D74</f>
        <v>83.601669648181272</v>
      </c>
      <c r="F28" s="222">
        <f>'2020_B4_Berechnung_final'!E74</f>
        <v>16.398330351818725</v>
      </c>
      <c r="G28" s="222">
        <f>'2020_B4_Berechnung_final'!F74</f>
        <v>92.655217965653904</v>
      </c>
      <c r="H28" s="222">
        <f>'2020_B4_Berechnung_final'!G74</f>
        <v>7.3447820343461032</v>
      </c>
      <c r="I28" s="222">
        <f>'2020_B4_Berechnung_final'!H74</f>
        <v>88.612269207861829</v>
      </c>
      <c r="J28" s="222">
        <f>'2020_B4_Berechnung_final'!I74</f>
        <v>11.387730792138177</v>
      </c>
      <c r="K28" s="222">
        <f>'2020_B4_Berechnung_final'!J74</f>
        <v>97.005464480874309</v>
      </c>
      <c r="L28" s="222">
        <f>'2020_B4_Berechnung_final'!K74</f>
        <v>2.9945355191256828</v>
      </c>
      <c r="M28" s="222">
        <f>'2020_B4_Berechnung_final'!L74</f>
        <v>95.584599081596608</v>
      </c>
      <c r="N28" s="222">
        <f>'2020_B4_Berechnung_final'!M74</f>
        <v>4.4154009184033907</v>
      </c>
      <c r="O28" s="222">
        <f>'2020_B4_Berechnung_final'!N74</f>
        <v>92.167381974248926</v>
      </c>
      <c r="P28" s="222">
        <f>'2020_B4_Berechnung_final'!O74</f>
        <v>7.8326180257510734</v>
      </c>
      <c r="Q28" s="222">
        <f>'2020_B4_Berechnung_final'!P74</f>
        <v>92.599925289503176</v>
      </c>
      <c r="R28" s="222">
        <f>'2020_B4_Berechnung_final'!Q74</f>
        <v>7.400074710496825</v>
      </c>
    </row>
    <row r="29" spans="2:18" s="117" customFormat="1" ht="16.5" customHeight="1">
      <c r="B29" s="117">
        <v>0</v>
      </c>
      <c r="C29" s="223" t="str">
        <f>'2020_B4_Berechnung_final'!B75</f>
        <v>Niedersachsen</v>
      </c>
      <c r="D29" s="223">
        <f>'2020_B4_Berechnung_final'!C75</f>
        <v>2017</v>
      </c>
      <c r="E29" s="223">
        <f>'2020_B4_Berechnung_final'!D75</f>
        <v>79.411764705882348</v>
      </c>
      <c r="F29" s="223">
        <f>'2020_B4_Berechnung_final'!E75</f>
        <v>20.588235294117645</v>
      </c>
      <c r="G29" s="223">
        <f>'2020_B4_Berechnung_final'!F75</f>
        <v>91.233427079148257</v>
      </c>
      <c r="H29" s="223">
        <f>'2020_B4_Berechnung_final'!G75</f>
        <v>8.7665729208517487</v>
      </c>
      <c r="I29" s="223">
        <f>'2020_B4_Berechnung_final'!H75</f>
        <v>89.226960110041261</v>
      </c>
      <c r="J29" s="223">
        <f>'2020_B4_Berechnung_final'!I75</f>
        <v>10.773039889958733</v>
      </c>
      <c r="K29" s="223">
        <f>'2020_B4_Berechnung_final'!J75</f>
        <v>96.422260011336732</v>
      </c>
      <c r="L29" s="223">
        <f>'2020_B4_Berechnung_final'!K75</f>
        <v>3.5777399886632657</v>
      </c>
      <c r="M29" s="223">
        <f>'2020_B4_Berechnung_final'!L75</f>
        <v>93.722494395084283</v>
      </c>
      <c r="N29" s="223">
        <f>'2020_B4_Berechnung_final'!M75</f>
        <v>6.277505604915719</v>
      </c>
      <c r="O29" s="223">
        <f>'2020_B4_Berechnung_final'!N75</f>
        <v>91.603773584905653</v>
      </c>
      <c r="P29" s="223">
        <f>'2020_B4_Berechnung_final'!O75</f>
        <v>8.3962264150943398</v>
      </c>
      <c r="Q29" s="223">
        <f>'2020_B4_Berechnung_final'!P75</f>
        <v>92.338951685505648</v>
      </c>
      <c r="R29" s="223">
        <f>'2020_B4_Berechnung_final'!Q75</f>
        <v>7.661048314494348</v>
      </c>
    </row>
    <row r="30" spans="2:18" ht="8.25" customHeight="1">
      <c r="B30" s="2">
        <v>1</v>
      </c>
      <c r="C30" s="222" t="str">
        <f>'2020_B4_Berechnung_final'!B66</f>
        <v>Stat. Region Braunschweig</v>
      </c>
      <c r="D30" s="222">
        <f>'2020_B4_Berechnung_final'!C66</f>
        <v>2016</v>
      </c>
      <c r="E30" s="222">
        <f>'2020_B4_Berechnung_final'!D66</f>
        <v>81.403508771929822</v>
      </c>
      <c r="F30" s="222">
        <f>'2020_B4_Berechnung_final'!E66</f>
        <v>18.596491228070175</v>
      </c>
      <c r="G30" s="222">
        <f>'2020_B4_Berechnung_final'!F66</f>
        <v>90.344337948171813</v>
      </c>
      <c r="H30" s="222">
        <f>'2020_B4_Berechnung_final'!G66</f>
        <v>9.6556620518281857</v>
      </c>
      <c r="I30" s="222">
        <f>'2020_B4_Berechnung_final'!H66</f>
        <v>91.682661548304552</v>
      </c>
      <c r="J30" s="222">
        <f>'2020_B4_Berechnung_final'!I66</f>
        <v>8.3173384516954574</v>
      </c>
      <c r="K30" s="222">
        <f>'2020_B4_Berechnung_final'!J66</f>
        <v>94.723926380368098</v>
      </c>
      <c r="L30" s="222">
        <f>'2020_B4_Berechnung_final'!K66</f>
        <v>3.8212094653812443</v>
      </c>
      <c r="M30" s="222">
        <f>'2020_B4_Berechnung_final'!L66</f>
        <v>96.05602653888684</v>
      </c>
      <c r="N30" s="222">
        <f>'2020_B4_Berechnung_final'!M66</f>
        <v>3.9439734611131585</v>
      </c>
      <c r="O30" s="222">
        <f>'2020_B4_Berechnung_final'!N66</f>
        <v>90.196078431372555</v>
      </c>
      <c r="P30" s="222">
        <f>'2020_B4_Berechnung_final'!O66</f>
        <v>9.8039215686274517</v>
      </c>
      <c r="Q30" s="222">
        <f>'2020_B4_Berechnung_final'!P66</f>
        <v>92.946483493951206</v>
      </c>
      <c r="R30" s="222">
        <f>'2020_B4_Berechnung_final'!Q66</f>
        <v>7.0535165060488003</v>
      </c>
    </row>
    <row r="31" spans="2:18" ht="8.25" customHeight="1">
      <c r="B31" s="2">
        <v>2</v>
      </c>
      <c r="C31" s="222" t="str">
        <f>'2020_B4_Berechnung_final'!B67</f>
        <v>Stat. Region Hannover</v>
      </c>
      <c r="D31" s="222">
        <f>'2020_B4_Berechnung_final'!C67</f>
        <v>2016</v>
      </c>
      <c r="E31" s="222">
        <f>'2020_B4_Berechnung_final'!D67</f>
        <v>78.844765342960287</v>
      </c>
      <c r="F31" s="222">
        <f>'2020_B4_Berechnung_final'!E67</f>
        <v>21.155234657039713</v>
      </c>
      <c r="G31" s="222">
        <f>'2020_B4_Berechnung_final'!F67</f>
        <v>89.614395886889469</v>
      </c>
      <c r="H31" s="222">
        <f>'2020_B4_Berechnung_final'!G67</f>
        <v>10.38560411311054</v>
      </c>
      <c r="I31" s="222">
        <f>'2020_B4_Berechnung_final'!H67</f>
        <v>89.390142021720962</v>
      </c>
      <c r="J31" s="222">
        <f>'2020_B4_Berechnung_final'!I67</f>
        <v>10.609857978279031</v>
      </c>
      <c r="K31" s="222">
        <f>'2020_B4_Berechnung_final'!J67</f>
        <v>96.418426577744839</v>
      </c>
      <c r="L31" s="222">
        <f>'2020_B4_Berechnung_final'!K67</f>
        <v>3.5815734222551563</v>
      </c>
      <c r="M31" s="222">
        <f>'2020_B4_Berechnung_final'!L67</f>
        <v>92.442173211403983</v>
      </c>
      <c r="N31" s="222">
        <f>'2020_B4_Berechnung_final'!M67</f>
        <v>7.55782678859602</v>
      </c>
      <c r="O31" s="222">
        <f>'2020_B4_Berechnung_final'!N67</f>
        <v>92.199687987519496</v>
      </c>
      <c r="P31" s="222">
        <f>'2020_B4_Berechnung_final'!O67</f>
        <v>7.8003120124804992</v>
      </c>
      <c r="Q31" s="222">
        <f>'2020_B4_Berechnung_final'!P67</f>
        <v>92.188819875776389</v>
      </c>
      <c r="R31" s="222">
        <f>'2020_B4_Berechnung_final'!Q67</f>
        <v>7.8111801242236032</v>
      </c>
    </row>
    <row r="32" spans="2:18" ht="8.25" customHeight="1">
      <c r="B32" s="2">
        <v>3</v>
      </c>
      <c r="C32" s="222" t="str">
        <f>'2020_B4_Berechnung_final'!B68</f>
        <v>Stat. Region Lüneburg</v>
      </c>
      <c r="D32" s="222">
        <f>'2020_B4_Berechnung_final'!C68</f>
        <v>2016</v>
      </c>
      <c r="E32" s="222">
        <f>'2020_B4_Berechnung_final'!D68</f>
        <v>84.343434343434339</v>
      </c>
      <c r="F32" s="222">
        <f>'2020_B4_Berechnung_final'!E68</f>
        <v>15.656565656565657</v>
      </c>
      <c r="G32" s="222">
        <f>'2020_B4_Berechnung_final'!F68</f>
        <v>94.15384615384616</v>
      </c>
      <c r="H32" s="222">
        <f>'2020_B4_Berechnung_final'!G68</f>
        <v>5.8461538461538458</v>
      </c>
      <c r="I32" s="222">
        <f>'2020_B4_Berechnung_final'!H68</f>
        <v>93.190512624330523</v>
      </c>
      <c r="J32" s="222">
        <f>'2020_B4_Berechnung_final'!I68</f>
        <v>6.8094873756694723</v>
      </c>
      <c r="K32" s="222">
        <f>'2020_B4_Berechnung_final'!J68</f>
        <v>97.746090156393734</v>
      </c>
      <c r="L32" s="222">
        <f>'2020_B4_Berechnung_final'!K68</f>
        <v>2.2539098436062557</v>
      </c>
      <c r="M32" s="222">
        <f>'2020_B4_Berechnung_final'!L68</f>
        <v>97.280966767371595</v>
      </c>
      <c r="N32" s="222">
        <f>'2020_B4_Berechnung_final'!M68</f>
        <v>2.7190332326283988</v>
      </c>
      <c r="O32" s="222">
        <f>'2020_B4_Berechnung_final'!N68</f>
        <v>92.957746478873233</v>
      </c>
      <c r="P32" s="222">
        <f>'2020_B4_Berechnung_final'!O68</f>
        <v>7.042253521126761</v>
      </c>
      <c r="Q32" s="222">
        <f>'2020_B4_Berechnung_final'!P68</f>
        <v>94.808525188055611</v>
      </c>
      <c r="R32" s="222">
        <f>'2020_B4_Berechnung_final'!Q68</f>
        <v>5.1914748119443814</v>
      </c>
    </row>
    <row r="33" spans="2:18" ht="8.25" customHeight="1">
      <c r="B33" s="2">
        <v>4</v>
      </c>
      <c r="C33" s="222" t="str">
        <f>'2020_B4_Berechnung_final'!B69</f>
        <v>Stat. Region Weser-Ems</v>
      </c>
      <c r="D33" s="222">
        <f>'2020_B4_Berechnung_final'!C69</f>
        <v>2016</v>
      </c>
      <c r="E33" s="222">
        <f>'2020_B4_Berechnung_final'!D69</f>
        <v>84.323271665043819</v>
      </c>
      <c r="F33" s="222">
        <f>'2020_B4_Berechnung_final'!E69</f>
        <v>15.676728334956183</v>
      </c>
      <c r="G33" s="222">
        <f>'2020_B4_Berechnung_final'!F69</f>
        <v>93.7020316027088</v>
      </c>
      <c r="H33" s="222">
        <f>'2020_B4_Berechnung_final'!G69</f>
        <v>6.2979683972911964</v>
      </c>
      <c r="I33" s="222">
        <f>'2020_B4_Berechnung_final'!H69</f>
        <v>90.786240786240796</v>
      </c>
      <c r="J33" s="222">
        <f>'2020_B4_Berechnung_final'!I69</f>
        <v>9.2137592137592144</v>
      </c>
      <c r="K33" s="222">
        <f>'2020_B4_Berechnung_final'!J69</f>
        <v>97.445091887046161</v>
      </c>
      <c r="L33" s="222">
        <f>'2020_B4_Berechnung_final'!K69</f>
        <v>2.5549081129538322</v>
      </c>
      <c r="M33" s="222">
        <f>'2020_B4_Berechnung_final'!L69</f>
        <v>95.620437956204384</v>
      </c>
      <c r="N33" s="222">
        <f>'2020_B4_Berechnung_final'!M69</f>
        <v>4.3795620437956204</v>
      </c>
      <c r="O33" s="222">
        <f>'2020_B4_Berechnung_final'!N69</f>
        <v>93.1640625</v>
      </c>
      <c r="P33" s="222">
        <f>'2020_B4_Berechnung_final'!O69</f>
        <v>6.8359375</v>
      </c>
      <c r="Q33" s="222">
        <f>'2020_B4_Berechnung_final'!P69</f>
        <v>93.596601039414281</v>
      </c>
      <c r="R33" s="222">
        <f>'2020_B4_Berechnung_final'!Q69</f>
        <v>6.4033989605857142</v>
      </c>
    </row>
    <row r="34" spans="2:18" s="117" customFormat="1" ht="16.149999999999999" customHeight="1">
      <c r="B34" s="117">
        <v>0</v>
      </c>
      <c r="C34" s="223" t="str">
        <f>'2020_B4_Berechnung_final'!B70</f>
        <v>Niedersachsen</v>
      </c>
      <c r="D34" s="223">
        <f>'2020_B4_Berechnung_final'!C70</f>
        <v>2016</v>
      </c>
      <c r="E34" s="223">
        <f>'2020_B4_Berechnung_final'!D70</f>
        <v>82.385988103106413</v>
      </c>
      <c r="F34" s="223">
        <f>'2020_B4_Berechnung_final'!E70</f>
        <v>17.61401189689359</v>
      </c>
      <c r="G34" s="223">
        <f>'2020_B4_Berechnung_final'!F70</f>
        <v>91.941471937104168</v>
      </c>
      <c r="H34" s="223">
        <f>'2020_B4_Berechnung_final'!G70</f>
        <v>8.058528062895828</v>
      </c>
      <c r="I34" s="223">
        <f>'2020_B4_Berechnung_final'!H70</f>
        <v>91.429955787051057</v>
      </c>
      <c r="J34" s="223">
        <f>'2020_B4_Berechnung_final'!I70</f>
        <v>8.5700442129489431</v>
      </c>
      <c r="K34" s="223">
        <f>'2020_B4_Berechnung_final'!J70</f>
        <v>96.980990153172868</v>
      </c>
      <c r="L34" s="223">
        <f>'2020_B4_Berechnung_final'!K70</f>
        <v>3.0190098468271334</v>
      </c>
      <c r="M34" s="223">
        <f>'2020_B4_Berechnung_final'!L70</f>
        <v>94.88258957807092</v>
      </c>
      <c r="N34" s="223">
        <f>'2020_B4_Berechnung_final'!M70</f>
        <v>5.1174104219290859</v>
      </c>
      <c r="O34" s="223">
        <f>'2020_B4_Berechnung_final'!N70</f>
        <v>92.380560131795718</v>
      </c>
      <c r="P34" s="223">
        <f>'2020_B4_Berechnung_final'!O70</f>
        <v>7.6194398682042834</v>
      </c>
      <c r="Q34" s="223">
        <f>'2020_B4_Berechnung_final'!P70</f>
        <v>93.385876819424141</v>
      </c>
      <c r="R34" s="223">
        <f>'2020_B4_Berechnung_final'!Q70</f>
        <v>6.6141231805758594</v>
      </c>
    </row>
    <row r="35" spans="2:18" ht="8.25" customHeight="1">
      <c r="B35" s="2">
        <v>1</v>
      </c>
      <c r="C35" s="222" t="str">
        <f>'2020_B4_Berechnung_final'!B61</f>
        <v>Stat. Region Braunschweig</v>
      </c>
      <c r="D35" s="222">
        <f>'2020_B4_Berechnung_final'!C61</f>
        <v>2015</v>
      </c>
      <c r="E35" s="222">
        <f>'2020_B4_Berechnung_final'!D61</f>
        <v>84.492350486787203</v>
      </c>
      <c r="F35" s="222">
        <f>'2020_B4_Berechnung_final'!E61</f>
        <v>15.507649513212796</v>
      </c>
      <c r="G35" s="222">
        <f>'2020_B4_Berechnung_final'!F61</f>
        <v>93.181076672104396</v>
      </c>
      <c r="H35" s="222">
        <f>'2020_B4_Berechnung_final'!G61</f>
        <v>6.8189233278955959</v>
      </c>
      <c r="I35" s="222">
        <f>'2020_B4_Berechnung_final'!H61</f>
        <v>94.859813084112147</v>
      </c>
      <c r="J35" s="222">
        <f>'2020_B4_Berechnung_final'!I61</f>
        <v>5.1401869158878499</v>
      </c>
      <c r="K35" s="222">
        <f>'2020_B4_Berechnung_final'!J61</f>
        <v>93.906810035842298</v>
      </c>
      <c r="L35" s="222">
        <f>'2020_B4_Berechnung_final'!K61</f>
        <v>2.6344086021505375</v>
      </c>
      <c r="M35" s="222">
        <f>'2020_B4_Berechnung_final'!L61</f>
        <v>95.644149132521221</v>
      </c>
      <c r="N35" s="222">
        <f>'2020_B4_Berechnung_final'!M61</f>
        <v>4.3558508674787744</v>
      </c>
      <c r="O35" s="222">
        <f>'2020_B4_Berechnung_final'!N61</f>
        <v>89.555125725338485</v>
      </c>
      <c r="P35" s="222">
        <f>'2020_B4_Berechnung_final'!O61</f>
        <v>10.444874274661508</v>
      </c>
      <c r="Q35" s="222">
        <f>'2020_B4_Berechnung_final'!P61</f>
        <v>94.408050246505027</v>
      </c>
      <c r="R35" s="222">
        <f>'2020_B4_Berechnung_final'!Q61</f>
        <v>5.5919497534949691</v>
      </c>
    </row>
    <row r="36" spans="2:18" ht="8.25" customHeight="1">
      <c r="B36" s="2">
        <v>2</v>
      </c>
      <c r="C36" s="222" t="str">
        <f>'2020_B4_Berechnung_final'!B62</f>
        <v>Stat. Region Hannover</v>
      </c>
      <c r="D36" s="222">
        <f>'2020_B4_Berechnung_final'!C62</f>
        <v>2015</v>
      </c>
      <c r="E36" s="222">
        <f>'2020_B4_Berechnung_final'!D62</f>
        <v>79.856584093872229</v>
      </c>
      <c r="F36" s="222">
        <f>'2020_B4_Berechnung_final'!E62</f>
        <v>20.143415906127771</v>
      </c>
      <c r="G36" s="222">
        <f>'2020_B4_Berechnung_final'!F62</f>
        <v>91.330596474281577</v>
      </c>
      <c r="H36" s="222">
        <f>'2020_B4_Berechnung_final'!G62</f>
        <v>8.6694035257184243</v>
      </c>
      <c r="I36" s="222">
        <f>'2020_B4_Berechnung_final'!H62</f>
        <v>90.763390974272468</v>
      </c>
      <c r="J36" s="222">
        <f>'2020_B4_Berechnung_final'!I62</f>
        <v>9.2366090257275406</v>
      </c>
      <c r="K36" s="222">
        <f>'2020_B4_Berechnung_final'!J62</f>
        <v>96.465081906638744</v>
      </c>
      <c r="L36" s="222">
        <f>'2020_B4_Berechnung_final'!K62</f>
        <v>3.5349180933612514</v>
      </c>
      <c r="M36" s="222">
        <f>'2020_B4_Berechnung_final'!L62</f>
        <v>91.67620137299771</v>
      </c>
      <c r="N36" s="222">
        <f>'2020_B4_Berechnung_final'!M62</f>
        <v>8.3237986270022883</v>
      </c>
      <c r="O36" s="222">
        <f>'2020_B4_Berechnung_final'!N62</f>
        <v>90.701219512195124</v>
      </c>
      <c r="P36" s="222">
        <f>'2020_B4_Berechnung_final'!O62</f>
        <v>9.2987804878048781</v>
      </c>
      <c r="Q36" s="222">
        <f>'2020_B4_Berechnung_final'!P62</f>
        <v>92.489048580006894</v>
      </c>
      <c r="R36" s="222">
        <f>'2020_B4_Berechnung_final'!Q62</f>
        <v>7.5109514199931091</v>
      </c>
    </row>
    <row r="37" spans="2:18" ht="8.25" customHeight="1">
      <c r="B37" s="2">
        <v>3</v>
      </c>
      <c r="C37" s="222" t="str">
        <f>'2020_B4_Berechnung_final'!B63</f>
        <v>Stat. Region Lüneburg</v>
      </c>
      <c r="D37" s="222">
        <f>'2020_B4_Berechnung_final'!C63</f>
        <v>2015</v>
      </c>
      <c r="E37" s="222">
        <f>'2020_B4_Berechnung_final'!D63</f>
        <v>85.397553516819571</v>
      </c>
      <c r="F37" s="222">
        <f>'2020_B4_Berechnung_final'!E63</f>
        <v>14.602446483180428</v>
      </c>
      <c r="G37" s="222">
        <f>'2020_B4_Berechnung_final'!F63</f>
        <v>96.382252559726965</v>
      </c>
      <c r="H37" s="222">
        <f>'2020_B4_Berechnung_final'!G63</f>
        <v>3.6177474402730376</v>
      </c>
      <c r="I37" s="222">
        <f>'2020_B4_Berechnung_final'!H63</f>
        <v>94.876395534290268</v>
      </c>
      <c r="J37" s="222">
        <f>'2020_B4_Berechnung_final'!I63</f>
        <v>5.1236044657097288</v>
      </c>
      <c r="K37" s="222">
        <f>'2020_B4_Berechnung_final'!J63</f>
        <v>98.547469302186286</v>
      </c>
      <c r="L37" s="222">
        <f>'2020_B4_Berechnung_final'!K63</f>
        <v>1.4525306978137167</v>
      </c>
      <c r="M37" s="222">
        <f>'2020_B4_Berechnung_final'!L63</f>
        <v>97.085492227979273</v>
      </c>
      <c r="N37" s="222">
        <f>'2020_B4_Berechnung_final'!M63</f>
        <v>2.9145077720207255</v>
      </c>
      <c r="O37" s="222">
        <f>'2020_B4_Berechnung_final'!N63</f>
        <v>92.688172043010752</v>
      </c>
      <c r="P37" s="222">
        <f>'2020_B4_Berechnung_final'!O63</f>
        <v>7.3118279569892479</v>
      </c>
      <c r="Q37" s="222">
        <f>'2020_B4_Berechnung_final'!P63</f>
        <v>95.931107519090347</v>
      </c>
      <c r="R37" s="222">
        <f>'2020_B4_Berechnung_final'!Q63</f>
        <v>4.0688924809096489</v>
      </c>
    </row>
    <row r="38" spans="2:18" ht="8.25" customHeight="1">
      <c r="B38" s="2">
        <v>4</v>
      </c>
      <c r="C38" s="222" t="str">
        <f>'2020_B4_Berechnung_final'!B64</f>
        <v>Stat. Region Weser-Ems</v>
      </c>
      <c r="D38" s="222">
        <f>'2020_B4_Berechnung_final'!C64</f>
        <v>2015</v>
      </c>
      <c r="E38" s="222">
        <f>'2020_B4_Berechnung_final'!D64</f>
        <v>86.017121891561359</v>
      </c>
      <c r="F38" s="222">
        <f>'2020_B4_Berechnung_final'!E64</f>
        <v>13.982878108438646</v>
      </c>
      <c r="G38" s="222">
        <f>'2020_B4_Berechnung_final'!F64</f>
        <v>95.14910536779324</v>
      </c>
      <c r="H38" s="222">
        <f>'2020_B4_Berechnung_final'!G64</f>
        <v>4.8508946322067592</v>
      </c>
      <c r="I38" s="222">
        <f>'2020_B4_Berechnung_final'!H64</f>
        <v>93.10500225326723</v>
      </c>
      <c r="J38" s="222">
        <f>'2020_B4_Berechnung_final'!I64</f>
        <v>6.8949977467327628</v>
      </c>
      <c r="K38" s="222">
        <f>'2020_B4_Berechnung_final'!J64</f>
        <v>97.836458448907138</v>
      </c>
      <c r="L38" s="222">
        <f>'2020_B4_Berechnung_final'!K64</f>
        <v>2.1635415510928659</v>
      </c>
      <c r="M38" s="222">
        <f>'2020_B4_Berechnung_final'!L64</f>
        <v>97.319513938527521</v>
      </c>
      <c r="N38" s="222">
        <f>'2020_B4_Berechnung_final'!M64</f>
        <v>2.6804860614724801</v>
      </c>
      <c r="O38" s="222">
        <f>'2020_B4_Berechnung_final'!N64</f>
        <v>93.224699828473405</v>
      </c>
      <c r="P38" s="222">
        <f>'2020_B4_Berechnung_final'!O64</f>
        <v>6.7753001715265864</v>
      </c>
      <c r="Q38" s="222">
        <f>'2020_B4_Berechnung_final'!P64</f>
        <v>94.85562562230335</v>
      </c>
      <c r="R38" s="222">
        <f>'2020_B4_Berechnung_final'!Q64</f>
        <v>5.1443743776966482</v>
      </c>
    </row>
    <row r="39" spans="2:18" s="117" customFormat="1" ht="16.5" customHeight="1">
      <c r="B39" s="117">
        <v>0</v>
      </c>
      <c r="C39" s="223" t="str">
        <f>'2020_B4_Berechnung_final'!B65</f>
        <v>Niedersachsen</v>
      </c>
      <c r="D39" s="223">
        <f>'2020_B4_Berechnung_final'!C65</f>
        <v>2015</v>
      </c>
      <c r="E39" s="223">
        <f>'2020_B4_Berechnung_final'!D65</f>
        <v>84.1675330461904</v>
      </c>
      <c r="F39" s="223">
        <f>'2020_B4_Berechnung_final'!E65</f>
        <v>15.832466953809595</v>
      </c>
      <c r="G39" s="223">
        <f>'2020_B4_Berechnung_final'!F65</f>
        <v>93.946986680733218</v>
      </c>
      <c r="H39" s="223">
        <f>'2020_B4_Berechnung_final'!G65</f>
        <v>6.053013319266781</v>
      </c>
      <c r="I39" s="223">
        <f>'2020_B4_Berechnung_final'!H65</f>
        <v>93.48861150431091</v>
      </c>
      <c r="J39" s="223">
        <f>'2020_B4_Berechnung_final'!I65</f>
        <v>6.5113884956891006</v>
      </c>
      <c r="K39" s="223">
        <f>'2020_B4_Berechnung_final'!J65</f>
        <v>97.529772031303168</v>
      </c>
      <c r="L39" s="223">
        <f>'2020_B4_Berechnung_final'!K65</f>
        <v>2.4702279686968356</v>
      </c>
      <c r="M39" s="223">
        <f>'2020_B4_Berechnung_final'!L65</f>
        <v>94.984355740968994</v>
      </c>
      <c r="N39" s="223">
        <f>'2020_B4_Berechnung_final'!M65</f>
        <v>5.0156442590310037</v>
      </c>
      <c r="O39" s="223">
        <f>'2020_B4_Berechnung_final'!N65</f>
        <v>91.868758915834519</v>
      </c>
      <c r="P39" s="223">
        <f>'2020_B4_Berechnung_final'!O65</f>
        <v>8.1312410841654774</v>
      </c>
      <c r="Q39" s="223">
        <f>'2020_B4_Berechnung_final'!P65</f>
        <v>94.413958244992642</v>
      </c>
      <c r="R39" s="223">
        <f>'2020_B4_Berechnung_final'!Q65</f>
        <v>5.5860417550073578</v>
      </c>
    </row>
    <row r="40" spans="2:18" ht="8.25" customHeight="1">
      <c r="B40" s="2">
        <v>1</v>
      </c>
      <c r="C40" s="11" t="s">
        <v>145</v>
      </c>
      <c r="D40" s="17">
        <v>2014</v>
      </c>
      <c r="E40" s="18">
        <v>86.500283607487233</v>
      </c>
      <c r="F40" s="18">
        <v>13.499716392512761</v>
      </c>
      <c r="G40" s="18">
        <v>93.81606765327696</v>
      </c>
      <c r="H40" s="18">
        <v>6.1839323467230445</v>
      </c>
      <c r="I40" s="18">
        <v>96.561604584527217</v>
      </c>
      <c r="J40" s="18">
        <v>3.4383954154727796</v>
      </c>
      <c r="K40" s="18">
        <v>97.195308516063221</v>
      </c>
      <c r="L40" s="18">
        <v>2.8046914839367667</v>
      </c>
      <c r="M40" s="18">
        <v>96.278118609406945</v>
      </c>
      <c r="N40" s="18">
        <v>3.7218813905930475</v>
      </c>
      <c r="O40" s="18">
        <v>91.840607210626189</v>
      </c>
      <c r="P40" s="18">
        <v>8.159392789373813</v>
      </c>
      <c r="Q40" s="18">
        <v>94.776360929509991</v>
      </c>
      <c r="R40" s="18">
        <v>5.2236390704899991</v>
      </c>
    </row>
    <row r="41" spans="2:18" ht="8.25" customHeight="1">
      <c r="B41" s="2">
        <v>2</v>
      </c>
      <c r="C41" s="11" t="s">
        <v>146</v>
      </c>
      <c r="D41" s="12">
        <v>2014</v>
      </c>
      <c r="E41" s="19">
        <v>84.094407388404306</v>
      </c>
      <c r="F41" s="19">
        <v>15.90559261159569</v>
      </c>
      <c r="G41" s="19">
        <v>91.752360965372503</v>
      </c>
      <c r="H41" s="19">
        <v>8.2476390346274915</v>
      </c>
      <c r="I41" s="19">
        <v>92.284139620330691</v>
      </c>
      <c r="J41" s="19">
        <v>7.7158603796693201</v>
      </c>
      <c r="K41" s="19">
        <v>96.6276923076923</v>
      </c>
      <c r="L41" s="19">
        <v>3.3723076923076927</v>
      </c>
      <c r="M41" s="19">
        <v>92.628571428571433</v>
      </c>
      <c r="N41" s="19">
        <v>7.3714285714285719</v>
      </c>
      <c r="O41" s="19">
        <v>86.526576019777508</v>
      </c>
      <c r="P41" s="19">
        <v>13.473423980222496</v>
      </c>
      <c r="Q41" s="19">
        <v>92.92623069149704</v>
      </c>
      <c r="R41" s="19">
        <v>7.0737693085029596</v>
      </c>
    </row>
    <row r="42" spans="2:18" ht="8.25" customHeight="1">
      <c r="B42" s="2">
        <v>3</v>
      </c>
      <c r="C42" s="11" t="s">
        <v>147</v>
      </c>
      <c r="D42" s="12">
        <v>2014</v>
      </c>
      <c r="E42" s="19">
        <v>89.040451552210726</v>
      </c>
      <c r="F42" s="19">
        <v>10.959548447789276</v>
      </c>
      <c r="G42" s="19">
        <v>96.707070707070713</v>
      </c>
      <c r="H42" s="19">
        <v>3.2929292929292928</v>
      </c>
      <c r="I42" s="19">
        <v>96.141479099678463</v>
      </c>
      <c r="J42" s="19">
        <v>3.8585209003215439</v>
      </c>
      <c r="K42" s="19">
        <v>98.278905560458966</v>
      </c>
      <c r="L42" s="19">
        <v>1.7210944395410415</v>
      </c>
      <c r="M42" s="19">
        <v>96.958855098389989</v>
      </c>
      <c r="N42" s="19">
        <v>3.0411449016100178</v>
      </c>
      <c r="O42" s="19">
        <v>90.121317157712298</v>
      </c>
      <c r="P42" s="19">
        <v>9.8786828422876951</v>
      </c>
      <c r="Q42" s="19">
        <v>96.123989506932915</v>
      </c>
      <c r="R42" s="19">
        <v>3.8760104930670809</v>
      </c>
    </row>
    <row r="43" spans="2:18" ht="8.25" customHeight="1">
      <c r="B43" s="2">
        <v>4</v>
      </c>
      <c r="C43" s="11" t="s">
        <v>148</v>
      </c>
      <c r="D43" s="12">
        <v>2014</v>
      </c>
      <c r="E43" s="19">
        <v>87.415799142682175</v>
      </c>
      <c r="F43" s="19">
        <v>12.584200857317821</v>
      </c>
      <c r="G43" s="19">
        <v>94.854126960856178</v>
      </c>
      <c r="H43" s="19">
        <v>5.1458730391438205</v>
      </c>
      <c r="I43" s="19">
        <v>94.944341372912803</v>
      </c>
      <c r="J43" s="19">
        <v>5.0556586270871984</v>
      </c>
      <c r="K43" s="19">
        <v>97.60907888937858</v>
      </c>
      <c r="L43" s="19">
        <v>2.3909211106214192</v>
      </c>
      <c r="M43" s="19">
        <v>97.566291318561568</v>
      </c>
      <c r="N43" s="19">
        <v>2.4337086814384308</v>
      </c>
      <c r="O43" s="19">
        <v>91.816816816816811</v>
      </c>
      <c r="P43" s="19">
        <v>8.1831831831831838</v>
      </c>
      <c r="Q43" s="19">
        <v>95.018142235123378</v>
      </c>
      <c r="R43" s="19">
        <v>4.9818577648766329</v>
      </c>
    </row>
    <row r="44" spans="2:18" s="116" customFormat="1" ht="16.5" customHeight="1">
      <c r="B44" s="117">
        <v>0</v>
      </c>
      <c r="C44" s="14" t="s">
        <v>34</v>
      </c>
      <c r="D44" s="15">
        <v>2014</v>
      </c>
      <c r="E44" s="20">
        <v>86.906854130052722</v>
      </c>
      <c r="F44" s="20">
        <v>13.093145869947275</v>
      </c>
      <c r="G44" s="20">
        <v>94.384842519685037</v>
      </c>
      <c r="H44" s="20">
        <v>5.6151574803149602</v>
      </c>
      <c r="I44" s="20">
        <v>95.050485052464865</v>
      </c>
      <c r="J44" s="20">
        <v>4.9495149475351417</v>
      </c>
      <c r="K44" s="20">
        <v>97.41315842313098</v>
      </c>
      <c r="L44" s="20">
        <v>2.5868415768690181</v>
      </c>
      <c r="M44" s="20">
        <v>95.415647921760396</v>
      </c>
      <c r="N44" s="20">
        <v>4.5843520782396094</v>
      </c>
      <c r="O44" s="20">
        <v>90.200308166409854</v>
      </c>
      <c r="P44" s="20">
        <v>9.7996918335901384</v>
      </c>
      <c r="Q44" s="20">
        <v>94.696188870969706</v>
      </c>
      <c r="R44" s="20">
        <v>5.3038111290303025</v>
      </c>
    </row>
    <row r="45" spans="2:18" ht="8.25" customHeight="1">
      <c r="B45" s="2">
        <v>1</v>
      </c>
      <c r="C45" s="222" t="str">
        <f>'2020_B4_Berechnung_final'!B56</f>
        <v>Stat. Region Braunschweig</v>
      </c>
      <c r="D45" s="222">
        <f>'2020_B4_Berechnung_final'!C56</f>
        <v>2013</v>
      </c>
      <c r="E45" s="222">
        <f>'2020_B4_Berechnung_final'!D56</f>
        <v>87.665406427221171</v>
      </c>
      <c r="F45" s="222">
        <f>'2020_B4_Berechnung_final'!E56</f>
        <v>12.334593572778827</v>
      </c>
      <c r="G45" s="222">
        <f>'2020_B4_Berechnung_final'!F56</f>
        <v>92.291535391724437</v>
      </c>
      <c r="H45" s="222">
        <f>'2020_B4_Berechnung_final'!G56</f>
        <v>7.7084646082755723</v>
      </c>
      <c r="I45" s="224" t="str">
        <f>IFERROR('2020_B4_Berechnung_final'!H56,"-")</f>
        <v>-</v>
      </c>
      <c r="J45" s="224" t="str">
        <f>IFERROR('2020_B4_Berechnung_final'!I56,"-")</f>
        <v>-</v>
      </c>
      <c r="K45" s="222">
        <f>'2020_B4_Berechnung_final'!J56</f>
        <v>97.336365112879648</v>
      </c>
      <c r="L45" s="222">
        <f>'2020_B4_Berechnung_final'!K56</f>
        <v>2.663634887120351</v>
      </c>
      <c r="M45" s="222">
        <f>'2020_B4_Berechnung_final'!L56</f>
        <v>96.851633215269587</v>
      </c>
      <c r="N45" s="222">
        <f>'2020_B4_Berechnung_final'!M56</f>
        <v>3.1483667847304213</v>
      </c>
      <c r="O45" s="222">
        <f>'2020_B4_Berechnung_final'!N56</f>
        <v>88.047138047138048</v>
      </c>
      <c r="P45" s="222">
        <f>'2020_B4_Berechnung_final'!O56</f>
        <v>11.952861952861953</v>
      </c>
      <c r="Q45" s="222">
        <f>'2020_B4_Berechnung_final'!P56</f>
        <v>94.167852062588906</v>
      </c>
      <c r="R45" s="222">
        <f>'2020_B4_Berechnung_final'!Q56</f>
        <v>5.8321479374110954</v>
      </c>
    </row>
    <row r="46" spans="2:18" ht="8.25" customHeight="1">
      <c r="B46" s="2">
        <v>2</v>
      </c>
      <c r="C46" s="222" t="str">
        <f>'2020_B4_Berechnung_final'!B57</f>
        <v>Stat. Region Hannover</v>
      </c>
      <c r="D46" s="222">
        <f>'2020_B4_Berechnung_final'!C57</f>
        <v>2013</v>
      </c>
      <c r="E46" s="222">
        <f>'2020_B4_Berechnung_final'!D57</f>
        <v>84.060650887573956</v>
      </c>
      <c r="F46" s="222">
        <f>'2020_B4_Berechnung_final'!E57</f>
        <v>15.939349112426035</v>
      </c>
      <c r="G46" s="222">
        <f>'2020_B4_Berechnung_final'!F57</f>
        <v>91.621275232297336</v>
      </c>
      <c r="H46" s="222">
        <f>'2020_B4_Berechnung_final'!G57</f>
        <v>8.3787247677026588</v>
      </c>
      <c r="I46" s="224" t="str">
        <f>IFERROR('2020_B4_Berechnung_final'!H57,"-")</f>
        <v>-</v>
      </c>
      <c r="J46" s="224" t="str">
        <f>IFERROR('2020_B4_Berechnung_final'!I57,"-")</f>
        <v>-</v>
      </c>
      <c r="K46" s="222">
        <f>'2020_B4_Berechnung_final'!J57</f>
        <v>95.770179767359892</v>
      </c>
      <c r="L46" s="222">
        <f>'2020_B4_Berechnung_final'!K57</f>
        <v>4.2298202326401126</v>
      </c>
      <c r="M46" s="222">
        <f>'2020_B4_Berechnung_final'!L57</f>
        <v>92.695805221472568</v>
      </c>
      <c r="N46" s="222">
        <f>'2020_B4_Berechnung_final'!M57</f>
        <v>7.3041947785274273</v>
      </c>
      <c r="O46" s="222">
        <f>'2020_B4_Berechnung_final'!N57</f>
        <v>86.771844660194176</v>
      </c>
      <c r="P46" s="222">
        <f>'2020_B4_Berechnung_final'!O57</f>
        <v>13.228155339805825</v>
      </c>
      <c r="Q46" s="222">
        <f>'2020_B4_Berechnung_final'!P57</f>
        <v>92.291378515444904</v>
      </c>
      <c r="R46" s="222">
        <f>'2020_B4_Berechnung_final'!Q57</f>
        <v>7.7086214845550947</v>
      </c>
    </row>
    <row r="47" spans="2:18" ht="8.25" customHeight="1">
      <c r="B47" s="2">
        <v>3</v>
      </c>
      <c r="C47" s="222" t="str">
        <f>'2020_B4_Berechnung_final'!B58</f>
        <v>Stat. Region Lüneburg</v>
      </c>
      <c r="D47" s="222">
        <f>'2020_B4_Berechnung_final'!C58</f>
        <v>2013</v>
      </c>
      <c r="E47" s="222">
        <f>'2020_B4_Berechnung_final'!D58</f>
        <v>91.190914671577644</v>
      </c>
      <c r="F47" s="222">
        <f>'2020_B4_Berechnung_final'!E58</f>
        <v>8.8090853284223449</v>
      </c>
      <c r="G47" s="222">
        <f>'2020_B4_Berechnung_final'!F58</f>
        <v>96.96693569382974</v>
      </c>
      <c r="H47" s="222">
        <f>'2020_B4_Berechnung_final'!G58</f>
        <v>3.0330643061702682</v>
      </c>
      <c r="I47" s="224" t="str">
        <f>IFERROR('2020_B4_Berechnung_final'!H58,"-")</f>
        <v>-</v>
      </c>
      <c r="J47" s="224" t="str">
        <f>IFERROR('2020_B4_Berechnung_final'!I58,"-")</f>
        <v>-</v>
      </c>
      <c r="K47" s="222">
        <f>'2020_B4_Berechnung_final'!J58</f>
        <v>98.66909498458952</v>
      </c>
      <c r="L47" s="222">
        <f>'2020_B4_Berechnung_final'!K58</f>
        <v>1.3309050154104791</v>
      </c>
      <c r="M47" s="222">
        <f>'2020_B4_Berechnung_final'!L58</f>
        <v>98.303030303030297</v>
      </c>
      <c r="N47" s="222">
        <f>'2020_B4_Berechnung_final'!M58</f>
        <v>1.6969696969696972</v>
      </c>
      <c r="O47" s="222">
        <f>'2020_B4_Berechnung_final'!N58</f>
        <v>91.256830601092901</v>
      </c>
      <c r="P47" s="222">
        <f>'2020_B4_Berechnung_final'!O58</f>
        <v>8.7431693989071047</v>
      </c>
      <c r="Q47" s="222">
        <f>'2020_B4_Berechnung_final'!P58</f>
        <v>96.519638083487564</v>
      </c>
      <c r="R47" s="222">
        <f>'2020_B4_Berechnung_final'!Q58</f>
        <v>3.4803619165124409</v>
      </c>
    </row>
    <row r="48" spans="2:18" ht="8.25" customHeight="1">
      <c r="B48" s="2">
        <v>4</v>
      </c>
      <c r="C48" s="222" t="str">
        <f>'2020_B4_Berechnung_final'!B59</f>
        <v>Stat. Region Weser-Ems</v>
      </c>
      <c r="D48" s="222">
        <f>'2020_B4_Berechnung_final'!C59</f>
        <v>2013</v>
      </c>
      <c r="E48" s="222">
        <f>'2020_B4_Berechnung_final'!D59</f>
        <v>90.400782013685244</v>
      </c>
      <c r="F48" s="222">
        <f>'2020_B4_Berechnung_final'!E59</f>
        <v>9.5992179863147609</v>
      </c>
      <c r="G48" s="222">
        <f>'2020_B4_Berechnung_final'!F59</f>
        <v>95.600074892342263</v>
      </c>
      <c r="H48" s="222">
        <f>'2020_B4_Berechnung_final'!G59</f>
        <v>4.3999251076577419</v>
      </c>
      <c r="I48" s="224" t="str">
        <f>IFERROR('2020_B4_Berechnung_final'!H59,"-")</f>
        <v>-</v>
      </c>
      <c r="J48" s="224" t="str">
        <f>IFERROR('2020_B4_Berechnung_final'!I59,"-")</f>
        <v>-</v>
      </c>
      <c r="K48" s="222">
        <f>'2020_B4_Berechnung_final'!J59</f>
        <v>97.672680687520014</v>
      </c>
      <c r="L48" s="222">
        <f>'2020_B4_Berechnung_final'!K59</f>
        <v>2.3273193124799829</v>
      </c>
      <c r="M48" s="222">
        <f>'2020_B4_Berechnung_final'!L59</f>
        <v>98.19678557428459</v>
      </c>
      <c r="N48" s="222">
        <f>'2020_B4_Berechnung_final'!M59</f>
        <v>1.8032144257154059</v>
      </c>
      <c r="O48" s="222">
        <f>'2020_B4_Berechnung_final'!N59</f>
        <v>91.390728476821195</v>
      </c>
      <c r="P48" s="222">
        <f>'2020_B4_Berechnung_final'!O59</f>
        <v>8.6092715231788084</v>
      </c>
      <c r="Q48" s="222">
        <f>'2020_B4_Berechnung_final'!P59</f>
        <v>95.384192061635829</v>
      </c>
      <c r="R48" s="222">
        <f>'2020_B4_Berechnung_final'!Q59</f>
        <v>4.6158079383641741</v>
      </c>
    </row>
    <row r="49" spans="2:18" s="117" customFormat="1" ht="16.5" customHeight="1">
      <c r="B49" s="117">
        <v>0</v>
      </c>
      <c r="C49" s="223" t="str">
        <f>'2020_B4_Berechnung_final'!B60</f>
        <v>Niedersachsen</v>
      </c>
      <c r="D49" s="223">
        <f>'2020_B4_Berechnung_final'!C60</f>
        <v>2013</v>
      </c>
      <c r="E49" s="223">
        <f>'2020_B4_Berechnung_final'!D60</f>
        <v>88.857727582809062</v>
      </c>
      <c r="F49" s="223">
        <f>'2020_B4_Berechnung_final'!E60</f>
        <v>11.142272417190934</v>
      </c>
      <c r="G49" s="223">
        <f>'2020_B4_Berechnung_final'!F60</f>
        <v>94.575543977934416</v>
      </c>
      <c r="H49" s="223">
        <f>'2020_B4_Berechnung_final'!G60</f>
        <v>5.4244560220655842</v>
      </c>
      <c r="I49" s="224" t="str">
        <f>IFERROR('2020_B4_Berechnung_final'!H60,"-")</f>
        <v>-</v>
      </c>
      <c r="J49" s="224" t="str">
        <f>IFERROR('2020_B4_Berechnung_final'!I60,"-")</f>
        <v>-</v>
      </c>
      <c r="K49" s="223">
        <f>'2020_B4_Berechnung_final'!J60</f>
        <v>97.314984120873831</v>
      </c>
      <c r="L49" s="223">
        <f>'2020_B4_Berechnung_final'!K60</f>
        <v>2.6850158791261669</v>
      </c>
      <c r="M49" s="223">
        <f>'2020_B4_Berechnung_final'!L60</f>
        <v>95.828865537207804</v>
      </c>
      <c r="N49" s="223">
        <f>'2020_B4_Berechnung_final'!M60</f>
        <v>4.1711344627921942</v>
      </c>
      <c r="O49" s="223">
        <f>'2020_B4_Berechnung_final'!N60</f>
        <v>89.627179795550219</v>
      </c>
      <c r="P49" s="223">
        <f>'2020_B4_Berechnung_final'!O60</f>
        <v>10.372820204449789</v>
      </c>
      <c r="Q49" s="223">
        <f>'2020_B4_Berechnung_final'!P60</f>
        <v>94.635642762053592</v>
      </c>
      <c r="R49" s="223">
        <f>'2020_B4_Berechnung_final'!Q60</f>
        <v>5.3643572379464031</v>
      </c>
    </row>
    <row r="50" spans="2:18" ht="8.25" customHeight="1">
      <c r="B50" s="2">
        <v>1</v>
      </c>
      <c r="C50" s="11" t="s">
        <v>145</v>
      </c>
      <c r="D50" s="12">
        <v>2012</v>
      </c>
      <c r="E50" s="19">
        <v>87.432600580671917</v>
      </c>
      <c r="F50" s="19">
        <v>12.56739941932808</v>
      </c>
      <c r="G50" s="19">
        <v>92.855767379164263</v>
      </c>
      <c r="H50" s="19">
        <v>7.1442326208357398</v>
      </c>
      <c r="I50" s="21" t="s">
        <v>35</v>
      </c>
      <c r="J50" s="21" t="s">
        <v>35</v>
      </c>
      <c r="K50" s="19">
        <v>97.165030091859364</v>
      </c>
      <c r="L50" s="19">
        <v>2.8349699081406396</v>
      </c>
      <c r="M50" s="19">
        <v>94.611457742484404</v>
      </c>
      <c r="N50" s="19">
        <v>5.3885422575155983</v>
      </c>
      <c r="O50" s="19">
        <v>87.220447284345042</v>
      </c>
      <c r="P50" s="19">
        <v>12.779552715654951</v>
      </c>
      <c r="Q50" s="19">
        <v>93.695958790703386</v>
      </c>
      <c r="R50" s="19">
        <v>6.3040412092966207</v>
      </c>
    </row>
    <row r="51" spans="2:18" ht="8.25" customHeight="1">
      <c r="B51" s="2">
        <v>2</v>
      </c>
      <c r="C51" s="11" t="s">
        <v>146</v>
      </c>
      <c r="D51" s="12">
        <v>2012</v>
      </c>
      <c r="E51" s="19">
        <v>83.954840916866232</v>
      </c>
      <c r="F51" s="19">
        <v>16.045159083133768</v>
      </c>
      <c r="G51" s="19">
        <v>91.018922852983991</v>
      </c>
      <c r="H51" s="19">
        <v>8.9810771470160109</v>
      </c>
      <c r="I51" s="21" t="s">
        <v>35</v>
      </c>
      <c r="J51" s="21" t="s">
        <v>35</v>
      </c>
      <c r="K51" s="19">
        <v>95.382870107770842</v>
      </c>
      <c r="L51" s="19">
        <v>4.6171298922291548</v>
      </c>
      <c r="M51" s="19">
        <v>91.507135398538111</v>
      </c>
      <c r="N51" s="19">
        <v>8.4928646014618874</v>
      </c>
      <c r="O51" s="19">
        <v>83.146067415730343</v>
      </c>
      <c r="P51" s="19">
        <v>16.853932584269664</v>
      </c>
      <c r="Q51" s="19">
        <v>91.531611754229743</v>
      </c>
      <c r="R51" s="19">
        <v>8.4683882457702584</v>
      </c>
    </row>
    <row r="52" spans="2:18" ht="8.25" customHeight="1">
      <c r="B52" s="2">
        <v>3</v>
      </c>
      <c r="C52" s="11" t="s">
        <v>147</v>
      </c>
      <c r="D52" s="12">
        <v>2012</v>
      </c>
      <c r="E52" s="19">
        <v>90.391983495431774</v>
      </c>
      <c r="F52" s="19">
        <v>9.6080165045682282</v>
      </c>
      <c r="G52" s="19">
        <v>96.638874413757165</v>
      </c>
      <c r="H52" s="19">
        <v>3.3611255862428351</v>
      </c>
      <c r="I52" s="21" t="s">
        <v>35</v>
      </c>
      <c r="J52" s="21" t="s">
        <v>35</v>
      </c>
      <c r="K52" s="19">
        <v>98.426996504436687</v>
      </c>
      <c r="L52" s="19">
        <v>1.5730034955633236</v>
      </c>
      <c r="M52" s="19">
        <v>98.720292504570381</v>
      </c>
      <c r="N52" s="19">
        <v>1.2797074954296161</v>
      </c>
      <c r="O52" s="19">
        <v>89.905362776025228</v>
      </c>
      <c r="P52" s="19">
        <v>10.094637223974763</v>
      </c>
      <c r="Q52" s="19">
        <v>96.078829744006498</v>
      </c>
      <c r="R52" s="19">
        <v>3.9211702559934989</v>
      </c>
    </row>
    <row r="53" spans="2:18" ht="8.25" customHeight="1">
      <c r="B53" s="2">
        <v>4</v>
      </c>
      <c r="C53" s="11" t="s">
        <v>148</v>
      </c>
      <c r="D53" s="12">
        <v>2012</v>
      </c>
      <c r="E53" s="19">
        <v>90.007163323782237</v>
      </c>
      <c r="F53" s="19">
        <v>9.9928366762177649</v>
      </c>
      <c r="G53" s="19">
        <v>95.456582131015324</v>
      </c>
      <c r="H53" s="19">
        <v>4.543417868984676</v>
      </c>
      <c r="I53" s="21" t="s">
        <v>35</v>
      </c>
      <c r="J53" s="21" t="s">
        <v>35</v>
      </c>
      <c r="K53" s="19">
        <v>97.879487717824901</v>
      </c>
      <c r="L53" s="19">
        <v>2.1205122821750999</v>
      </c>
      <c r="M53" s="19">
        <v>98.545861297539147</v>
      </c>
      <c r="N53" s="19">
        <v>1.4541387024608501</v>
      </c>
      <c r="O53" s="19">
        <v>89.977728285077944</v>
      </c>
      <c r="P53" s="19">
        <v>10.022271714922049</v>
      </c>
      <c r="Q53" s="19">
        <v>95.143517888722613</v>
      </c>
      <c r="R53" s="19">
        <v>4.8564821112773773</v>
      </c>
    </row>
    <row r="54" spans="2:18" s="116" customFormat="1" ht="16.5" customHeight="1">
      <c r="B54" s="117">
        <v>0</v>
      </c>
      <c r="C54" s="14" t="s">
        <v>34</v>
      </c>
      <c r="D54" s="15">
        <v>2012</v>
      </c>
      <c r="E54" s="20">
        <v>88.428481587589971</v>
      </c>
      <c r="F54" s="20">
        <v>11.571518412410034</v>
      </c>
      <c r="G54" s="20">
        <v>94.326493624182788</v>
      </c>
      <c r="H54" s="20">
        <v>5.6735063758172046</v>
      </c>
      <c r="I54" s="22" t="s">
        <v>35</v>
      </c>
      <c r="J54" s="22" t="s">
        <v>35</v>
      </c>
      <c r="K54" s="20">
        <v>97.180070420340883</v>
      </c>
      <c r="L54" s="20">
        <v>2.8199295796591155</v>
      </c>
      <c r="M54" s="20">
        <v>94.663606369244008</v>
      </c>
      <c r="N54" s="20">
        <v>5.3363936307559889</v>
      </c>
      <c r="O54" s="20">
        <v>87.618516452872285</v>
      </c>
      <c r="P54" s="20">
        <v>12.38148354712772</v>
      </c>
      <c r="Q54" s="20">
        <v>94.161099033678965</v>
      </c>
      <c r="R54" s="20">
        <v>5.8389009663210372</v>
      </c>
    </row>
    <row r="55" spans="2:18" ht="8.25" customHeight="1">
      <c r="B55" s="2">
        <v>1</v>
      </c>
      <c r="C55" s="222" t="str">
        <f>'2020_B4_Berechnung_final'!B51</f>
        <v>Stat. Region Braunschweig</v>
      </c>
      <c r="D55" s="222">
        <f>'2020_B4_Berechnung_final'!C51</f>
        <v>2011</v>
      </c>
      <c r="E55" s="222">
        <f>'2020_B4_Berechnung_final'!D51</f>
        <v>87.360308285163782</v>
      </c>
      <c r="F55" s="222">
        <f>'2020_B4_Berechnung_final'!E51</f>
        <v>12.639691714836223</v>
      </c>
      <c r="G55" s="222">
        <f>'2020_B4_Berechnung_final'!F51</f>
        <v>89.183673469387756</v>
      </c>
      <c r="H55" s="222">
        <f>'2020_B4_Berechnung_final'!G51</f>
        <v>10.816326530612246</v>
      </c>
      <c r="I55" s="224" t="str">
        <f>IFERROR('2020_B4_Berechnung_final'!H51,"-")</f>
        <v>-</v>
      </c>
      <c r="J55" s="224" t="str">
        <f>IFERROR('2020_B4_Berechnung_final'!I51,"-")</f>
        <v>-</v>
      </c>
      <c r="K55" s="222">
        <f>'2020_B4_Berechnung_final'!J51</f>
        <v>94.222689075630257</v>
      </c>
      <c r="L55" s="222">
        <f>'2020_B4_Berechnung_final'!K51</f>
        <v>2.8361344537815127</v>
      </c>
      <c r="M55" s="222">
        <f>'2020_B4_Berechnung_final'!L51</f>
        <v>94.8072383949646</v>
      </c>
      <c r="N55" s="222">
        <f>'2020_B4_Berechnung_final'!M51</f>
        <v>5.1927616050354048</v>
      </c>
      <c r="O55" s="222">
        <f>'2020_B4_Berechnung_final'!N51</f>
        <v>83.2</v>
      </c>
      <c r="P55" s="222">
        <f>'2020_B4_Berechnung_final'!O51</f>
        <v>16.8</v>
      </c>
      <c r="Q55" s="222">
        <f>'2020_B4_Berechnung_final'!P51</f>
        <v>93.619019665394774</v>
      </c>
      <c r="R55" s="222">
        <f>'2020_B4_Berechnung_final'!Q51</f>
        <v>6.3809803346052245</v>
      </c>
    </row>
    <row r="56" spans="2:18" ht="8.25" customHeight="1">
      <c r="B56" s="2">
        <v>2</v>
      </c>
      <c r="C56" s="222" t="str">
        <f>'2020_B4_Berechnung_final'!B52</f>
        <v>Stat. Region Hannover</v>
      </c>
      <c r="D56" s="222">
        <f>'2020_B4_Berechnung_final'!C52</f>
        <v>2011</v>
      </c>
      <c r="E56" s="222">
        <f>'2020_B4_Berechnung_final'!D52</f>
        <v>84.688847812692543</v>
      </c>
      <c r="F56" s="222">
        <f>'2020_B4_Berechnung_final'!E52</f>
        <v>15.311152187307457</v>
      </c>
      <c r="G56" s="222">
        <f>'2020_B4_Berechnung_final'!F52</f>
        <v>91.473859133324808</v>
      </c>
      <c r="H56" s="222">
        <f>'2020_B4_Berechnung_final'!G52</f>
        <v>8.5261408666751883</v>
      </c>
      <c r="I56" s="224" t="str">
        <f>IFERROR('2020_B4_Berechnung_final'!H52,"-")</f>
        <v>-</v>
      </c>
      <c r="J56" s="224" t="str">
        <f>IFERROR('2020_B4_Berechnung_final'!I52,"-")</f>
        <v>-</v>
      </c>
      <c r="K56" s="222">
        <f>'2020_B4_Berechnung_final'!J52</f>
        <v>95.173766205469008</v>
      </c>
      <c r="L56" s="222">
        <f>'2020_B4_Berechnung_final'!K52</f>
        <v>4.8262337945309941</v>
      </c>
      <c r="M56" s="222">
        <f>'2020_B4_Berechnung_final'!L52</f>
        <v>89.962018448182306</v>
      </c>
      <c r="N56" s="222">
        <f>'2020_B4_Berechnung_final'!M52</f>
        <v>10.037981551817689</v>
      </c>
      <c r="O56" s="222">
        <f>'2020_B4_Berechnung_final'!N52</f>
        <v>81.226053639846739</v>
      </c>
      <c r="P56" s="222">
        <f>'2020_B4_Berechnung_final'!O52</f>
        <v>18.773946360153257</v>
      </c>
      <c r="Q56" s="222">
        <f>'2020_B4_Berechnung_final'!P52</f>
        <v>91.406959152798791</v>
      </c>
      <c r="R56" s="222">
        <f>'2020_B4_Berechnung_final'!Q52</f>
        <v>8.5930408472012108</v>
      </c>
    </row>
    <row r="57" spans="2:18" ht="8.25" customHeight="1">
      <c r="B57" s="2">
        <v>3</v>
      </c>
      <c r="C57" s="222" t="str">
        <f>'2020_B4_Berechnung_final'!B53</f>
        <v>Stat. Region Lüneburg</v>
      </c>
      <c r="D57" s="222">
        <f>'2020_B4_Berechnung_final'!C53</f>
        <v>2011</v>
      </c>
      <c r="E57" s="222">
        <f>'2020_B4_Berechnung_final'!D53</f>
        <v>90.789818945158757</v>
      </c>
      <c r="F57" s="222">
        <f>'2020_B4_Berechnung_final'!E53</f>
        <v>9.2101810548412484</v>
      </c>
      <c r="G57" s="222">
        <f>'2020_B4_Berechnung_final'!F53</f>
        <v>96.461481754515304</v>
      </c>
      <c r="H57" s="222">
        <f>'2020_B4_Berechnung_final'!G53</f>
        <v>3.5385182454847035</v>
      </c>
      <c r="I57" s="224" t="str">
        <f>IFERROR('2020_B4_Berechnung_final'!H53,"-")</f>
        <v>-</v>
      </c>
      <c r="J57" s="224" t="str">
        <f>IFERROR('2020_B4_Berechnung_final'!I53,"-")</f>
        <v>-</v>
      </c>
      <c r="K57" s="222">
        <f>'2020_B4_Berechnung_final'!J53</f>
        <v>98.211972013474991</v>
      </c>
      <c r="L57" s="222">
        <f>'2020_B4_Berechnung_final'!K53</f>
        <v>1.7880279865250066</v>
      </c>
      <c r="M57" s="222">
        <f>'2020_B4_Berechnung_final'!L53</f>
        <v>99.739583333333343</v>
      </c>
      <c r="N57" s="222">
        <f>'2020_B4_Berechnung_final'!M53</f>
        <v>0.26041666666666663</v>
      </c>
      <c r="O57" s="222">
        <f>'2020_B4_Berechnung_final'!N53</f>
        <v>87.878787878787875</v>
      </c>
      <c r="P57" s="222">
        <f>'2020_B4_Berechnung_final'!O53</f>
        <v>12.121212121212121</v>
      </c>
      <c r="Q57" s="222">
        <f>'2020_B4_Berechnung_final'!P53</f>
        <v>95.844781875150645</v>
      </c>
      <c r="R57" s="222">
        <f>'2020_B4_Berechnung_final'!Q53</f>
        <v>4.1552181248493616</v>
      </c>
    </row>
    <row r="58" spans="2:18" ht="8.25" customHeight="1">
      <c r="B58" s="2">
        <v>4</v>
      </c>
      <c r="C58" s="222" t="str">
        <f>'2020_B4_Berechnung_final'!B54</f>
        <v>Stat. Region Weser-Ems</v>
      </c>
      <c r="D58" s="222">
        <f>'2020_B4_Berechnung_final'!C54</f>
        <v>2011</v>
      </c>
      <c r="E58" s="222">
        <f>'2020_B4_Berechnung_final'!D54</f>
        <v>89.929357647445372</v>
      </c>
      <c r="F58" s="222">
        <f>'2020_B4_Berechnung_final'!E54</f>
        <v>10.070642352554625</v>
      </c>
      <c r="G58" s="222">
        <f>'2020_B4_Berechnung_final'!F54</f>
        <v>95.459157787924909</v>
      </c>
      <c r="H58" s="222">
        <f>'2020_B4_Berechnung_final'!G54</f>
        <v>4.5408422120750886</v>
      </c>
      <c r="I58" s="224" t="str">
        <f>IFERROR('2020_B4_Berechnung_final'!H54,"-")</f>
        <v>-</v>
      </c>
      <c r="J58" s="224" t="str">
        <f>IFERROR('2020_B4_Berechnung_final'!I54,"-")</f>
        <v>-</v>
      </c>
      <c r="K58" s="222">
        <f>'2020_B4_Berechnung_final'!J54</f>
        <v>97.569513902780557</v>
      </c>
      <c r="L58" s="222">
        <f>'2020_B4_Berechnung_final'!K54</f>
        <v>2.4304860972194442</v>
      </c>
      <c r="M58" s="222">
        <f>'2020_B4_Berechnung_final'!L54</f>
        <v>98.557692307692307</v>
      </c>
      <c r="N58" s="222">
        <f>'2020_B4_Berechnung_final'!M54</f>
        <v>1.4423076923076923</v>
      </c>
      <c r="O58" s="222">
        <f>'2020_B4_Berechnung_final'!N54</f>
        <v>89.026162790697668</v>
      </c>
      <c r="P58" s="222">
        <f>'2020_B4_Berechnung_final'!O54</f>
        <v>10.973837209302326</v>
      </c>
      <c r="Q58" s="222">
        <f>'2020_B4_Berechnung_final'!P54</f>
        <v>94.909410272257105</v>
      </c>
      <c r="R58" s="222">
        <f>'2020_B4_Berechnung_final'!Q54</f>
        <v>5.0905897277429011</v>
      </c>
    </row>
    <row r="59" spans="2:18" s="117" customFormat="1" ht="16.5" customHeight="1">
      <c r="B59" s="117">
        <v>0</v>
      </c>
      <c r="C59" s="223" t="str">
        <f>'2020_B4_Berechnung_final'!B55</f>
        <v>Niedersachsen</v>
      </c>
      <c r="D59" s="223">
        <f>'2020_B4_Berechnung_final'!C55</f>
        <v>2011</v>
      </c>
      <c r="E59" s="223">
        <f>'2020_B4_Berechnung_final'!D55</f>
        <v>88.63333121545206</v>
      </c>
      <c r="F59" s="223">
        <f>'2020_B4_Berechnung_final'!E55</f>
        <v>11.366668784547938</v>
      </c>
      <c r="G59" s="223">
        <f>'2020_B4_Berechnung_final'!F55</f>
        <v>94.383390756801717</v>
      </c>
      <c r="H59" s="223">
        <f>'2020_B4_Berechnung_final'!G55</f>
        <v>5.6166092431982895</v>
      </c>
      <c r="I59" s="224" t="str">
        <f>IFERROR('2020_B4_Berechnung_final'!H55,"-")</f>
        <v>-</v>
      </c>
      <c r="J59" s="224" t="str">
        <f>IFERROR('2020_B4_Berechnung_final'!I55,"-")</f>
        <v>-</v>
      </c>
      <c r="K59" s="223">
        <f>'2020_B4_Berechnung_final'!J55</f>
        <v>96.981435680443397</v>
      </c>
      <c r="L59" s="223">
        <f>'2020_B4_Berechnung_final'!K55</f>
        <v>3.0185643195566016</v>
      </c>
      <c r="M59" s="223">
        <f>'2020_B4_Berechnung_final'!L55</f>
        <v>94.489301574485268</v>
      </c>
      <c r="N59" s="223">
        <f>'2020_B4_Berechnung_final'!M55</f>
        <v>5.5106984255147351</v>
      </c>
      <c r="O59" s="223">
        <f>'2020_B4_Berechnung_final'!N55</f>
        <v>85.660781166399147</v>
      </c>
      <c r="P59" s="223">
        <f>'2020_B4_Berechnung_final'!O55</f>
        <v>14.339218833600857</v>
      </c>
      <c r="Q59" s="223">
        <f>'2020_B4_Berechnung_final'!P55</f>
        <v>93.997250649152292</v>
      </c>
      <c r="R59" s="223">
        <f>'2020_B4_Berechnung_final'!Q55</f>
        <v>6.0027493508477168</v>
      </c>
    </row>
    <row r="60" spans="2:18" ht="8.25" customHeight="1">
      <c r="B60" s="2">
        <v>1</v>
      </c>
      <c r="C60" s="11" t="s">
        <v>145</v>
      </c>
      <c r="D60" s="12">
        <v>2010</v>
      </c>
      <c r="E60" s="23">
        <v>86.239534037131421</v>
      </c>
      <c r="F60" s="23">
        <v>13.760465962868585</v>
      </c>
      <c r="G60" s="23">
        <v>93.136738634368967</v>
      </c>
      <c r="H60" s="23">
        <v>6.8632613656310335</v>
      </c>
      <c r="I60" s="21" t="s">
        <v>35</v>
      </c>
      <c r="J60" s="21" t="s">
        <v>35</v>
      </c>
      <c r="K60" s="23">
        <v>97.029702970297024</v>
      </c>
      <c r="L60" s="23">
        <v>2.9702970297029703</v>
      </c>
      <c r="M60" s="23">
        <v>95.104333868378816</v>
      </c>
      <c r="N60" s="23">
        <v>4.8956661316211871</v>
      </c>
      <c r="O60" s="23">
        <v>83.228840125391841</v>
      </c>
      <c r="P60" s="23">
        <v>16.771159874608148</v>
      </c>
      <c r="Q60" s="23">
        <v>93.407288194045293</v>
      </c>
      <c r="R60" s="23">
        <v>6.592711805954707</v>
      </c>
    </row>
    <row r="61" spans="2:18" ht="8.25" customHeight="1">
      <c r="B61" s="2">
        <v>2</v>
      </c>
      <c r="C61" s="11" t="s">
        <v>146</v>
      </c>
      <c r="D61" s="12">
        <v>2010</v>
      </c>
      <c r="E61" s="23">
        <v>83.760941744642309</v>
      </c>
      <c r="F61" s="23">
        <v>16.239058255357683</v>
      </c>
      <c r="G61" s="23">
        <v>90.865384615384613</v>
      </c>
      <c r="H61" s="23">
        <v>9.1346153846153832</v>
      </c>
      <c r="I61" s="21" t="s">
        <v>35</v>
      </c>
      <c r="J61" s="21" t="s">
        <v>35</v>
      </c>
      <c r="K61" s="23">
        <v>95.661811272957564</v>
      </c>
      <c r="L61" s="23">
        <v>4.3381887270424313</v>
      </c>
      <c r="M61" s="23">
        <v>91.787709497206706</v>
      </c>
      <c r="N61" s="23">
        <v>8.2122905027932962</v>
      </c>
      <c r="O61" s="23">
        <v>80.323193916349808</v>
      </c>
      <c r="P61" s="23">
        <v>19.676806083650188</v>
      </c>
      <c r="Q61" s="23">
        <v>91.404594021715624</v>
      </c>
      <c r="R61" s="23">
        <v>8.5954059782843792</v>
      </c>
    </row>
    <row r="62" spans="2:18" ht="8.25" customHeight="1">
      <c r="B62" s="2">
        <v>3</v>
      </c>
      <c r="C62" s="11" t="s">
        <v>147</v>
      </c>
      <c r="D62" s="12">
        <v>2010</v>
      </c>
      <c r="E62" s="23">
        <v>90.6642259414226</v>
      </c>
      <c r="F62" s="23">
        <v>9.3357740585774067</v>
      </c>
      <c r="G62" s="23">
        <v>96.662561576354676</v>
      </c>
      <c r="H62" s="23">
        <v>3.3374384236453203</v>
      </c>
      <c r="I62" s="21" t="s">
        <v>35</v>
      </c>
      <c r="J62" s="21" t="s">
        <v>35</v>
      </c>
      <c r="K62" s="23">
        <v>98.307422266800401</v>
      </c>
      <c r="L62" s="23">
        <v>1.6925777331995988</v>
      </c>
      <c r="M62" s="23">
        <v>99.430199430199423</v>
      </c>
      <c r="N62" s="23">
        <v>0.56980056980056981</v>
      </c>
      <c r="O62" s="23">
        <v>91.290824261275276</v>
      </c>
      <c r="P62" s="23">
        <v>8.7091757387247277</v>
      </c>
      <c r="Q62" s="23">
        <v>96.07439992349623</v>
      </c>
      <c r="R62" s="23">
        <v>3.9256000765037777</v>
      </c>
    </row>
    <row r="63" spans="2:18" ht="8.25" customHeight="1">
      <c r="B63" s="2">
        <v>4</v>
      </c>
      <c r="C63" s="11" t="s">
        <v>148</v>
      </c>
      <c r="D63" s="12">
        <v>2010</v>
      </c>
      <c r="E63" s="23">
        <v>90.694263363754885</v>
      </c>
      <c r="F63" s="23">
        <v>9.3057366362451113</v>
      </c>
      <c r="G63" s="23">
        <v>95.899482129213013</v>
      </c>
      <c r="H63" s="23">
        <v>4.1005178707869936</v>
      </c>
      <c r="I63" s="21" t="s">
        <v>35</v>
      </c>
      <c r="J63" s="21" t="s">
        <v>35</v>
      </c>
      <c r="K63" s="23">
        <v>97.813688212927758</v>
      </c>
      <c r="L63" s="23">
        <v>2.1863117870722433</v>
      </c>
      <c r="M63" s="23">
        <v>98.354525056095738</v>
      </c>
      <c r="N63" s="23">
        <v>1.6454749439042633</v>
      </c>
      <c r="O63" s="23">
        <v>90.104166666666657</v>
      </c>
      <c r="P63" s="23">
        <v>9.8958333333333321</v>
      </c>
      <c r="Q63" s="23">
        <v>95.375369584779534</v>
      </c>
      <c r="R63" s="23">
        <v>4.6246304152204658</v>
      </c>
    </row>
    <row r="64" spans="2:18" s="116" customFormat="1" ht="16.5" customHeight="1">
      <c r="B64" s="117">
        <v>0</v>
      </c>
      <c r="C64" s="14" t="s">
        <v>34</v>
      </c>
      <c r="D64" s="15">
        <v>2010</v>
      </c>
      <c r="E64" s="20">
        <v>88.489388264669174</v>
      </c>
      <c r="F64" s="20">
        <v>11.510611735330837</v>
      </c>
      <c r="G64" s="20">
        <v>94.471647926490149</v>
      </c>
      <c r="H64" s="20">
        <v>5.5283520735098541</v>
      </c>
      <c r="I64" s="22" t="s">
        <v>35</v>
      </c>
      <c r="J64" s="22" t="s">
        <v>35</v>
      </c>
      <c r="K64" s="20">
        <v>97.186073059360737</v>
      </c>
      <c r="L64" s="20">
        <v>2.8139269406392695</v>
      </c>
      <c r="M64" s="20">
        <v>95.088907705334464</v>
      </c>
      <c r="N64" s="20">
        <v>4.9110922946655373</v>
      </c>
      <c r="O64" s="20">
        <v>86.320369866739185</v>
      </c>
      <c r="P64" s="20">
        <v>13.679630133260812</v>
      </c>
      <c r="Q64" s="20">
        <v>94.171484142849422</v>
      </c>
      <c r="R64" s="20">
        <v>5.8285158571505757</v>
      </c>
    </row>
    <row r="65" spans="2:18" ht="8.25" customHeight="1">
      <c r="B65" s="2">
        <v>1</v>
      </c>
      <c r="C65" s="11" t="s">
        <v>145</v>
      </c>
      <c r="D65" s="12">
        <v>2005</v>
      </c>
      <c r="E65" s="19">
        <v>86.913463805706201</v>
      </c>
      <c r="F65" s="19">
        <v>13.086536194293799</v>
      </c>
      <c r="G65" s="19">
        <v>93.560314281312586</v>
      </c>
      <c r="H65" s="19">
        <v>6.4396857186874126</v>
      </c>
      <c r="I65" s="21" t="s">
        <v>35</v>
      </c>
      <c r="J65" s="21" t="s">
        <v>35</v>
      </c>
      <c r="K65" s="19">
        <v>96.894803548795949</v>
      </c>
      <c r="L65" s="19">
        <v>3.1051964512040557</v>
      </c>
      <c r="M65" s="19">
        <v>93.974820143884898</v>
      </c>
      <c r="N65" s="19">
        <v>6.0251798561151082</v>
      </c>
      <c r="O65" s="19">
        <v>82.465462274176403</v>
      </c>
      <c r="P65" s="19">
        <v>17.534537725823593</v>
      </c>
      <c r="Q65" s="19">
        <v>92.663769178404991</v>
      </c>
      <c r="R65" s="19">
        <v>7.3362308215950147</v>
      </c>
    </row>
    <row r="66" spans="2:18" ht="8.25" customHeight="1">
      <c r="B66" s="2">
        <v>2</v>
      </c>
      <c r="C66" s="11" t="s">
        <v>146</v>
      </c>
      <c r="D66" s="12">
        <v>2005</v>
      </c>
      <c r="E66" s="19">
        <v>85.288440917864037</v>
      </c>
      <c r="F66" s="19">
        <v>14.711559082135963</v>
      </c>
      <c r="G66" s="19">
        <v>90.760604583130174</v>
      </c>
      <c r="H66" s="19">
        <v>9.2393954168698187</v>
      </c>
      <c r="I66" s="21" t="s">
        <v>35</v>
      </c>
      <c r="J66" s="21" t="s">
        <v>35</v>
      </c>
      <c r="K66" s="19">
        <v>94.035594035594045</v>
      </c>
      <c r="L66" s="19">
        <v>5.9644059644059642</v>
      </c>
      <c r="M66" s="19">
        <v>91.464891041162232</v>
      </c>
      <c r="N66" s="19">
        <v>8.5351089588377729</v>
      </c>
      <c r="O66" s="19">
        <v>77.061469265367322</v>
      </c>
      <c r="P66" s="19">
        <v>22.938530734632685</v>
      </c>
      <c r="Q66" s="19">
        <v>90.123712193305465</v>
      </c>
      <c r="R66" s="19">
        <v>9.8762878066945259</v>
      </c>
    </row>
    <row r="67" spans="2:18" ht="8.25" customHeight="1">
      <c r="B67" s="2">
        <v>3</v>
      </c>
      <c r="C67" s="11" t="s">
        <v>147</v>
      </c>
      <c r="D67" s="12">
        <v>2005</v>
      </c>
      <c r="E67" s="19">
        <v>90.577507598784194</v>
      </c>
      <c r="F67" s="19">
        <v>9.4224924012158056</v>
      </c>
      <c r="G67" s="19">
        <v>96.638340414896277</v>
      </c>
      <c r="H67" s="19">
        <v>3.3616595851037241</v>
      </c>
      <c r="I67" s="21" t="s">
        <v>35</v>
      </c>
      <c r="J67" s="21" t="s">
        <v>35</v>
      </c>
      <c r="K67" s="19">
        <v>98.081991215226935</v>
      </c>
      <c r="L67" s="19">
        <v>1.91800878477306</v>
      </c>
      <c r="M67" s="19">
        <v>100</v>
      </c>
      <c r="N67" s="24">
        <v>0</v>
      </c>
      <c r="O67" s="19">
        <v>85.654450261780099</v>
      </c>
      <c r="P67" s="19">
        <v>14.345549738219896</v>
      </c>
      <c r="Q67" s="19">
        <v>95.095870206489678</v>
      </c>
      <c r="R67" s="19">
        <v>4.9041297935103243</v>
      </c>
    </row>
    <row r="68" spans="2:18" ht="8.25" customHeight="1">
      <c r="B68" s="2">
        <v>4</v>
      </c>
      <c r="C68" s="11" t="s">
        <v>148</v>
      </c>
      <c r="D68" s="12">
        <v>2005</v>
      </c>
      <c r="E68" s="19">
        <v>92.082011780697783</v>
      </c>
      <c r="F68" s="19">
        <v>7.9179882193022202</v>
      </c>
      <c r="G68" s="19">
        <v>96.033129904097649</v>
      </c>
      <c r="H68" s="19">
        <v>3.9668700959023542</v>
      </c>
      <c r="I68" s="21" t="s">
        <v>35</v>
      </c>
      <c r="J68" s="21" t="s">
        <v>35</v>
      </c>
      <c r="K68" s="19">
        <v>97.395491354782223</v>
      </c>
      <c r="L68" s="19">
        <v>2.6045086452177721</v>
      </c>
      <c r="M68" s="19">
        <v>96.677215189873422</v>
      </c>
      <c r="N68" s="19">
        <v>3.3227848101265818</v>
      </c>
      <c r="O68" s="19">
        <v>86.965699208443269</v>
      </c>
      <c r="P68" s="19">
        <v>13.034300791556728</v>
      </c>
      <c r="Q68" s="19">
        <v>94.842767295597483</v>
      </c>
      <c r="R68" s="19">
        <v>5.1572327044025164</v>
      </c>
    </row>
    <row r="69" spans="2:18" s="116" customFormat="1" ht="16.5" customHeight="1">
      <c r="B69" s="117">
        <v>0</v>
      </c>
      <c r="C69" s="14" t="s">
        <v>34</v>
      </c>
      <c r="D69" s="15">
        <v>2005</v>
      </c>
      <c r="E69" s="20">
        <v>89.423365487674161</v>
      </c>
      <c r="F69" s="20">
        <v>10.57663451232583</v>
      </c>
      <c r="G69" s="20">
        <v>94.43907864313519</v>
      </c>
      <c r="H69" s="20">
        <v>5.560921356864811</v>
      </c>
      <c r="I69" s="22" t="s">
        <v>35</v>
      </c>
      <c r="J69" s="22" t="s">
        <v>35</v>
      </c>
      <c r="K69" s="20">
        <v>96.53222643482809</v>
      </c>
      <c r="L69" s="20">
        <v>3.4677735651719179</v>
      </c>
      <c r="M69" s="20">
        <v>94.244935543278089</v>
      </c>
      <c r="N69" s="20">
        <v>5.7550644567219154</v>
      </c>
      <c r="O69" s="20">
        <v>83.317073170731703</v>
      </c>
      <c r="P69" s="20">
        <v>16.682926829268293</v>
      </c>
      <c r="Q69" s="20">
        <v>93.303402113636139</v>
      </c>
      <c r="R69" s="20">
        <v>6.69659788636387</v>
      </c>
    </row>
    <row r="70" spans="2:18" ht="8.25" customHeight="1">
      <c r="B70" s="217"/>
      <c r="C70" s="17"/>
      <c r="D70" s="26"/>
      <c r="E70" s="26"/>
      <c r="F70" s="26"/>
      <c r="G70" s="26"/>
      <c r="H70" s="27"/>
      <c r="I70" s="27"/>
      <c r="J70" s="26"/>
      <c r="K70" s="26"/>
      <c r="L70" s="26"/>
      <c r="M70" s="26"/>
      <c r="N70" s="26"/>
      <c r="O70" s="26"/>
      <c r="P70" s="26"/>
      <c r="Q70" s="26"/>
    </row>
    <row r="71" spans="2:18" ht="8.25" customHeight="1">
      <c r="B71" s="218"/>
      <c r="C71" s="219" t="s">
        <v>119</v>
      </c>
      <c r="D71" s="28"/>
      <c r="E71" s="28"/>
      <c r="F71" s="28"/>
      <c r="G71" s="28"/>
      <c r="H71" s="28"/>
      <c r="I71" s="28"/>
      <c r="J71" s="28"/>
      <c r="K71" s="26"/>
      <c r="L71" s="26"/>
      <c r="M71" s="26"/>
      <c r="N71" s="26"/>
      <c r="O71" s="26"/>
      <c r="P71" s="26"/>
      <c r="Q71" s="26"/>
    </row>
    <row r="72" spans="2:18" ht="8.25" customHeight="1">
      <c r="C72" s="28" t="s">
        <v>36</v>
      </c>
      <c r="D72" s="28"/>
      <c r="E72" s="28"/>
      <c r="F72" s="28"/>
      <c r="G72" s="28"/>
      <c r="H72" s="28"/>
      <c r="I72" s="28"/>
      <c r="J72" s="28"/>
      <c r="K72" s="26"/>
      <c r="L72" s="26"/>
      <c r="M72" s="26"/>
      <c r="N72" s="26"/>
      <c r="O72" s="26"/>
      <c r="P72" s="26"/>
      <c r="Q72" s="26"/>
    </row>
    <row r="73" spans="2:18" ht="8.25" customHeight="1">
      <c r="C73" s="211"/>
      <c r="D73" s="211"/>
      <c r="E73" s="211"/>
      <c r="F73" s="211"/>
      <c r="G73" s="30"/>
      <c r="H73" s="211"/>
      <c r="I73" s="211"/>
      <c r="J73" s="211"/>
      <c r="K73" s="26"/>
      <c r="L73" s="26"/>
      <c r="M73" s="26"/>
      <c r="N73" s="26"/>
      <c r="O73" s="26"/>
      <c r="P73" s="26"/>
      <c r="Q73" s="26"/>
    </row>
    <row r="74" spans="2:18" ht="8.25" customHeight="1">
      <c r="C74" s="31" t="s">
        <v>37</v>
      </c>
      <c r="D74" s="31"/>
      <c r="E74" s="31"/>
      <c r="F74" s="31"/>
      <c r="G74" s="31"/>
      <c r="H74" s="31"/>
      <c r="I74" s="31"/>
      <c r="J74" s="31"/>
      <c r="K74" s="26"/>
      <c r="L74" s="26"/>
      <c r="M74" s="26"/>
      <c r="N74" s="26"/>
      <c r="O74" s="26"/>
      <c r="P74" s="26"/>
      <c r="Q74" s="26"/>
    </row>
    <row r="75" spans="2:18" ht="8.25" customHeight="1"/>
    <row r="76" spans="2:18" ht="8.25" customHeight="1"/>
    <row r="77" spans="2:18" ht="8.25" customHeight="1"/>
    <row r="78" spans="2:18" ht="8.25" customHeight="1">
      <c r="B78" s="227" t="s">
        <v>117</v>
      </c>
      <c r="C78" s="237" t="s">
        <v>2</v>
      </c>
      <c r="D78" s="233" t="s">
        <v>3</v>
      </c>
      <c r="E78" s="236" t="s">
        <v>4</v>
      </c>
      <c r="F78" s="236"/>
      <c r="G78" s="236" t="s">
        <v>5</v>
      </c>
      <c r="H78" s="236"/>
      <c r="I78" s="242" t="s">
        <v>6</v>
      </c>
      <c r="J78" s="242"/>
      <c r="K78" s="236" t="s">
        <v>7</v>
      </c>
      <c r="L78" s="236"/>
      <c r="M78" s="236" t="s">
        <v>8</v>
      </c>
      <c r="N78" s="236"/>
      <c r="O78" s="236" t="s">
        <v>9</v>
      </c>
      <c r="P78" s="236"/>
      <c r="Q78" s="236" t="s">
        <v>10</v>
      </c>
      <c r="R78" s="240"/>
    </row>
    <row r="79" spans="2:18" ht="8.25" customHeight="1">
      <c r="B79" s="228"/>
      <c r="C79" s="238"/>
      <c r="D79" s="234"/>
      <c r="E79" s="209" t="s">
        <v>11</v>
      </c>
      <c r="F79" s="210" t="s">
        <v>12</v>
      </c>
      <c r="G79" s="209" t="s">
        <v>11</v>
      </c>
      <c r="H79" s="210" t="s">
        <v>12</v>
      </c>
      <c r="I79" s="209" t="s">
        <v>11</v>
      </c>
      <c r="J79" s="210" t="s">
        <v>12</v>
      </c>
      <c r="K79" s="209" t="s">
        <v>11</v>
      </c>
      <c r="L79" s="210" t="s">
        <v>12</v>
      </c>
      <c r="M79" s="209" t="s">
        <v>11</v>
      </c>
      <c r="N79" s="210" t="s">
        <v>12</v>
      </c>
      <c r="O79" s="209" t="s">
        <v>11</v>
      </c>
      <c r="P79" s="210" t="s">
        <v>12</v>
      </c>
      <c r="Q79" s="209" t="s">
        <v>11</v>
      </c>
      <c r="R79" s="212" t="s">
        <v>12</v>
      </c>
    </row>
    <row r="80" spans="2:18" ht="8.25" customHeight="1">
      <c r="B80" s="229"/>
      <c r="C80" s="239"/>
      <c r="D80" s="235"/>
      <c r="E80" s="240" t="s">
        <v>38</v>
      </c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</row>
    <row r="81" spans="2:18" ht="8.25" customHeight="1">
      <c r="B81" s="9" t="s">
        <v>14</v>
      </c>
      <c r="C81" s="10" t="s">
        <v>15</v>
      </c>
      <c r="D81" s="10">
        <v>3</v>
      </c>
      <c r="E81" s="10">
        <v>4</v>
      </c>
      <c r="F81" s="10">
        <v>5</v>
      </c>
      <c r="G81" s="10">
        <v>6</v>
      </c>
      <c r="H81" s="10">
        <v>7</v>
      </c>
      <c r="I81" s="10">
        <v>8</v>
      </c>
      <c r="J81" s="10">
        <v>9</v>
      </c>
      <c r="K81" s="10">
        <v>10</v>
      </c>
      <c r="L81" s="10">
        <v>11</v>
      </c>
      <c r="M81" s="10">
        <v>12</v>
      </c>
      <c r="N81" s="10">
        <v>13</v>
      </c>
      <c r="O81" s="10">
        <v>14</v>
      </c>
      <c r="P81" s="10">
        <v>15</v>
      </c>
      <c r="Q81" s="10">
        <v>16</v>
      </c>
      <c r="R81" s="118">
        <v>17</v>
      </c>
    </row>
    <row r="82" spans="2:18" ht="8.25" customHeight="1">
      <c r="B82" s="2">
        <v>1</v>
      </c>
      <c r="C82" s="2" t="str">
        <f>'2020_B4_Berechnung_final'!B40</f>
        <v>Stat. Region Braunschweig</v>
      </c>
      <c r="D82" s="2">
        <f>'2020_B4_Berechnung_final'!C40</f>
        <v>2020</v>
      </c>
      <c r="E82" s="2">
        <f>'2020_B4_Berechnung_final'!E40</f>
        <v>832</v>
      </c>
      <c r="F82" s="2">
        <f>'2020_B4_Berechnung_final'!F40</f>
        <v>346</v>
      </c>
      <c r="G82" s="2">
        <f>'2020_B4_Berechnung_final'!H40</f>
        <v>2251</v>
      </c>
      <c r="H82" s="2">
        <f>'2020_B4_Berechnung_final'!I40</f>
        <v>282</v>
      </c>
      <c r="I82" s="2">
        <f>'2020_B4_Berechnung_final'!K40</f>
        <v>1361</v>
      </c>
      <c r="J82" s="2">
        <f>'2020_B4_Berechnung_final'!L40</f>
        <v>208</v>
      </c>
      <c r="K82" s="2">
        <f>'2020_B4_Berechnung_final'!N40</f>
        <v>5303</v>
      </c>
      <c r="L82" s="2">
        <f>'2020_B4_Berechnung_final'!O40</f>
        <v>336</v>
      </c>
      <c r="M82" s="2">
        <f>'2020_B4_Berechnung_final'!Q40</f>
        <v>2882</v>
      </c>
      <c r="N82" s="2">
        <f>'2020_B4_Berechnung_final'!R40</f>
        <v>263</v>
      </c>
      <c r="O82" s="2">
        <f>'2020_B4_Berechnung_final'!T40</f>
        <v>251</v>
      </c>
      <c r="P82" s="2">
        <f>'2020_B4_Berechnung_final'!U40</f>
        <v>31</v>
      </c>
      <c r="Q82" s="2">
        <f>'2020_B4_Berechnung_final'!W40</f>
        <v>12880</v>
      </c>
      <c r="R82" s="2">
        <f>'2020_B4_Berechnung_final'!X40</f>
        <v>1466</v>
      </c>
    </row>
    <row r="83" spans="2:18" ht="8.25" customHeight="1">
      <c r="B83" s="2">
        <v>2</v>
      </c>
      <c r="C83" s="2" t="str">
        <f>'2020_B4_Berechnung_final'!B41</f>
        <v>Stat. Region Hannover</v>
      </c>
      <c r="D83" s="2">
        <f>'2020_B4_Berechnung_final'!C41</f>
        <v>2020</v>
      </c>
      <c r="E83" s="2">
        <f>'2020_B4_Berechnung_final'!E41</f>
        <v>649</v>
      </c>
      <c r="F83" s="2">
        <f>'2020_B4_Berechnung_final'!F41</f>
        <v>303</v>
      </c>
      <c r="G83" s="2">
        <f>'2020_B4_Berechnung_final'!H41</f>
        <v>2600</v>
      </c>
      <c r="H83" s="2">
        <f>'2020_B4_Berechnung_final'!I41</f>
        <v>391</v>
      </c>
      <c r="I83" s="2">
        <f>'2020_B4_Berechnung_final'!K41</f>
        <v>2500</v>
      </c>
      <c r="J83" s="2">
        <f>'2020_B4_Berechnung_final'!L41</f>
        <v>589</v>
      </c>
      <c r="K83" s="2">
        <f>'2020_B4_Berechnung_final'!N41</f>
        <v>7718</v>
      </c>
      <c r="L83" s="2">
        <f>'2020_B4_Berechnung_final'!O41</f>
        <v>431</v>
      </c>
      <c r="M83" s="2">
        <f>'2020_B4_Berechnung_final'!Q41</f>
        <v>3862</v>
      </c>
      <c r="N83" s="2">
        <f>'2020_B4_Berechnung_final'!R41</f>
        <v>636</v>
      </c>
      <c r="O83" s="2">
        <f>'2020_B4_Berechnung_final'!T41</f>
        <v>281</v>
      </c>
      <c r="P83" s="2">
        <f>'2020_B4_Berechnung_final'!U41</f>
        <v>45</v>
      </c>
      <c r="Q83" s="2">
        <f>'2020_B4_Berechnung_final'!W41</f>
        <v>17610</v>
      </c>
      <c r="R83" s="2">
        <f>'2020_B4_Berechnung_final'!X41</f>
        <v>2395</v>
      </c>
    </row>
    <row r="84" spans="2:18" ht="8.25" customHeight="1">
      <c r="B84" s="2">
        <v>3</v>
      </c>
      <c r="C84" s="2" t="str">
        <f>'2020_B4_Berechnung_final'!B42</f>
        <v>Stat. Region Lüneburg</v>
      </c>
      <c r="D84" s="2">
        <f>'2020_B4_Berechnung_final'!C42</f>
        <v>2020</v>
      </c>
      <c r="E84" s="2">
        <f>'2020_B4_Berechnung_final'!E42</f>
        <v>758</v>
      </c>
      <c r="F84" s="2">
        <f>'2020_B4_Berechnung_final'!F42</f>
        <v>181</v>
      </c>
      <c r="G84" s="2">
        <f>'2020_B4_Berechnung_final'!H42</f>
        <v>1904</v>
      </c>
      <c r="H84" s="2">
        <f>'2020_B4_Berechnung_final'!I42</f>
        <v>176</v>
      </c>
      <c r="I84" s="2">
        <f>'2020_B4_Berechnung_final'!K42</f>
        <v>4606</v>
      </c>
      <c r="J84" s="2">
        <f>'2020_B4_Berechnung_final'!L42</f>
        <v>619</v>
      </c>
      <c r="K84" s="2">
        <f>'2020_B4_Berechnung_final'!N42</f>
        <v>6235</v>
      </c>
      <c r="L84" s="2">
        <f>'2020_B4_Berechnung_final'!O42</f>
        <v>238</v>
      </c>
      <c r="M84" s="2">
        <f>'2020_B4_Berechnung_final'!Q42</f>
        <v>1881</v>
      </c>
      <c r="N84" s="2">
        <f>'2020_B4_Berechnung_final'!R42</f>
        <v>167</v>
      </c>
      <c r="O84" s="2">
        <f>'2020_B4_Berechnung_final'!T42</f>
        <v>178</v>
      </c>
      <c r="P84" s="2">
        <f>'2020_B4_Berechnung_final'!U42</f>
        <v>6</v>
      </c>
      <c r="Q84" s="2">
        <f>'2020_B4_Berechnung_final'!W42</f>
        <v>15562</v>
      </c>
      <c r="R84" s="2">
        <f>'2020_B4_Berechnung_final'!X42</f>
        <v>1387</v>
      </c>
    </row>
    <row r="85" spans="2:18" ht="8.25" customHeight="1">
      <c r="B85" s="2">
        <v>4</v>
      </c>
      <c r="C85" s="2" t="str">
        <f>'2020_B4_Berechnung_final'!B43</f>
        <v>Stat. Region Weser-Ems</v>
      </c>
      <c r="D85" s="2">
        <f>'2020_B4_Berechnung_final'!C43</f>
        <v>2020</v>
      </c>
      <c r="E85" s="2">
        <f>'2020_B4_Berechnung_final'!E43</f>
        <v>991</v>
      </c>
      <c r="F85" s="2">
        <f>'2020_B4_Berechnung_final'!F43</f>
        <v>325</v>
      </c>
      <c r="G85" s="2">
        <f>'2020_B4_Berechnung_final'!H43</f>
        <v>2473</v>
      </c>
      <c r="H85" s="2">
        <f>'2020_B4_Berechnung_final'!I43</f>
        <v>269</v>
      </c>
      <c r="I85" s="2">
        <f>'2020_B4_Berechnung_final'!K43</f>
        <v>7108</v>
      </c>
      <c r="J85" s="2">
        <f>'2020_B4_Berechnung_final'!L43</f>
        <v>1368</v>
      </c>
      <c r="K85" s="2">
        <f>'2020_B4_Berechnung_final'!N43</f>
        <v>8180</v>
      </c>
      <c r="L85" s="2">
        <f>'2020_B4_Berechnung_final'!O43</f>
        <v>399</v>
      </c>
      <c r="M85" s="2">
        <f>'2020_B4_Berechnung_final'!Q43</f>
        <v>2826</v>
      </c>
      <c r="N85" s="2">
        <f>'2020_B4_Berechnung_final'!R43</f>
        <v>220</v>
      </c>
      <c r="O85" s="2">
        <f>'2020_B4_Berechnung_final'!T43</f>
        <v>528</v>
      </c>
      <c r="P85" s="2">
        <f>'2020_B4_Berechnung_final'!U43</f>
        <v>66</v>
      </c>
      <c r="Q85" s="2">
        <f>'2020_B4_Berechnung_final'!W43</f>
        <v>22106</v>
      </c>
      <c r="R85" s="2">
        <f>'2020_B4_Berechnung_final'!X43</f>
        <v>2647</v>
      </c>
    </row>
    <row r="86" spans="2:18" s="116" customFormat="1" ht="16.5" customHeight="1">
      <c r="B86" s="117">
        <v>0</v>
      </c>
      <c r="C86" s="117" t="str">
        <f>'2020_B4_Berechnung_final'!B44</f>
        <v>Niedersachsen</v>
      </c>
      <c r="D86" s="117">
        <f>'2020_B4_Berechnung_final'!C44</f>
        <v>2020</v>
      </c>
      <c r="E86" s="117">
        <f>'2020_B4_Berechnung_final'!E44</f>
        <v>3230</v>
      </c>
      <c r="F86" s="117">
        <f>'2020_B4_Berechnung_final'!F44</f>
        <v>1155</v>
      </c>
      <c r="G86" s="117">
        <f>'2020_B4_Berechnung_final'!H44</f>
        <v>9228</v>
      </c>
      <c r="H86" s="117">
        <f>'2020_B4_Berechnung_final'!I44</f>
        <v>1118</v>
      </c>
      <c r="I86" s="117">
        <f>'2020_B4_Berechnung_final'!K44</f>
        <v>15575</v>
      </c>
      <c r="J86" s="117">
        <f>'2020_B4_Berechnung_final'!L44</f>
        <v>2784</v>
      </c>
      <c r="K86" s="117">
        <f>'2020_B4_Berechnung_final'!N44</f>
        <v>27436</v>
      </c>
      <c r="L86" s="117">
        <f>'2020_B4_Berechnung_final'!O44</f>
        <v>1404</v>
      </c>
      <c r="M86" s="117">
        <f>'2020_B4_Berechnung_final'!Q44</f>
        <v>11451</v>
      </c>
      <c r="N86" s="117">
        <f>'2020_B4_Berechnung_final'!R44</f>
        <v>1286</v>
      </c>
      <c r="O86" s="117">
        <f>'2020_B4_Berechnung_final'!T44</f>
        <v>1238</v>
      </c>
      <c r="P86" s="117">
        <f>'2020_B4_Berechnung_final'!U44</f>
        <v>148</v>
      </c>
      <c r="Q86" s="117">
        <f>'2020_B4_Berechnung_final'!W44</f>
        <v>68158</v>
      </c>
      <c r="R86" s="117">
        <f>'2020_B4_Berechnung_final'!X44</f>
        <v>7895</v>
      </c>
    </row>
    <row r="87" spans="2:18" ht="8.25" customHeight="1">
      <c r="B87" s="2">
        <v>1</v>
      </c>
      <c r="C87" s="2" t="str">
        <f>'2020_B4_Berechnung_final'!B35</f>
        <v>Stat. Region Braunschweig</v>
      </c>
      <c r="D87" s="2">
        <f>'2020_B4_Berechnung_final'!C35</f>
        <v>2019</v>
      </c>
      <c r="E87" s="2">
        <f>'2020_B4_Berechnung_final'!E35</f>
        <v>920</v>
      </c>
      <c r="F87" s="2">
        <f>'2020_B4_Berechnung_final'!F35</f>
        <v>359</v>
      </c>
      <c r="G87" s="2">
        <f>'2020_B4_Berechnung_final'!H35</f>
        <v>2329</v>
      </c>
      <c r="H87" s="2">
        <f>'2020_B4_Berechnung_final'!I35</f>
        <v>297</v>
      </c>
      <c r="I87" s="2">
        <f>'2020_B4_Berechnung_final'!K35</f>
        <v>1426</v>
      </c>
      <c r="J87" s="2">
        <f>'2020_B4_Berechnung_final'!L35</f>
        <v>195</v>
      </c>
      <c r="K87" s="2">
        <f>'2020_B4_Berechnung_final'!N35</f>
        <v>5336</v>
      </c>
      <c r="L87" s="2">
        <f>'2020_B4_Berechnung_final'!O35</f>
        <v>261</v>
      </c>
      <c r="M87" s="2">
        <f>'2020_B4_Berechnung_final'!Q35</f>
        <v>3015</v>
      </c>
      <c r="N87" s="2">
        <f>'2020_B4_Berechnung_final'!R35</f>
        <v>214</v>
      </c>
      <c r="O87" s="2">
        <f>'2020_B4_Berechnung_final'!T35</f>
        <v>385</v>
      </c>
      <c r="P87" s="2">
        <f>'2020_B4_Berechnung_final'!U35</f>
        <v>44</v>
      </c>
      <c r="Q87" s="2">
        <f>'2020_B4_Berechnung_final'!W35</f>
        <v>13411</v>
      </c>
      <c r="R87" s="2">
        <f>'2020_B4_Berechnung_final'!X35</f>
        <v>1370</v>
      </c>
    </row>
    <row r="88" spans="2:18" ht="8.25" customHeight="1">
      <c r="B88" s="2">
        <v>2</v>
      </c>
      <c r="C88" s="2" t="str">
        <f>'2020_B4_Berechnung_final'!B36</f>
        <v>Stat. Region Hannover</v>
      </c>
      <c r="D88" s="2">
        <f>'2020_B4_Berechnung_final'!C36</f>
        <v>2019</v>
      </c>
      <c r="E88" s="2">
        <f>'2020_B4_Berechnung_final'!E36</f>
        <v>718</v>
      </c>
      <c r="F88" s="2">
        <f>'2020_B4_Berechnung_final'!F36</f>
        <v>308</v>
      </c>
      <c r="G88" s="2">
        <f>'2020_B4_Berechnung_final'!H36</f>
        <v>2703</v>
      </c>
      <c r="H88" s="2">
        <f>'2020_B4_Berechnung_final'!I36</f>
        <v>400</v>
      </c>
      <c r="I88" s="2">
        <f>'2020_B4_Berechnung_final'!K36</f>
        <v>2379</v>
      </c>
      <c r="J88" s="2">
        <f>'2020_B4_Berechnung_final'!L36</f>
        <v>588</v>
      </c>
      <c r="K88" s="2">
        <f>'2020_B4_Berechnung_final'!N36</f>
        <v>7950</v>
      </c>
      <c r="L88" s="2">
        <f>'2020_B4_Berechnung_final'!O36</f>
        <v>397</v>
      </c>
      <c r="M88" s="2">
        <f>'2020_B4_Berechnung_final'!Q36</f>
        <v>3963</v>
      </c>
      <c r="N88" s="2">
        <f>'2020_B4_Berechnung_final'!R36</f>
        <v>536</v>
      </c>
      <c r="O88" s="2">
        <f>'2020_B4_Berechnung_final'!T36</f>
        <v>512</v>
      </c>
      <c r="P88" s="2">
        <f>'2020_B4_Berechnung_final'!U36</f>
        <v>36</v>
      </c>
      <c r="Q88" s="2">
        <f>'2020_B4_Berechnung_final'!W36</f>
        <v>18225</v>
      </c>
      <c r="R88" s="2">
        <f>'2020_B4_Berechnung_final'!X36</f>
        <v>2265</v>
      </c>
    </row>
    <row r="89" spans="2:18" ht="8.25" customHeight="1">
      <c r="B89" s="2">
        <v>3</v>
      </c>
      <c r="C89" s="2" t="str">
        <f>'2020_B4_Berechnung_final'!B37</f>
        <v>Stat. Region Lüneburg</v>
      </c>
      <c r="D89" s="2">
        <f>'2020_B4_Berechnung_final'!C37</f>
        <v>2019</v>
      </c>
      <c r="E89" s="2">
        <f>'2020_B4_Berechnung_final'!E37</f>
        <v>788</v>
      </c>
      <c r="F89" s="2">
        <f>'2020_B4_Berechnung_final'!F37</f>
        <v>176</v>
      </c>
      <c r="G89" s="2">
        <f>'2020_B4_Berechnung_final'!H37</f>
        <v>2009</v>
      </c>
      <c r="H89" s="2">
        <f>'2020_B4_Berechnung_final'!I37</f>
        <v>159</v>
      </c>
      <c r="I89" s="2">
        <f>'2020_B4_Berechnung_final'!K37</f>
        <v>4863</v>
      </c>
      <c r="J89" s="2">
        <f>'2020_B4_Berechnung_final'!L37</f>
        <v>566</v>
      </c>
      <c r="K89" s="2">
        <f>'2020_B4_Berechnung_final'!N37</f>
        <v>6350</v>
      </c>
      <c r="L89" s="2">
        <f>'2020_B4_Berechnung_final'!O37</f>
        <v>187</v>
      </c>
      <c r="M89" s="2">
        <f>'2020_B4_Berechnung_final'!Q37</f>
        <v>1860</v>
      </c>
      <c r="N89" s="2">
        <f>'2020_B4_Berechnung_final'!R37</f>
        <v>129</v>
      </c>
      <c r="O89" s="2">
        <f>'2020_B4_Berechnung_final'!T37</f>
        <v>325</v>
      </c>
      <c r="P89" s="2">
        <f>'2020_B4_Berechnung_final'!U37</f>
        <v>29</v>
      </c>
      <c r="Q89" s="2">
        <f>'2020_B4_Berechnung_final'!W37</f>
        <v>16195</v>
      </c>
      <c r="R89" s="2">
        <f>'2020_B4_Berechnung_final'!X37</f>
        <v>1246</v>
      </c>
    </row>
    <row r="90" spans="2:18" ht="8.25" customHeight="1">
      <c r="B90" s="2">
        <v>4</v>
      </c>
      <c r="C90" s="2" t="str">
        <f>'2020_B4_Berechnung_final'!B38</f>
        <v>Stat. Region Weser-Ems</v>
      </c>
      <c r="D90" s="2">
        <f>'2020_B4_Berechnung_final'!C38</f>
        <v>2019</v>
      </c>
      <c r="E90" s="2">
        <f>'2020_B4_Berechnung_final'!E38</f>
        <v>1034</v>
      </c>
      <c r="F90" s="2">
        <f>'2020_B4_Berechnung_final'!F38</f>
        <v>315</v>
      </c>
      <c r="G90" s="2">
        <f>'2020_B4_Berechnung_final'!H38</f>
        <v>2791</v>
      </c>
      <c r="H90" s="2">
        <f>'2020_B4_Berechnung_final'!I38</f>
        <v>249</v>
      </c>
      <c r="I90" s="2">
        <f>'2020_B4_Berechnung_final'!K38</f>
        <v>7530</v>
      </c>
      <c r="J90" s="2">
        <f>'2020_B4_Berechnung_final'!L38</f>
        <v>1280</v>
      </c>
      <c r="K90" s="2">
        <f>'2020_B4_Berechnung_final'!N38</f>
        <v>8344</v>
      </c>
      <c r="L90" s="2">
        <f>'2020_B4_Berechnung_final'!O38</f>
        <v>304</v>
      </c>
      <c r="M90" s="2">
        <f>'2020_B4_Berechnung_final'!Q38</f>
        <v>2814</v>
      </c>
      <c r="N90" s="2">
        <f>'2020_B4_Berechnung_final'!R38</f>
        <v>189</v>
      </c>
      <c r="O90" s="2">
        <f>'2020_B4_Berechnung_final'!T38</f>
        <v>979</v>
      </c>
      <c r="P90" s="2">
        <f>'2020_B4_Berechnung_final'!U38</f>
        <v>78</v>
      </c>
      <c r="Q90" s="2">
        <f>'2020_B4_Berechnung_final'!W38</f>
        <v>23492</v>
      </c>
      <c r="R90" s="2">
        <f>'2020_B4_Berechnung_final'!X38</f>
        <v>2415</v>
      </c>
    </row>
    <row r="91" spans="2:18" s="116" customFormat="1" ht="16.5" customHeight="1">
      <c r="B91" s="117">
        <v>0</v>
      </c>
      <c r="C91" s="117" t="str">
        <f>'2020_B4_Berechnung_final'!B39</f>
        <v>Niedersachsen</v>
      </c>
      <c r="D91" s="117">
        <f>'2020_B4_Berechnung_final'!C39</f>
        <v>2019</v>
      </c>
      <c r="E91" s="117">
        <f>'2020_B4_Berechnung_final'!E39</f>
        <v>3460</v>
      </c>
      <c r="F91" s="117">
        <f>'2020_B4_Berechnung_final'!F39</f>
        <v>1158</v>
      </c>
      <c r="G91" s="117">
        <f>'2020_B4_Berechnung_final'!H39</f>
        <v>9832</v>
      </c>
      <c r="H91" s="117">
        <f>'2020_B4_Berechnung_final'!I39</f>
        <v>1105</v>
      </c>
      <c r="I91" s="117">
        <f>'2020_B4_Berechnung_final'!K39</f>
        <v>16198</v>
      </c>
      <c r="J91" s="117">
        <f>'2020_B4_Berechnung_final'!L39</f>
        <v>2629</v>
      </c>
      <c r="K91" s="117">
        <f>'2020_B4_Berechnung_final'!N39</f>
        <v>27980</v>
      </c>
      <c r="L91" s="117">
        <f>'2020_B4_Berechnung_final'!O39</f>
        <v>1149</v>
      </c>
      <c r="M91" s="117">
        <f>'2020_B4_Berechnung_final'!Q39</f>
        <v>11652</v>
      </c>
      <c r="N91" s="117">
        <f>'2020_B4_Berechnung_final'!R39</f>
        <v>1068</v>
      </c>
      <c r="O91" s="117">
        <f>'2020_B4_Berechnung_final'!T39</f>
        <v>2201</v>
      </c>
      <c r="P91" s="117">
        <f>'2020_B4_Berechnung_final'!U39</f>
        <v>187</v>
      </c>
      <c r="Q91" s="117">
        <f>'2020_B4_Berechnung_final'!W39</f>
        <v>71323</v>
      </c>
      <c r="R91" s="117">
        <f>'2020_B4_Berechnung_final'!X39</f>
        <v>7296</v>
      </c>
    </row>
    <row r="92" spans="2:18" ht="8.25" customHeight="1">
      <c r="B92" s="2">
        <v>1</v>
      </c>
      <c r="C92" s="2" t="str">
        <f>'2020_B4_Berechnung_final'!B30</f>
        <v>Stat. Region Braunschweig</v>
      </c>
      <c r="D92" s="2">
        <f>'2020_B4_Berechnung_final'!C30</f>
        <v>2018</v>
      </c>
      <c r="E92" s="2">
        <f>'2020_B4_Berechnung_final'!E30</f>
        <v>926</v>
      </c>
      <c r="F92" s="2">
        <f>'2020_B4_Berechnung_final'!F30</f>
        <v>327</v>
      </c>
      <c r="G92" s="2">
        <f>'2020_B4_Berechnung_final'!H30</f>
        <v>2369</v>
      </c>
      <c r="H92" s="2">
        <f>'2020_B4_Berechnung_final'!I30</f>
        <v>247</v>
      </c>
      <c r="I92" s="2">
        <f>'2020_B4_Berechnung_final'!K30</f>
        <v>1402</v>
      </c>
      <c r="J92" s="2">
        <f>'2020_B4_Berechnung_final'!L30</f>
        <v>198</v>
      </c>
      <c r="K92" s="2">
        <f>'2020_B4_Berechnung_final'!N30</f>
        <v>5414</v>
      </c>
      <c r="L92" s="2">
        <f>'2020_B4_Berechnung_final'!O30</f>
        <v>229</v>
      </c>
      <c r="M92" s="2">
        <f>'2020_B4_Berechnung_final'!Q30</f>
        <v>2866</v>
      </c>
      <c r="N92" s="2">
        <f>'2020_B4_Berechnung_final'!R30</f>
        <v>216</v>
      </c>
      <c r="O92" s="2">
        <f>'2020_B4_Berechnung_final'!T30</f>
        <v>311</v>
      </c>
      <c r="P92" s="2">
        <f>'2020_B4_Berechnung_final'!U30</f>
        <v>40</v>
      </c>
      <c r="Q92" s="2">
        <f>'2020_B4_Berechnung_final'!W30</f>
        <v>13370</v>
      </c>
      <c r="R92" s="2">
        <f>'2020_B4_Berechnung_final'!X30</f>
        <v>1257</v>
      </c>
    </row>
    <row r="93" spans="2:18" ht="8.25" customHeight="1">
      <c r="B93" s="2">
        <v>2</v>
      </c>
      <c r="C93" s="2" t="str">
        <f>'2020_B4_Berechnung_final'!B31</f>
        <v>Stat. Region Hannover</v>
      </c>
      <c r="D93" s="2">
        <f>'2020_B4_Berechnung_final'!C31</f>
        <v>2018</v>
      </c>
      <c r="E93" s="2">
        <f>'2020_B4_Berechnung_final'!E31</f>
        <v>877</v>
      </c>
      <c r="F93" s="2">
        <f>'2020_B4_Berechnung_final'!F31</f>
        <v>388</v>
      </c>
      <c r="G93" s="2">
        <f>'2020_B4_Berechnung_final'!H31</f>
        <v>2956</v>
      </c>
      <c r="H93" s="2">
        <f>'2020_B4_Berechnung_final'!I31</f>
        <v>471</v>
      </c>
      <c r="I93" s="2">
        <f>'2020_B4_Berechnung_final'!K31</f>
        <v>2437</v>
      </c>
      <c r="J93" s="2">
        <f>'2020_B4_Berechnung_final'!L31</f>
        <v>406</v>
      </c>
      <c r="K93" s="2">
        <f>'2020_B4_Berechnung_final'!N31</f>
        <v>7927</v>
      </c>
      <c r="L93" s="2">
        <f>'2020_B4_Berechnung_final'!O31</f>
        <v>346</v>
      </c>
      <c r="M93" s="2">
        <f>'2020_B4_Berechnung_final'!Q31</f>
        <v>3885</v>
      </c>
      <c r="N93" s="2">
        <f>'2020_B4_Berechnung_final'!R31</f>
        <v>435</v>
      </c>
      <c r="O93" s="2">
        <f>'2020_B4_Berechnung_final'!T31</f>
        <v>498</v>
      </c>
      <c r="P93" s="2">
        <f>'2020_B4_Berechnung_final'!U31</f>
        <v>43</v>
      </c>
      <c r="Q93" s="2">
        <f>'2020_B4_Berechnung_final'!W31</f>
        <v>18580</v>
      </c>
      <c r="R93" s="2">
        <f>'2020_B4_Berechnung_final'!X31</f>
        <v>2089</v>
      </c>
    </row>
    <row r="94" spans="2:18" ht="8.25" customHeight="1">
      <c r="B94" s="2">
        <v>3</v>
      </c>
      <c r="C94" s="2" t="str">
        <f>'2020_B4_Berechnung_final'!B32</f>
        <v>Stat. Region Lüneburg</v>
      </c>
      <c r="D94" s="2">
        <f>'2020_B4_Berechnung_final'!C32</f>
        <v>2018</v>
      </c>
      <c r="E94" s="2">
        <f>'2020_B4_Berechnung_final'!E32</f>
        <v>838</v>
      </c>
      <c r="F94" s="2">
        <f>'2020_B4_Berechnung_final'!F32</f>
        <v>165</v>
      </c>
      <c r="G94" s="2">
        <f>'2020_B4_Berechnung_final'!H32</f>
        <v>2107</v>
      </c>
      <c r="H94" s="2">
        <f>'2020_B4_Berechnung_final'!I32</f>
        <v>146</v>
      </c>
      <c r="I94" s="2">
        <f>'2020_B4_Berechnung_final'!K32</f>
        <v>4997</v>
      </c>
      <c r="J94" s="2">
        <f>'2020_B4_Berechnung_final'!L32</f>
        <v>546</v>
      </c>
      <c r="K94" s="2">
        <f>'2020_B4_Berechnung_final'!N32</f>
        <v>6450</v>
      </c>
      <c r="L94" s="2">
        <f>'2020_B4_Berechnung_final'!O32</f>
        <v>179</v>
      </c>
      <c r="M94" s="2">
        <f>'2020_B4_Berechnung_final'!Q32</f>
        <v>1892</v>
      </c>
      <c r="N94" s="2">
        <f>'2020_B4_Berechnung_final'!R32</f>
        <v>123</v>
      </c>
      <c r="O94" s="2">
        <f>'2020_B4_Berechnung_final'!T32</f>
        <v>292</v>
      </c>
      <c r="P94" s="2">
        <f>'2020_B4_Berechnung_final'!U32</f>
        <v>29</v>
      </c>
      <c r="Q94" s="2">
        <f>'2020_B4_Berechnung_final'!W32</f>
        <v>16616</v>
      </c>
      <c r="R94" s="2">
        <f>'2020_B4_Berechnung_final'!X32</f>
        <v>1188</v>
      </c>
    </row>
    <row r="95" spans="2:18" ht="8.25" customHeight="1">
      <c r="B95" s="2">
        <v>4</v>
      </c>
      <c r="C95" s="2" t="str">
        <f>'2020_B4_Berechnung_final'!B33</f>
        <v>Stat. Region Weser-Ems</v>
      </c>
      <c r="D95" s="2">
        <f>'2020_B4_Berechnung_final'!C33</f>
        <v>2018</v>
      </c>
      <c r="E95" s="2">
        <f>'2020_B4_Berechnung_final'!E33</f>
        <v>1230</v>
      </c>
      <c r="F95" s="2">
        <f>'2020_B4_Berechnung_final'!F33</f>
        <v>325</v>
      </c>
      <c r="G95" s="2">
        <f>'2020_B4_Berechnung_final'!H33</f>
        <v>2932</v>
      </c>
      <c r="H95" s="2">
        <f>'2020_B4_Berechnung_final'!I33</f>
        <v>260</v>
      </c>
      <c r="I95" s="2">
        <f>'2020_B4_Berechnung_final'!K33</f>
        <v>7673</v>
      </c>
      <c r="J95" s="2">
        <f>'2020_B4_Berechnung_final'!L33</f>
        <v>1064</v>
      </c>
      <c r="K95" s="2">
        <f>'2020_B4_Berechnung_final'!N33</f>
        <v>8930</v>
      </c>
      <c r="L95" s="2">
        <f>'2020_B4_Berechnung_final'!O33</f>
        <v>293</v>
      </c>
      <c r="M95" s="2">
        <f>'2020_B4_Berechnung_final'!Q33</f>
        <v>2840</v>
      </c>
      <c r="N95" s="2">
        <f>'2020_B4_Berechnung_final'!R33</f>
        <v>167</v>
      </c>
      <c r="O95" s="2">
        <f>'2020_B4_Berechnung_final'!T33</f>
        <v>754</v>
      </c>
      <c r="P95" s="2">
        <f>'2020_B4_Berechnung_final'!U33</f>
        <v>74</v>
      </c>
      <c r="Q95" s="2">
        <f>'2020_B4_Berechnung_final'!W33</f>
        <v>24359</v>
      </c>
      <c r="R95" s="2">
        <f>'2020_B4_Berechnung_final'!X33</f>
        <v>2183</v>
      </c>
    </row>
    <row r="96" spans="2:18" s="116" customFormat="1" ht="16.5" customHeight="1">
      <c r="B96" s="117">
        <v>0</v>
      </c>
      <c r="C96" s="117" t="str">
        <f>'2020_B4_Berechnung_final'!B34</f>
        <v>Niedersachsen</v>
      </c>
      <c r="D96" s="117">
        <f>'2020_B4_Berechnung_final'!C34</f>
        <v>2018</v>
      </c>
      <c r="E96" s="117">
        <f>'2020_B4_Berechnung_final'!E34</f>
        <v>3871</v>
      </c>
      <c r="F96" s="117">
        <f>'2020_B4_Berechnung_final'!F34</f>
        <v>1205</v>
      </c>
      <c r="G96" s="117">
        <f>'2020_B4_Berechnung_final'!H34</f>
        <v>10364</v>
      </c>
      <c r="H96" s="117">
        <f>'2020_B4_Berechnung_final'!I34</f>
        <v>1124</v>
      </c>
      <c r="I96" s="117">
        <f>'2020_B4_Berechnung_final'!K34</f>
        <v>16509</v>
      </c>
      <c r="J96" s="117">
        <f>'2020_B4_Berechnung_final'!L34</f>
        <v>2214</v>
      </c>
      <c r="K96" s="117">
        <f>'2020_B4_Berechnung_final'!N34</f>
        <v>28843</v>
      </c>
      <c r="L96" s="117">
        <f>'2020_B4_Berechnung_final'!O34</f>
        <v>1047</v>
      </c>
      <c r="M96" s="117">
        <f>'2020_B4_Berechnung_final'!Q34</f>
        <v>11483</v>
      </c>
      <c r="N96" s="117">
        <f>'2020_B4_Berechnung_final'!R34</f>
        <v>941</v>
      </c>
      <c r="O96" s="117">
        <f>'2020_B4_Berechnung_final'!T34</f>
        <v>1855</v>
      </c>
      <c r="P96" s="117">
        <f>'2020_B4_Berechnung_final'!U34</f>
        <v>186</v>
      </c>
      <c r="Q96" s="117">
        <f>'2020_B4_Berechnung_final'!W34</f>
        <v>72925</v>
      </c>
      <c r="R96" s="117">
        <f>'2020_B4_Berechnung_final'!X34</f>
        <v>6717</v>
      </c>
    </row>
    <row r="97" spans="2:18" ht="8.25" customHeight="1">
      <c r="B97" s="2">
        <v>1</v>
      </c>
      <c r="C97" s="2" t="str">
        <f>'2020_B4_Berechnung_final'!B25</f>
        <v>Stat. Region Braunschweig</v>
      </c>
      <c r="D97" s="2">
        <f>'2020_B4_Berechnung_final'!C25</f>
        <v>2017</v>
      </c>
      <c r="E97" s="2">
        <f>'2020_B4_Berechnung_final'!E25</f>
        <v>1003</v>
      </c>
      <c r="F97" s="2">
        <f>'2020_B4_Berechnung_final'!F25</f>
        <v>295</v>
      </c>
      <c r="G97" s="2">
        <f>'2020_B4_Berechnung_final'!H25</f>
        <v>2487</v>
      </c>
      <c r="H97" s="2">
        <f>'2020_B4_Berechnung_final'!I25</f>
        <v>257</v>
      </c>
      <c r="I97" s="2">
        <f>'2020_B4_Berechnung_final'!K25</f>
        <v>1540</v>
      </c>
      <c r="J97" s="2">
        <f>'2020_B4_Berechnung_final'!L25</f>
        <v>170</v>
      </c>
      <c r="K97" s="2">
        <f>'2020_B4_Berechnung_final'!N25</f>
        <v>5394</v>
      </c>
      <c r="L97" s="2">
        <f>'2020_B4_Berechnung_final'!O25</f>
        <v>250</v>
      </c>
      <c r="M97" s="2">
        <f>'2020_B4_Berechnung_final'!Q25</f>
        <v>2866</v>
      </c>
      <c r="N97" s="2">
        <f>'2020_B4_Berechnung_final'!R25</f>
        <v>157</v>
      </c>
      <c r="O97" s="2">
        <f>'2020_B4_Berechnung_final'!T25</f>
        <v>318</v>
      </c>
      <c r="P97" s="2">
        <f>'2020_B4_Berechnung_final'!U25</f>
        <v>39</v>
      </c>
      <c r="Q97" s="2">
        <f>'2020_B4_Berechnung_final'!W25</f>
        <v>13608</v>
      </c>
      <c r="R97" s="2">
        <f>'2020_B4_Berechnung_final'!X25</f>
        <v>1168</v>
      </c>
    </row>
    <row r="98" spans="2:18" ht="8.25" customHeight="1">
      <c r="B98" s="2">
        <v>2</v>
      </c>
      <c r="C98" s="2" t="str">
        <f>'2020_B4_Berechnung_final'!B26</f>
        <v>Stat. Region Hannover</v>
      </c>
      <c r="D98" s="2">
        <f>'2020_B4_Berechnung_final'!C26</f>
        <v>2017</v>
      </c>
      <c r="E98" s="2">
        <f>'2020_B4_Berechnung_final'!E26</f>
        <v>886</v>
      </c>
      <c r="F98" s="2">
        <f>'2020_B4_Berechnung_final'!F26</f>
        <v>338</v>
      </c>
      <c r="G98" s="2">
        <f>'2020_B4_Berechnung_final'!H26</f>
        <v>3186</v>
      </c>
      <c r="H98" s="2">
        <f>'2020_B4_Berechnung_final'!I26</f>
        <v>418</v>
      </c>
      <c r="I98" s="2">
        <f>'2020_B4_Berechnung_final'!K26</f>
        <v>2257</v>
      </c>
      <c r="J98" s="2">
        <f>'2020_B4_Berechnung_final'!L26</f>
        <v>379</v>
      </c>
      <c r="K98" s="2">
        <f>'2020_B4_Berechnung_final'!N26</f>
        <v>7922</v>
      </c>
      <c r="L98" s="2">
        <f>'2020_B4_Berechnung_final'!O26</f>
        <v>381</v>
      </c>
      <c r="M98" s="2">
        <f>'2020_B4_Berechnung_final'!Q26</f>
        <v>3899</v>
      </c>
      <c r="N98" s="2">
        <f>'2020_B4_Berechnung_final'!R26</f>
        <v>385</v>
      </c>
      <c r="O98" s="2">
        <f>'2020_B4_Berechnung_final'!T26</f>
        <v>476</v>
      </c>
      <c r="P98" s="2">
        <f>'2020_B4_Berechnung_final'!U26</f>
        <v>46</v>
      </c>
      <c r="Q98" s="2">
        <f>'2020_B4_Berechnung_final'!W26</f>
        <v>18626</v>
      </c>
      <c r="R98" s="2">
        <f>'2020_B4_Berechnung_final'!X26</f>
        <v>1947</v>
      </c>
    </row>
    <row r="99" spans="2:18" ht="8.25" customHeight="1">
      <c r="B99" s="2">
        <v>3</v>
      </c>
      <c r="C99" s="2" t="str">
        <f>'2020_B4_Berechnung_final'!B27</f>
        <v>Stat. Region Lüneburg</v>
      </c>
      <c r="D99" s="2">
        <f>'2020_B4_Berechnung_final'!C27</f>
        <v>2017</v>
      </c>
      <c r="E99" s="2">
        <f>'2020_B4_Berechnung_final'!E27</f>
        <v>840</v>
      </c>
      <c r="F99" s="2">
        <f>'2020_B4_Berechnung_final'!F27</f>
        <v>163</v>
      </c>
      <c r="G99" s="2">
        <f>'2020_B4_Berechnung_final'!H27</f>
        <v>2174</v>
      </c>
      <c r="H99" s="2">
        <f>'2020_B4_Berechnung_final'!I27</f>
        <v>138</v>
      </c>
      <c r="I99" s="2">
        <f>'2020_B4_Berechnung_final'!K27</f>
        <v>4981</v>
      </c>
      <c r="J99" s="2">
        <f>'2020_B4_Berechnung_final'!L27</f>
        <v>453</v>
      </c>
      <c r="K99" s="2">
        <f>'2020_B4_Berechnung_final'!N27</f>
        <v>6726</v>
      </c>
      <c r="L99" s="2">
        <f>'2020_B4_Berechnung_final'!O27</f>
        <v>168</v>
      </c>
      <c r="M99" s="2">
        <f>'2020_B4_Berechnung_final'!Q27</f>
        <v>1816</v>
      </c>
      <c r="N99" s="2">
        <f>'2020_B4_Berechnung_final'!R27</f>
        <v>89</v>
      </c>
      <c r="O99" s="2">
        <f>'2020_B4_Berechnung_final'!T27</f>
        <v>289</v>
      </c>
      <c r="P99" s="2">
        <f>'2020_B4_Berechnung_final'!U27</f>
        <v>20</v>
      </c>
      <c r="Q99" s="2">
        <f>'2020_B4_Berechnung_final'!W27</f>
        <v>16826</v>
      </c>
      <c r="R99" s="2">
        <f>'2020_B4_Berechnung_final'!X27</f>
        <v>1031</v>
      </c>
    </row>
    <row r="100" spans="2:18" ht="8.25" customHeight="1">
      <c r="B100" s="2">
        <v>4</v>
      </c>
      <c r="C100" s="2" t="str">
        <f>'2020_B4_Berechnung_final'!B28</f>
        <v>Stat. Region Weser-Ems</v>
      </c>
      <c r="D100" s="2">
        <f>'2020_B4_Berechnung_final'!C28</f>
        <v>2017</v>
      </c>
      <c r="E100" s="2">
        <f>'2020_B4_Berechnung_final'!E28</f>
        <v>1402</v>
      </c>
      <c r="F100" s="2">
        <f>'2020_B4_Berechnung_final'!F28</f>
        <v>275</v>
      </c>
      <c r="G100" s="2">
        <f>'2020_B4_Berechnung_final'!H28</f>
        <v>3507</v>
      </c>
      <c r="H100" s="2">
        <f>'2020_B4_Berechnung_final'!I28</f>
        <v>278</v>
      </c>
      <c r="I100" s="2">
        <f>'2020_B4_Berechnung_final'!K28</f>
        <v>7439</v>
      </c>
      <c r="J100" s="2">
        <f>'2020_B4_Berechnung_final'!L28</f>
        <v>956</v>
      </c>
      <c r="K100" s="2">
        <f>'2020_B4_Berechnung_final'!N28</f>
        <v>8876</v>
      </c>
      <c r="L100" s="2">
        <f>'2020_B4_Berechnung_final'!O28</f>
        <v>274</v>
      </c>
      <c r="M100" s="2">
        <f>'2020_B4_Berechnung_final'!Q28</f>
        <v>2706</v>
      </c>
      <c r="N100" s="2">
        <f>'2020_B4_Berechnung_final'!R28</f>
        <v>125</v>
      </c>
      <c r="O100" s="2">
        <f>'2020_B4_Berechnung_final'!T28</f>
        <v>859</v>
      </c>
      <c r="P100" s="2">
        <f>'2020_B4_Berechnung_final'!U28</f>
        <v>73</v>
      </c>
      <c r="Q100" s="2">
        <f>'2020_B4_Berechnung_final'!W28</f>
        <v>24789</v>
      </c>
      <c r="R100" s="2">
        <f>'2020_B4_Berechnung_final'!X28</f>
        <v>1981</v>
      </c>
    </row>
    <row r="101" spans="2:18" s="116" customFormat="1" ht="16.5" customHeight="1">
      <c r="B101" s="117">
        <v>0</v>
      </c>
      <c r="C101" s="117" t="str">
        <f>'2020_B4_Berechnung_final'!B29</f>
        <v>Niedersachsen</v>
      </c>
      <c r="D101" s="117">
        <f>'2020_B4_Berechnung_final'!C29</f>
        <v>2017</v>
      </c>
      <c r="E101" s="117">
        <f>'2020_B4_Berechnung_final'!E29</f>
        <v>4131</v>
      </c>
      <c r="F101" s="117">
        <f>'2020_B4_Berechnung_final'!F29</f>
        <v>1071</v>
      </c>
      <c r="G101" s="117">
        <f>'2020_B4_Berechnung_final'!H29</f>
        <v>11354</v>
      </c>
      <c r="H101" s="117">
        <f>'2020_B4_Berechnung_final'!I29</f>
        <v>1091</v>
      </c>
      <c r="I101" s="117">
        <f>'2020_B4_Berechnung_final'!K29</f>
        <v>16217</v>
      </c>
      <c r="J101" s="117">
        <f>'2020_B4_Berechnung_final'!L29</f>
        <v>1958</v>
      </c>
      <c r="K101" s="117">
        <f>'2020_B4_Berechnung_final'!N29</f>
        <v>28918</v>
      </c>
      <c r="L101" s="117">
        <f>'2020_B4_Berechnung_final'!O29</f>
        <v>1073</v>
      </c>
      <c r="M101" s="117">
        <f>'2020_B4_Berechnung_final'!Q29</f>
        <v>11287</v>
      </c>
      <c r="N101" s="117">
        <f>'2020_B4_Berechnung_final'!R29</f>
        <v>756</v>
      </c>
      <c r="O101" s="117">
        <f>'2020_B4_Berechnung_final'!T29</f>
        <v>1942</v>
      </c>
      <c r="P101" s="117">
        <f>'2020_B4_Berechnung_final'!U29</f>
        <v>178</v>
      </c>
      <c r="Q101" s="117">
        <f>'2020_B4_Berechnung_final'!W29</f>
        <v>73849</v>
      </c>
      <c r="R101" s="117">
        <f>'2020_B4_Berechnung_final'!X29</f>
        <v>6127</v>
      </c>
    </row>
    <row r="102" spans="2:18" ht="8.25" customHeight="1">
      <c r="B102" s="2">
        <v>1</v>
      </c>
      <c r="C102" s="2" t="str">
        <f>'2020_B4_Berechnung_final'!B20</f>
        <v>Stat. Region Braunschweig</v>
      </c>
      <c r="D102" s="2">
        <f>'2020_B4_Berechnung_final'!C20</f>
        <v>2016</v>
      </c>
      <c r="E102" s="2">
        <f>'2020_B4_Berechnung_final'!E20</f>
        <v>1160</v>
      </c>
      <c r="F102" s="2">
        <f>'2020_B4_Berechnung_final'!F20</f>
        <v>265</v>
      </c>
      <c r="G102" s="2">
        <f>'2020_B4_Berechnung_final'!H20</f>
        <v>2545</v>
      </c>
      <c r="H102" s="2">
        <f>'2020_B4_Berechnung_final'!I20</f>
        <v>272</v>
      </c>
      <c r="I102" s="2">
        <f>'2020_B4_Berechnung_final'!K20</f>
        <v>1433</v>
      </c>
      <c r="J102" s="2">
        <f>'2020_B4_Berechnung_final'!L20</f>
        <v>130</v>
      </c>
      <c r="K102" s="2">
        <f>'2020_B4_Berechnung_final'!N20</f>
        <v>5404</v>
      </c>
      <c r="L102" s="2">
        <f>'2020_B4_Berechnung_final'!O20</f>
        <v>218</v>
      </c>
      <c r="M102" s="2">
        <f>'2020_B4_Berechnung_final'!Q20</f>
        <v>2606</v>
      </c>
      <c r="N102" s="2">
        <f>'2020_B4_Berechnung_final'!R20</f>
        <v>107</v>
      </c>
      <c r="O102" s="2">
        <f>'2020_B4_Berechnung_final'!T20</f>
        <v>368</v>
      </c>
      <c r="P102" s="2">
        <f>'2020_B4_Berechnung_final'!U20</f>
        <v>40</v>
      </c>
      <c r="Q102" s="2">
        <f>'2020_B4_Berechnung_final'!W20</f>
        <v>13599</v>
      </c>
      <c r="R102" s="2">
        <f>'2020_B4_Berechnung_final'!X20</f>
        <v>1032</v>
      </c>
    </row>
    <row r="103" spans="2:18" ht="8.25" customHeight="1">
      <c r="B103" s="2">
        <v>2</v>
      </c>
      <c r="C103" s="2" t="str">
        <f>'2020_B4_Berechnung_final'!B21</f>
        <v>Stat. Region Hannover</v>
      </c>
      <c r="D103" s="2">
        <f>'2020_B4_Berechnung_final'!C21</f>
        <v>2016</v>
      </c>
      <c r="E103" s="2">
        <f>'2020_B4_Berechnung_final'!E21</f>
        <v>1092</v>
      </c>
      <c r="F103" s="2">
        <f>'2020_B4_Berechnung_final'!F21</f>
        <v>293</v>
      </c>
      <c r="G103" s="2">
        <f>'2020_B4_Berechnung_final'!H21</f>
        <v>3486</v>
      </c>
      <c r="H103" s="2">
        <f>'2020_B4_Berechnung_final'!I21</f>
        <v>404</v>
      </c>
      <c r="I103" s="2">
        <f>'2020_B4_Berechnung_final'!K21</f>
        <v>2140</v>
      </c>
      <c r="J103" s="2">
        <f>'2020_B4_Berechnung_final'!L21</f>
        <v>254</v>
      </c>
      <c r="K103" s="2">
        <f>'2020_B4_Berechnung_final'!N21</f>
        <v>7807</v>
      </c>
      <c r="L103" s="2">
        <f>'2020_B4_Berechnung_final'!O21</f>
        <v>290</v>
      </c>
      <c r="M103" s="2">
        <f>'2020_B4_Berechnung_final'!Q21</f>
        <v>3437</v>
      </c>
      <c r="N103" s="2">
        <f>'2020_B4_Berechnung_final'!R21</f>
        <v>281</v>
      </c>
      <c r="O103" s="2">
        <f>'2020_B4_Berechnung_final'!T21</f>
        <v>591</v>
      </c>
      <c r="P103" s="2">
        <f>'2020_B4_Berechnung_final'!U21</f>
        <v>50</v>
      </c>
      <c r="Q103" s="2">
        <f>'2020_B4_Berechnung_final'!W21</f>
        <v>18553</v>
      </c>
      <c r="R103" s="2">
        <f>'2020_B4_Berechnung_final'!X21</f>
        <v>1572</v>
      </c>
    </row>
    <row r="104" spans="2:18" ht="8.25" customHeight="1">
      <c r="B104" s="2">
        <v>3</v>
      </c>
      <c r="C104" s="2" t="str">
        <f>'2020_B4_Berechnung_final'!B22</f>
        <v>Stat. Region Lüneburg</v>
      </c>
      <c r="D104" s="2">
        <f>'2020_B4_Berechnung_final'!C22</f>
        <v>2016</v>
      </c>
      <c r="E104" s="2">
        <f>'2020_B4_Berechnung_final'!E22</f>
        <v>1002</v>
      </c>
      <c r="F104" s="2">
        <f>'2020_B4_Berechnung_final'!F22</f>
        <v>186</v>
      </c>
      <c r="G104" s="2">
        <f>'2020_B4_Berechnung_final'!H22</f>
        <v>2448</v>
      </c>
      <c r="H104" s="2">
        <f>'2020_B4_Berechnung_final'!I22</f>
        <v>152</v>
      </c>
      <c r="I104" s="2">
        <f>'2020_B4_Berechnung_final'!K22</f>
        <v>4872</v>
      </c>
      <c r="J104" s="2">
        <f>'2020_B4_Berechnung_final'!L22</f>
        <v>356</v>
      </c>
      <c r="K104" s="2">
        <f>'2020_B4_Berechnung_final'!N22</f>
        <v>6375</v>
      </c>
      <c r="L104" s="2">
        <f>'2020_B4_Berechnung_final'!O22</f>
        <v>147</v>
      </c>
      <c r="M104" s="2">
        <f>'2020_B4_Berechnung_final'!Q22</f>
        <v>1610</v>
      </c>
      <c r="N104" s="2">
        <f>'2020_B4_Berechnung_final'!R22</f>
        <v>45</v>
      </c>
      <c r="O104" s="2">
        <f>'2020_B4_Berechnung_final'!T22</f>
        <v>330</v>
      </c>
      <c r="P104" s="2">
        <f>'2020_B4_Berechnung_final'!U22</f>
        <v>25</v>
      </c>
      <c r="Q104" s="2">
        <f>'2020_B4_Berechnung_final'!W22</f>
        <v>16637</v>
      </c>
      <c r="R104" s="2">
        <f>'2020_B4_Berechnung_final'!X22</f>
        <v>911</v>
      </c>
    </row>
    <row r="105" spans="2:18" ht="8.25" customHeight="1">
      <c r="B105" s="2">
        <v>4</v>
      </c>
      <c r="C105" s="2" t="str">
        <f>'2020_B4_Berechnung_final'!B23</f>
        <v>Stat. Region Weser-Ems</v>
      </c>
      <c r="D105" s="2">
        <f>'2020_B4_Berechnung_final'!C23</f>
        <v>2016</v>
      </c>
      <c r="E105" s="2">
        <f>'2020_B4_Berechnung_final'!E23</f>
        <v>1732</v>
      </c>
      <c r="F105" s="2">
        <f>'2020_B4_Berechnung_final'!F23</f>
        <v>322</v>
      </c>
      <c r="G105" s="2">
        <f>'2020_B4_Berechnung_final'!H23</f>
        <v>4151</v>
      </c>
      <c r="H105" s="2">
        <f>'2020_B4_Berechnung_final'!I23</f>
        <v>279</v>
      </c>
      <c r="I105" s="2">
        <f>'2020_B4_Berechnung_final'!K23</f>
        <v>6651</v>
      </c>
      <c r="J105" s="2">
        <f>'2020_B4_Berechnung_final'!L23</f>
        <v>675</v>
      </c>
      <c r="K105" s="2">
        <f>'2020_B4_Berechnung_final'!N23</f>
        <v>8696</v>
      </c>
      <c r="L105" s="2">
        <f>'2020_B4_Berechnung_final'!O23</f>
        <v>228</v>
      </c>
      <c r="M105" s="2">
        <f>'2020_B4_Berechnung_final'!Q23</f>
        <v>2489</v>
      </c>
      <c r="N105" s="2">
        <f>'2020_B4_Berechnung_final'!R23</f>
        <v>114</v>
      </c>
      <c r="O105" s="2">
        <f>'2020_B4_Berechnung_final'!T23</f>
        <v>954</v>
      </c>
      <c r="P105" s="2">
        <f>'2020_B4_Berechnung_final'!U23</f>
        <v>70</v>
      </c>
      <c r="Q105" s="2">
        <f>'2020_B4_Berechnung_final'!W23</f>
        <v>24673</v>
      </c>
      <c r="R105" s="2">
        <f>'2020_B4_Berechnung_final'!X23</f>
        <v>1688</v>
      </c>
    </row>
    <row r="106" spans="2:18" s="116" customFormat="1" ht="16.5" customHeight="1">
      <c r="B106" s="117">
        <v>0</v>
      </c>
      <c r="C106" s="117" t="str">
        <f>'2020_B4_Berechnung_final'!B24</f>
        <v>Niedersachsen</v>
      </c>
      <c r="D106" s="117">
        <f>'2020_B4_Berechnung_final'!C24</f>
        <v>2016</v>
      </c>
      <c r="E106" s="117">
        <f>'2020_B4_Berechnung_final'!E24</f>
        <v>4986</v>
      </c>
      <c r="F106" s="117">
        <f>'2020_B4_Berechnung_final'!F24</f>
        <v>1066</v>
      </c>
      <c r="G106" s="117">
        <f>'2020_B4_Berechnung_final'!H24</f>
        <v>12630</v>
      </c>
      <c r="H106" s="117">
        <f>'2020_B4_Berechnung_final'!I24</f>
        <v>1107</v>
      </c>
      <c r="I106" s="117">
        <f>'2020_B4_Berechnung_final'!K24</f>
        <v>15096</v>
      </c>
      <c r="J106" s="117">
        <f>'2020_B4_Berechnung_final'!L24</f>
        <v>1415</v>
      </c>
      <c r="K106" s="117">
        <f>'2020_B4_Berechnung_final'!N24</f>
        <v>28365</v>
      </c>
      <c r="L106" s="117">
        <f>'2020_B4_Berechnung_final'!O24</f>
        <v>883</v>
      </c>
      <c r="M106" s="117">
        <f>'2020_B4_Berechnung_final'!Q24</f>
        <v>10142</v>
      </c>
      <c r="N106" s="117">
        <f>'2020_B4_Berechnung_final'!R24</f>
        <v>547</v>
      </c>
      <c r="O106" s="117">
        <f>'2020_B4_Berechnung_final'!T24</f>
        <v>2243</v>
      </c>
      <c r="P106" s="117">
        <f>'2020_B4_Berechnung_final'!U24</f>
        <v>185</v>
      </c>
      <c r="Q106" s="117">
        <f>'2020_B4_Berechnung_final'!W24</f>
        <v>73462</v>
      </c>
      <c r="R106" s="117">
        <f>'2020_B4_Berechnung_final'!X24</f>
        <v>5203</v>
      </c>
    </row>
    <row r="107" spans="2:18" ht="8.25" customHeight="1">
      <c r="B107" s="2">
        <v>1</v>
      </c>
      <c r="C107" s="2" t="str">
        <f>'2020_B4_Berechnung_final'!B15</f>
        <v>Stat. Region Braunschweig</v>
      </c>
      <c r="D107" s="2">
        <f>'2020_B4_Berechnung_final'!C15</f>
        <v>2015</v>
      </c>
      <c r="E107" s="2">
        <f>'2020_B4_Berechnung_final'!E15</f>
        <v>1215</v>
      </c>
      <c r="F107" s="2">
        <f>'2020_B4_Berechnung_final'!F15</f>
        <v>223</v>
      </c>
      <c r="G107" s="2">
        <f>'2020_B4_Berechnung_final'!H15</f>
        <v>2856</v>
      </c>
      <c r="H107" s="2">
        <f>'2020_B4_Berechnung_final'!I15</f>
        <v>209</v>
      </c>
      <c r="I107" s="2">
        <f>'2020_B4_Berechnung_final'!K15</f>
        <v>1421</v>
      </c>
      <c r="J107" s="2">
        <f>'2020_B4_Berechnung_final'!L15</f>
        <v>77</v>
      </c>
      <c r="K107" s="2">
        <f>'2020_B4_Berechnung_final'!N15</f>
        <v>5240</v>
      </c>
      <c r="L107" s="2">
        <f>'2020_B4_Berechnung_final'!O15</f>
        <v>147</v>
      </c>
      <c r="M107" s="2">
        <f>'2020_B4_Berechnung_final'!Q15</f>
        <v>2591</v>
      </c>
      <c r="N107" s="2">
        <f>'2020_B4_Berechnung_final'!R15</f>
        <v>118</v>
      </c>
      <c r="O107" s="2">
        <f>'2020_B4_Berechnung_final'!T15</f>
        <v>463</v>
      </c>
      <c r="P107" s="2">
        <f>'2020_B4_Berechnung_final'!U15</f>
        <v>54</v>
      </c>
      <c r="Q107" s="2">
        <f>'2020_B4_Berechnung_final'!W15</f>
        <v>13979</v>
      </c>
      <c r="R107" s="2">
        <f>'2020_B4_Berechnung_final'!X15</f>
        <v>828</v>
      </c>
    </row>
    <row r="108" spans="2:18" ht="8.25" customHeight="1">
      <c r="B108" s="2">
        <v>2</v>
      </c>
      <c r="C108" s="2" t="str">
        <f>'2020_B4_Berechnung_final'!B16</f>
        <v>Stat. Region Hannover</v>
      </c>
      <c r="D108" s="2">
        <f>'2020_B4_Berechnung_final'!C16</f>
        <v>2015</v>
      </c>
      <c r="E108" s="2">
        <f>'2020_B4_Berechnung_final'!E16</f>
        <v>1225</v>
      </c>
      <c r="F108" s="2">
        <f>'2020_B4_Berechnung_final'!F16</f>
        <v>309</v>
      </c>
      <c r="G108" s="2">
        <f>'2020_B4_Berechnung_final'!H16</f>
        <v>3782</v>
      </c>
      <c r="H108" s="2">
        <f>'2020_B4_Berechnung_final'!I16</f>
        <v>359</v>
      </c>
      <c r="I108" s="2">
        <f>'2020_B4_Berechnung_final'!K16</f>
        <v>2152</v>
      </c>
      <c r="J108" s="2">
        <f>'2020_B4_Berechnung_final'!L16</f>
        <v>219</v>
      </c>
      <c r="K108" s="2">
        <f>'2020_B4_Berechnung_final'!N16</f>
        <v>7832</v>
      </c>
      <c r="L108" s="2">
        <f>'2020_B4_Berechnung_final'!O16</f>
        <v>287</v>
      </c>
      <c r="M108" s="2">
        <f>'2020_B4_Berechnung_final'!Q16</f>
        <v>3205</v>
      </c>
      <c r="N108" s="2">
        <f>'2020_B4_Berechnung_final'!R16</f>
        <v>291</v>
      </c>
      <c r="O108" s="2">
        <f>'2020_B4_Berechnung_final'!T16</f>
        <v>595</v>
      </c>
      <c r="P108" s="2">
        <f>'2020_B4_Berechnung_final'!U16</f>
        <v>61</v>
      </c>
      <c r="Q108" s="2">
        <f>'2020_B4_Berechnung_final'!W16</f>
        <v>18791</v>
      </c>
      <c r="R108" s="2">
        <f>'2020_B4_Berechnung_final'!X16</f>
        <v>1526</v>
      </c>
    </row>
    <row r="109" spans="2:18" ht="8.25" customHeight="1">
      <c r="B109" s="2">
        <v>3</v>
      </c>
      <c r="C109" s="2" t="str">
        <f>'2020_B4_Berechnung_final'!B17</f>
        <v>Stat. Region Lüneburg</v>
      </c>
      <c r="D109" s="2">
        <f>'2020_B4_Berechnung_final'!C17</f>
        <v>2015</v>
      </c>
      <c r="E109" s="2">
        <f>'2020_B4_Berechnung_final'!E17</f>
        <v>1117</v>
      </c>
      <c r="F109" s="2">
        <f>'2020_B4_Berechnung_final'!F17</f>
        <v>191</v>
      </c>
      <c r="G109" s="2">
        <f>'2020_B4_Berechnung_final'!H17</f>
        <v>2824</v>
      </c>
      <c r="H109" s="2">
        <f>'2020_B4_Berechnung_final'!I17</f>
        <v>106</v>
      </c>
      <c r="I109" s="2">
        <f>'2020_B4_Berechnung_final'!K17</f>
        <v>4759</v>
      </c>
      <c r="J109" s="2">
        <f>'2020_B4_Berechnung_final'!L17</f>
        <v>257</v>
      </c>
      <c r="K109" s="2">
        <f>'2020_B4_Berechnung_final'!N17</f>
        <v>6581</v>
      </c>
      <c r="L109" s="2">
        <f>'2020_B4_Berechnung_final'!O17</f>
        <v>97</v>
      </c>
      <c r="M109" s="2">
        <f>'2020_B4_Berechnung_final'!Q17</f>
        <v>1499</v>
      </c>
      <c r="N109" s="2">
        <f>'2020_B4_Berechnung_final'!R17</f>
        <v>45</v>
      </c>
      <c r="O109" s="2">
        <f>'2020_B4_Berechnung_final'!T17</f>
        <v>431</v>
      </c>
      <c r="P109" s="2">
        <f>'2020_B4_Berechnung_final'!U17</f>
        <v>34</v>
      </c>
      <c r="Q109" s="2">
        <f>'2020_B4_Berechnung_final'!W17</f>
        <v>17211</v>
      </c>
      <c r="R109" s="2">
        <f>'2020_B4_Berechnung_final'!X17</f>
        <v>730</v>
      </c>
    </row>
    <row r="110" spans="2:18" ht="8.25" customHeight="1">
      <c r="B110" s="2">
        <v>4</v>
      </c>
      <c r="C110" s="2" t="str">
        <f>'2020_B4_Berechnung_final'!B18</f>
        <v>Stat. Region Weser-Ems</v>
      </c>
      <c r="D110" s="2">
        <f>'2020_B4_Berechnung_final'!C18</f>
        <v>2015</v>
      </c>
      <c r="E110" s="2">
        <f>'2020_B4_Berechnung_final'!E18</f>
        <v>2110</v>
      </c>
      <c r="F110" s="2">
        <f>'2020_B4_Berechnung_final'!F18</f>
        <v>343</v>
      </c>
      <c r="G110" s="2">
        <f>'2020_B4_Berechnung_final'!H18</f>
        <v>4786</v>
      </c>
      <c r="H110" s="2">
        <f>'2020_B4_Berechnung_final'!I18</f>
        <v>244</v>
      </c>
      <c r="I110" s="2">
        <f>'2020_B4_Berechnung_final'!K18</f>
        <v>6198</v>
      </c>
      <c r="J110" s="2">
        <f>'2020_B4_Berechnung_final'!L18</f>
        <v>459</v>
      </c>
      <c r="K110" s="2">
        <f>'2020_B4_Berechnung_final'!N18</f>
        <v>8818</v>
      </c>
      <c r="L110" s="2">
        <f>'2020_B4_Berechnung_final'!O18</f>
        <v>195</v>
      </c>
      <c r="M110" s="2">
        <f>'2020_B4_Berechnung_final'!Q18</f>
        <v>2723</v>
      </c>
      <c r="N110" s="2">
        <f>'2020_B4_Berechnung_final'!R18</f>
        <v>75</v>
      </c>
      <c r="O110" s="2">
        <f>'2020_B4_Berechnung_final'!T18</f>
        <v>1087</v>
      </c>
      <c r="P110" s="2">
        <f>'2020_B4_Berechnung_final'!U18</f>
        <v>79</v>
      </c>
      <c r="Q110" s="2">
        <f>'2020_B4_Berechnung_final'!W18</f>
        <v>25722</v>
      </c>
      <c r="R110" s="2">
        <f>'2020_B4_Berechnung_final'!X18</f>
        <v>1395</v>
      </c>
    </row>
    <row r="111" spans="2:18" s="116" customFormat="1" ht="16.5" customHeight="1">
      <c r="B111" s="117">
        <v>0</v>
      </c>
      <c r="C111" s="117" t="str">
        <f>'2020_B4_Berechnung_final'!B19</f>
        <v>Niedersachsen</v>
      </c>
      <c r="D111" s="117">
        <f>'2020_B4_Berechnung_final'!C19</f>
        <v>2015</v>
      </c>
      <c r="E111" s="117">
        <f>'2020_B4_Berechnung_final'!E19</f>
        <v>5667</v>
      </c>
      <c r="F111" s="117">
        <f>'2020_B4_Berechnung_final'!F19</f>
        <v>1066</v>
      </c>
      <c r="G111" s="117">
        <f>'2020_B4_Berechnung_final'!H19</f>
        <v>14248</v>
      </c>
      <c r="H111" s="117">
        <f>'2020_B4_Berechnung_final'!I19</f>
        <v>918</v>
      </c>
      <c r="I111" s="117">
        <f>'2020_B4_Berechnung_final'!K19</f>
        <v>14530</v>
      </c>
      <c r="J111" s="117">
        <f>'2020_B4_Berechnung_final'!L19</f>
        <v>1012</v>
      </c>
      <c r="K111" s="117">
        <f>'2020_B4_Berechnung_final'!N19</f>
        <v>28664</v>
      </c>
      <c r="L111" s="117">
        <f>'2020_B4_Berechnung_final'!O19</f>
        <v>726</v>
      </c>
      <c r="M111" s="117">
        <f>'2020_B4_Berechnung_final'!Q19</f>
        <v>10018</v>
      </c>
      <c r="N111" s="117">
        <f>'2020_B4_Berechnung_final'!R19</f>
        <v>529</v>
      </c>
      <c r="O111" s="117">
        <f>'2020_B4_Berechnung_final'!T19</f>
        <v>2576</v>
      </c>
      <c r="P111" s="117">
        <f>'2020_B4_Berechnung_final'!U19</f>
        <v>228</v>
      </c>
      <c r="Q111" s="117">
        <f>'2020_B4_Berechnung_final'!W19</f>
        <v>75703</v>
      </c>
      <c r="R111" s="117">
        <f>'2020_B4_Berechnung_final'!X19</f>
        <v>4479</v>
      </c>
    </row>
    <row r="112" spans="2:18" ht="8.25" customHeight="1">
      <c r="B112" s="2">
        <v>1</v>
      </c>
      <c r="C112" s="11" t="s">
        <v>145</v>
      </c>
      <c r="D112" s="12">
        <v>2014</v>
      </c>
      <c r="E112" s="24">
        <v>1525</v>
      </c>
      <c r="F112" s="24">
        <v>238</v>
      </c>
      <c r="G112" s="24">
        <v>3550</v>
      </c>
      <c r="H112" s="24">
        <v>234</v>
      </c>
      <c r="I112" s="24">
        <v>1011</v>
      </c>
      <c r="J112" s="24">
        <v>36</v>
      </c>
      <c r="K112" s="24">
        <v>5718</v>
      </c>
      <c r="L112" s="24">
        <v>165</v>
      </c>
      <c r="M112" s="24">
        <v>2354</v>
      </c>
      <c r="N112" s="24">
        <v>91</v>
      </c>
      <c r="O112" s="24">
        <v>484</v>
      </c>
      <c r="P112" s="24">
        <v>43</v>
      </c>
      <c r="Q112" s="24">
        <v>14642</v>
      </c>
      <c r="R112" s="24">
        <v>807</v>
      </c>
    </row>
    <row r="113" spans="2:18" ht="8.25" customHeight="1">
      <c r="B113" s="2">
        <v>2</v>
      </c>
      <c r="C113" s="11" t="s">
        <v>146</v>
      </c>
      <c r="D113" s="12">
        <v>2014</v>
      </c>
      <c r="E113" s="24">
        <v>1639</v>
      </c>
      <c r="F113" s="24">
        <v>310</v>
      </c>
      <c r="G113" s="24">
        <v>4372</v>
      </c>
      <c r="H113" s="24">
        <v>393</v>
      </c>
      <c r="I113" s="24">
        <v>1507</v>
      </c>
      <c r="J113" s="24">
        <v>126</v>
      </c>
      <c r="K113" s="24">
        <v>7851</v>
      </c>
      <c r="L113" s="24">
        <v>274</v>
      </c>
      <c r="M113" s="24">
        <v>3242</v>
      </c>
      <c r="N113" s="24">
        <v>258</v>
      </c>
      <c r="O113" s="24">
        <v>700</v>
      </c>
      <c r="P113" s="24">
        <v>109</v>
      </c>
      <c r="Q113" s="24">
        <v>19311</v>
      </c>
      <c r="R113" s="24">
        <v>1470</v>
      </c>
    </row>
    <row r="114" spans="2:18" ht="8.25" customHeight="1">
      <c r="B114" s="2">
        <v>3</v>
      </c>
      <c r="C114" s="11" t="s">
        <v>147</v>
      </c>
      <c r="D114" s="12">
        <v>2014</v>
      </c>
      <c r="E114" s="24">
        <v>1893</v>
      </c>
      <c r="F114" s="24">
        <v>233</v>
      </c>
      <c r="G114" s="24">
        <v>4787</v>
      </c>
      <c r="H114" s="24">
        <v>163</v>
      </c>
      <c r="I114" s="24">
        <v>2990</v>
      </c>
      <c r="J114" s="24">
        <v>120</v>
      </c>
      <c r="K114" s="24">
        <v>6681</v>
      </c>
      <c r="L114" s="24">
        <v>117</v>
      </c>
      <c r="M114" s="24">
        <v>1084</v>
      </c>
      <c r="N114" s="24">
        <v>34</v>
      </c>
      <c r="O114" s="24">
        <v>520</v>
      </c>
      <c r="P114" s="24">
        <v>57</v>
      </c>
      <c r="Q114" s="24">
        <v>17955</v>
      </c>
      <c r="R114" s="24">
        <v>724</v>
      </c>
    </row>
    <row r="115" spans="2:18" ht="8.25" customHeight="1">
      <c r="B115" s="2">
        <v>4</v>
      </c>
      <c r="C115" s="11" t="s">
        <v>148</v>
      </c>
      <c r="D115" s="12">
        <v>2014</v>
      </c>
      <c r="E115" s="24">
        <v>2855</v>
      </c>
      <c r="F115" s="24">
        <v>411</v>
      </c>
      <c r="G115" s="24">
        <v>6470</v>
      </c>
      <c r="H115" s="24">
        <v>351</v>
      </c>
      <c r="I115" s="24">
        <v>4094</v>
      </c>
      <c r="J115" s="24">
        <v>218</v>
      </c>
      <c r="K115" s="24">
        <v>8859</v>
      </c>
      <c r="L115" s="24">
        <v>217</v>
      </c>
      <c r="M115" s="24">
        <v>2686</v>
      </c>
      <c r="N115" s="24">
        <v>67</v>
      </c>
      <c r="O115" s="24">
        <v>1223</v>
      </c>
      <c r="P115" s="24">
        <v>109</v>
      </c>
      <c r="Q115" s="24">
        <v>26187</v>
      </c>
      <c r="R115" s="24">
        <v>1373</v>
      </c>
    </row>
    <row r="116" spans="2:18" s="116" customFormat="1" ht="16.5" customHeight="1">
      <c r="B116" s="117">
        <v>0</v>
      </c>
      <c r="C116" s="14" t="s">
        <v>34</v>
      </c>
      <c r="D116" s="15">
        <v>2014</v>
      </c>
      <c r="E116" s="94">
        <v>7912</v>
      </c>
      <c r="F116" s="94">
        <v>1192</v>
      </c>
      <c r="G116" s="94">
        <v>19179</v>
      </c>
      <c r="H116" s="94">
        <v>1141</v>
      </c>
      <c r="I116" s="94">
        <v>9602</v>
      </c>
      <c r="J116" s="94">
        <v>500</v>
      </c>
      <c r="K116" s="94">
        <v>29109</v>
      </c>
      <c r="L116" s="94">
        <v>773</v>
      </c>
      <c r="M116" s="94">
        <v>9366</v>
      </c>
      <c r="N116" s="94">
        <v>450</v>
      </c>
      <c r="O116" s="94">
        <v>2927</v>
      </c>
      <c r="P116" s="94">
        <v>318</v>
      </c>
      <c r="Q116" s="94">
        <v>78095</v>
      </c>
      <c r="R116" s="94">
        <v>4374</v>
      </c>
    </row>
    <row r="117" spans="2:18" ht="8.25" customHeight="1">
      <c r="B117" s="2">
        <v>1</v>
      </c>
      <c r="C117" s="2" t="str">
        <f>'2020_B4_Berechnung_final'!B10</f>
        <v>Stat. Region Braunschweig</v>
      </c>
      <c r="D117" s="2">
        <f>'2020_B4_Berechnung_final'!C10</f>
        <v>2013</v>
      </c>
      <c r="E117" s="2">
        <f>'2020_B4_Berechnung_final'!E10</f>
        <v>1855</v>
      </c>
      <c r="F117" s="2">
        <f>'2020_B4_Berechnung_final'!F10</f>
        <v>261</v>
      </c>
      <c r="G117" s="2">
        <f>'2020_B4_Berechnung_final'!H10</f>
        <v>4394</v>
      </c>
      <c r="H117" s="2">
        <f>'2020_B4_Berechnung_final'!I10</f>
        <v>367</v>
      </c>
      <c r="I117" s="225" t="str">
        <f>'2020_B4_Berechnung_final'!K10</f>
        <v>-</v>
      </c>
      <c r="J117" s="225" t="str">
        <f>'2020_B4_Berechnung_final'!L10</f>
        <v>-</v>
      </c>
      <c r="K117" s="2">
        <f>'2020_B4_Berechnung_final'!N10</f>
        <v>5993</v>
      </c>
      <c r="L117" s="2">
        <f>'2020_B4_Berechnung_final'!O10</f>
        <v>164</v>
      </c>
      <c r="M117" s="2">
        <f>'2020_B4_Berechnung_final'!Q10</f>
        <v>2461</v>
      </c>
      <c r="N117" s="2">
        <f>'2020_B4_Berechnung_final'!R10</f>
        <v>80</v>
      </c>
      <c r="O117" s="2">
        <f>'2020_B4_Berechnung_final'!T10</f>
        <v>523</v>
      </c>
      <c r="P117" s="2">
        <f>'2020_B4_Berechnung_final'!U10</f>
        <v>71</v>
      </c>
      <c r="Q117" s="2">
        <f>'2020_B4_Berechnung_final'!W10</f>
        <v>15226</v>
      </c>
      <c r="R117" s="2">
        <f>'2020_B4_Berechnung_final'!X10</f>
        <v>943</v>
      </c>
    </row>
    <row r="118" spans="2:18" ht="8.25" customHeight="1">
      <c r="B118" s="2">
        <v>2</v>
      </c>
      <c r="C118" s="2" t="str">
        <f>'2020_B4_Berechnung_final'!B11</f>
        <v>Stat. Region Hannover</v>
      </c>
      <c r="D118" s="2">
        <f>'2020_B4_Berechnung_final'!C11</f>
        <v>2013</v>
      </c>
      <c r="E118" s="2">
        <f>'2020_B4_Berechnung_final'!E11</f>
        <v>2273</v>
      </c>
      <c r="F118" s="2">
        <f>'2020_B4_Berechnung_final'!F11</f>
        <v>431</v>
      </c>
      <c r="G118" s="2">
        <f>'2020_B4_Berechnung_final'!H11</f>
        <v>5719</v>
      </c>
      <c r="H118" s="2">
        <f>'2020_B4_Berechnung_final'!I11</f>
        <v>523</v>
      </c>
      <c r="I118" s="225" t="str">
        <f>'2020_B4_Berechnung_final'!K11</f>
        <v>-</v>
      </c>
      <c r="J118" s="225" t="str">
        <f>'2020_B4_Berechnung_final'!L11</f>
        <v>-</v>
      </c>
      <c r="K118" s="2">
        <f>'2020_B4_Berechnung_final'!N11</f>
        <v>8151</v>
      </c>
      <c r="L118" s="2">
        <f>'2020_B4_Berechnung_final'!O11</f>
        <v>360</v>
      </c>
      <c r="M118" s="2">
        <f>'2020_B4_Berechnung_final'!Q11</f>
        <v>3160</v>
      </c>
      <c r="N118" s="2">
        <f>'2020_B4_Berechnung_final'!R11</f>
        <v>249</v>
      </c>
      <c r="O118" s="2">
        <f>'2020_B4_Berechnung_final'!T11</f>
        <v>715</v>
      </c>
      <c r="P118" s="2">
        <f>'2020_B4_Berechnung_final'!U11</f>
        <v>109</v>
      </c>
      <c r="Q118" s="2">
        <f>'2020_B4_Berechnung_final'!W11</f>
        <v>20018</v>
      </c>
      <c r="R118" s="2">
        <f>'2020_B4_Berechnung_final'!X11</f>
        <v>1672</v>
      </c>
    </row>
    <row r="119" spans="2:18" ht="8.25" customHeight="1">
      <c r="B119" s="2">
        <v>3</v>
      </c>
      <c r="C119" s="2" t="str">
        <f>'2020_B4_Berechnung_final'!B12</f>
        <v>Stat. Region Lüneburg</v>
      </c>
      <c r="D119" s="2">
        <f>'2020_B4_Berechnung_final'!C12</f>
        <v>2013</v>
      </c>
      <c r="E119" s="2">
        <f>'2020_B4_Berechnung_final'!E12</f>
        <v>2971</v>
      </c>
      <c r="F119" s="2">
        <f>'2020_B4_Berechnung_final'!F12</f>
        <v>287</v>
      </c>
      <c r="G119" s="2">
        <f>'2020_B4_Berechnung_final'!H12</f>
        <v>7449</v>
      </c>
      <c r="H119" s="2">
        <f>'2020_B4_Berechnung_final'!I12</f>
        <v>233</v>
      </c>
      <c r="I119" s="225" t="str">
        <f>'2020_B4_Berechnung_final'!K12</f>
        <v>-</v>
      </c>
      <c r="J119" s="225" t="str">
        <f>'2020_B4_Berechnung_final'!L12</f>
        <v>-</v>
      </c>
      <c r="K119" s="2">
        <f>'2020_B4_Berechnung_final'!N12</f>
        <v>7043</v>
      </c>
      <c r="L119" s="2">
        <f>'2020_B4_Berechnung_final'!O12</f>
        <v>95</v>
      </c>
      <c r="M119" s="2">
        <f>'2020_B4_Berechnung_final'!Q12</f>
        <v>811</v>
      </c>
      <c r="N119" s="2">
        <f>'2020_B4_Berechnung_final'!R12</f>
        <v>14</v>
      </c>
      <c r="O119" s="2">
        <f>'2020_B4_Berechnung_final'!T12</f>
        <v>501</v>
      </c>
      <c r="P119" s="2">
        <f>'2020_B4_Berechnung_final'!U12</f>
        <v>48</v>
      </c>
      <c r="Q119" s="2">
        <f>'2020_B4_Berechnung_final'!W12</f>
        <v>18775</v>
      </c>
      <c r="R119" s="2">
        <f>'2020_B4_Berechnung_final'!X12</f>
        <v>677</v>
      </c>
    </row>
    <row r="120" spans="2:18" ht="8.25" customHeight="1">
      <c r="B120" s="2">
        <v>4</v>
      </c>
      <c r="C120" s="2" t="str">
        <f>'2020_B4_Berechnung_final'!B13</f>
        <v>Stat. Region Weser-Ems</v>
      </c>
      <c r="D120" s="2">
        <f>'2020_B4_Berechnung_final'!C13</f>
        <v>2013</v>
      </c>
      <c r="E120" s="2">
        <f>'2020_B4_Berechnung_final'!E13</f>
        <v>4624</v>
      </c>
      <c r="F120" s="2">
        <f>'2020_B4_Berechnung_final'!F13</f>
        <v>491</v>
      </c>
      <c r="G120" s="2">
        <f>'2020_B4_Berechnung_final'!H13</f>
        <v>10212</v>
      </c>
      <c r="H120" s="2">
        <f>'2020_B4_Berechnung_final'!I13</f>
        <v>470</v>
      </c>
      <c r="I120" s="225" t="str">
        <f>'2020_B4_Berechnung_final'!K13</f>
        <v>-</v>
      </c>
      <c r="J120" s="225" t="str">
        <f>'2020_B4_Berechnung_final'!L13</f>
        <v>-</v>
      </c>
      <c r="K120" s="2">
        <f>'2020_B4_Berechnung_final'!N13</f>
        <v>9149</v>
      </c>
      <c r="L120" s="2">
        <f>'2020_B4_Berechnung_final'!O13</f>
        <v>218</v>
      </c>
      <c r="M120" s="2">
        <f>'2020_B4_Berechnung_final'!Q13</f>
        <v>2505</v>
      </c>
      <c r="N120" s="2">
        <f>'2020_B4_Berechnung_final'!R13</f>
        <v>46</v>
      </c>
      <c r="O120" s="2">
        <f>'2020_B4_Berechnung_final'!T13</f>
        <v>1242</v>
      </c>
      <c r="P120" s="2">
        <f>'2020_B4_Berechnung_final'!U13</f>
        <v>117</v>
      </c>
      <c r="Q120" s="2">
        <f>'2020_B4_Berechnung_final'!W13</f>
        <v>27732</v>
      </c>
      <c r="R120" s="2">
        <f>'2020_B4_Berechnung_final'!X13</f>
        <v>1342</v>
      </c>
    </row>
    <row r="121" spans="2:18" s="116" customFormat="1" ht="16.5" customHeight="1">
      <c r="B121" s="117">
        <v>0</v>
      </c>
      <c r="C121" s="117" t="str">
        <f>'2020_B4_Berechnung_final'!B14</f>
        <v>Niedersachsen</v>
      </c>
      <c r="D121" s="117">
        <f>'2020_B4_Berechnung_final'!C14</f>
        <v>2013</v>
      </c>
      <c r="E121" s="117">
        <f>'2020_B4_Berechnung_final'!E14</f>
        <v>11723</v>
      </c>
      <c r="F121" s="117">
        <f>'2020_B4_Berechnung_final'!F14</f>
        <v>1470</v>
      </c>
      <c r="G121" s="117">
        <f>'2020_B4_Berechnung_final'!H14</f>
        <v>27774</v>
      </c>
      <c r="H121" s="117">
        <f>'2020_B4_Berechnung_final'!I14</f>
        <v>1593</v>
      </c>
      <c r="I121" s="226" t="str">
        <f>'2020_B4_Berechnung_final'!K14</f>
        <v>-</v>
      </c>
      <c r="J121" s="226" t="str">
        <f>'2020_B4_Berechnung_final'!L14</f>
        <v>-</v>
      </c>
      <c r="K121" s="117">
        <f>'2020_B4_Berechnung_final'!N14</f>
        <v>30336</v>
      </c>
      <c r="L121" s="117">
        <f>'2020_B4_Berechnung_final'!O14</f>
        <v>837</v>
      </c>
      <c r="M121" s="117">
        <f>'2020_B4_Berechnung_final'!Q14</f>
        <v>8937</v>
      </c>
      <c r="N121" s="117">
        <f>'2020_B4_Berechnung_final'!R14</f>
        <v>389</v>
      </c>
      <c r="O121" s="117">
        <f>'2020_B4_Berechnung_final'!T14</f>
        <v>2981</v>
      </c>
      <c r="P121" s="117">
        <f>'2020_B4_Berechnung_final'!U14</f>
        <v>345</v>
      </c>
      <c r="Q121" s="117">
        <f>'2020_B4_Berechnung_final'!W14</f>
        <v>81751</v>
      </c>
      <c r="R121" s="117">
        <f>'2020_B4_Berechnung_final'!X14</f>
        <v>4634</v>
      </c>
    </row>
    <row r="122" spans="2:18" ht="8.25" customHeight="1">
      <c r="B122" s="2">
        <v>1</v>
      </c>
      <c r="C122" s="11" t="s">
        <v>145</v>
      </c>
      <c r="D122" s="12">
        <v>2012</v>
      </c>
      <c r="E122" s="24">
        <v>2108</v>
      </c>
      <c r="F122" s="24">
        <v>303</v>
      </c>
      <c r="G122" s="24">
        <v>4822</v>
      </c>
      <c r="H122" s="24">
        <v>371</v>
      </c>
      <c r="I122" s="119" t="s">
        <v>35</v>
      </c>
      <c r="J122" s="119" t="s">
        <v>35</v>
      </c>
      <c r="K122" s="24">
        <v>6135</v>
      </c>
      <c r="L122" s="24">
        <v>179</v>
      </c>
      <c r="M122" s="24">
        <v>1668</v>
      </c>
      <c r="N122" s="24">
        <v>95</v>
      </c>
      <c r="O122" s="24">
        <v>546</v>
      </c>
      <c r="P122" s="24">
        <v>80</v>
      </c>
      <c r="Q122" s="24">
        <v>15279</v>
      </c>
      <c r="R122" s="24">
        <v>1028</v>
      </c>
    </row>
    <row r="123" spans="2:18" ht="8.25" customHeight="1">
      <c r="B123" s="2">
        <v>2</v>
      </c>
      <c r="C123" s="11" t="s">
        <v>146</v>
      </c>
      <c r="D123" s="12">
        <v>2012</v>
      </c>
      <c r="E123" s="24">
        <v>2454</v>
      </c>
      <c r="F123" s="24">
        <v>469</v>
      </c>
      <c r="G123" s="24">
        <v>6253</v>
      </c>
      <c r="H123" s="24">
        <v>617</v>
      </c>
      <c r="I123" s="119" t="s">
        <v>35</v>
      </c>
      <c r="J123" s="119" t="s">
        <v>35</v>
      </c>
      <c r="K123" s="24">
        <v>8408</v>
      </c>
      <c r="L123" s="24">
        <v>407</v>
      </c>
      <c r="M123" s="24">
        <v>2629</v>
      </c>
      <c r="N123" s="24">
        <v>244</v>
      </c>
      <c r="O123" s="24">
        <v>814</v>
      </c>
      <c r="P123" s="24">
        <v>165</v>
      </c>
      <c r="Q123" s="24">
        <v>20558</v>
      </c>
      <c r="R123" s="24">
        <v>1902</v>
      </c>
    </row>
    <row r="124" spans="2:18" ht="8.25" customHeight="1">
      <c r="B124" s="2">
        <v>3</v>
      </c>
      <c r="C124" s="11" t="s">
        <v>147</v>
      </c>
      <c r="D124" s="12">
        <v>2012</v>
      </c>
      <c r="E124" s="24">
        <v>3067</v>
      </c>
      <c r="F124" s="24">
        <v>326</v>
      </c>
      <c r="G124" s="24">
        <v>7418</v>
      </c>
      <c r="H124" s="24">
        <v>258</v>
      </c>
      <c r="I124" s="119" t="s">
        <v>35</v>
      </c>
      <c r="J124" s="119" t="s">
        <v>35</v>
      </c>
      <c r="K124" s="24">
        <v>7321</v>
      </c>
      <c r="L124" s="24">
        <v>117</v>
      </c>
      <c r="M124" s="24">
        <v>540</v>
      </c>
      <c r="N124" s="24">
        <v>7</v>
      </c>
      <c r="O124" s="24">
        <v>570</v>
      </c>
      <c r="P124" s="24">
        <v>64</v>
      </c>
      <c r="Q124" s="24">
        <v>18916</v>
      </c>
      <c r="R124" s="24">
        <v>772</v>
      </c>
    </row>
    <row r="125" spans="2:18" ht="8.25" customHeight="1">
      <c r="B125" s="2">
        <v>4</v>
      </c>
      <c r="C125" s="11" t="s">
        <v>148</v>
      </c>
      <c r="D125" s="12">
        <v>2012</v>
      </c>
      <c r="E125" s="24">
        <v>5026</v>
      </c>
      <c r="F125" s="24">
        <v>558</v>
      </c>
      <c r="G125" s="24">
        <v>10652</v>
      </c>
      <c r="H125" s="24">
        <v>507</v>
      </c>
      <c r="I125" s="119" t="s">
        <v>35</v>
      </c>
      <c r="J125" s="119" t="s">
        <v>35</v>
      </c>
      <c r="K125" s="24">
        <v>9324</v>
      </c>
      <c r="L125" s="24">
        <v>202</v>
      </c>
      <c r="M125" s="24">
        <v>1762</v>
      </c>
      <c r="N125" s="24">
        <v>26</v>
      </c>
      <c r="O125" s="24">
        <v>1212</v>
      </c>
      <c r="P125" s="24">
        <v>135</v>
      </c>
      <c r="Q125" s="24">
        <v>27976</v>
      </c>
      <c r="R125" s="24">
        <v>1428</v>
      </c>
    </row>
    <row r="126" spans="2:18" s="116" customFormat="1" ht="16.5" customHeight="1">
      <c r="B126" s="117">
        <v>0</v>
      </c>
      <c r="C126" s="14" t="s">
        <v>34</v>
      </c>
      <c r="D126" s="15">
        <v>2012</v>
      </c>
      <c r="E126" s="94">
        <v>12655</v>
      </c>
      <c r="F126" s="94">
        <v>1656</v>
      </c>
      <c r="G126" s="94">
        <v>29145</v>
      </c>
      <c r="H126" s="94">
        <v>1753</v>
      </c>
      <c r="I126" s="120" t="s">
        <v>35</v>
      </c>
      <c r="J126" s="120" t="s">
        <v>35</v>
      </c>
      <c r="K126" s="94">
        <v>31188</v>
      </c>
      <c r="L126" s="94">
        <v>905</v>
      </c>
      <c r="M126" s="94">
        <v>6599</v>
      </c>
      <c r="N126" s="94">
        <v>372</v>
      </c>
      <c r="O126" s="94">
        <v>3142</v>
      </c>
      <c r="P126" s="94">
        <v>444</v>
      </c>
      <c r="Q126" s="94">
        <v>82729</v>
      </c>
      <c r="R126" s="94">
        <v>5130</v>
      </c>
    </row>
    <row r="127" spans="2:18" ht="8.25" customHeight="1">
      <c r="B127" s="2">
        <v>1</v>
      </c>
      <c r="C127" s="2" t="str">
        <f>'2020_B4_Berechnung_final'!B5</f>
        <v>Stat. Region Braunschweig</v>
      </c>
      <c r="D127" s="2">
        <f>'2020_B4_Berechnung_final'!C5</f>
        <v>2011</v>
      </c>
      <c r="E127" s="2">
        <f>'2020_B4_Berechnung_final'!E5</f>
        <v>2267</v>
      </c>
      <c r="F127" s="2">
        <f>'2020_B4_Berechnung_final'!F5</f>
        <v>328</v>
      </c>
      <c r="G127" s="2">
        <f>'2020_B4_Berechnung_final'!H5</f>
        <v>5244</v>
      </c>
      <c r="H127" s="2">
        <f>'2020_B4_Berechnung_final'!I5</f>
        <v>636</v>
      </c>
      <c r="I127" s="225" t="str">
        <f>'2020_B4_Berechnung_final'!K5</f>
        <v>-</v>
      </c>
      <c r="J127" s="225" t="str">
        <f>'2020_B4_Berechnung_final'!L5</f>
        <v>-</v>
      </c>
      <c r="K127" s="2">
        <f>'2020_B4_Berechnung_final'!N5</f>
        <v>6279</v>
      </c>
      <c r="L127" s="2">
        <f>'2020_B4_Berechnung_final'!O5</f>
        <v>189</v>
      </c>
      <c r="M127" s="2">
        <f>'2020_B4_Berechnung_final'!Q5</f>
        <v>1205</v>
      </c>
      <c r="N127" s="2">
        <f>'2020_B4_Berechnung_final'!R5</f>
        <v>66</v>
      </c>
      <c r="O127" s="2">
        <f>'2020_B4_Berechnung_final'!T5</f>
        <v>520</v>
      </c>
      <c r="P127" s="2">
        <f>'2020_B4_Berechnung_final'!U5</f>
        <v>105</v>
      </c>
      <c r="Q127" s="2">
        <f>'2020_B4_Berechnung_final'!W5</f>
        <v>15948</v>
      </c>
      <c r="R127" s="2">
        <f>'2020_B4_Berechnung_final'!X5</f>
        <v>1087</v>
      </c>
    </row>
    <row r="128" spans="2:18" ht="8.25" customHeight="1">
      <c r="B128" s="2">
        <v>2</v>
      </c>
      <c r="C128" s="2" t="str">
        <f>'2020_B4_Berechnung_final'!B6</f>
        <v>Stat. Region Hannover</v>
      </c>
      <c r="D128" s="2">
        <f>'2020_B4_Berechnung_final'!C6</f>
        <v>2011</v>
      </c>
      <c r="E128" s="2">
        <f>'2020_B4_Berechnung_final'!E6</f>
        <v>2749</v>
      </c>
      <c r="F128" s="2">
        <f>'2020_B4_Berechnung_final'!F6</f>
        <v>497</v>
      </c>
      <c r="G128" s="2">
        <f>'2020_B4_Berechnung_final'!H6</f>
        <v>7156</v>
      </c>
      <c r="H128" s="2">
        <f>'2020_B4_Berechnung_final'!I6</f>
        <v>667</v>
      </c>
      <c r="I128" s="225" t="str">
        <f>'2020_B4_Berechnung_final'!K6</f>
        <v>-</v>
      </c>
      <c r="J128" s="225" t="str">
        <f>'2020_B4_Berechnung_final'!L6</f>
        <v>-</v>
      </c>
      <c r="K128" s="2">
        <f>'2020_B4_Berechnung_final'!N6</f>
        <v>8736</v>
      </c>
      <c r="L128" s="2">
        <f>'2020_B4_Berechnung_final'!O6</f>
        <v>443</v>
      </c>
      <c r="M128" s="2">
        <f>'2020_B4_Berechnung_final'!Q6</f>
        <v>1658</v>
      </c>
      <c r="N128" s="2">
        <f>'2020_B4_Berechnung_final'!R6</f>
        <v>185</v>
      </c>
      <c r="O128" s="2">
        <f>'2020_B4_Berechnung_final'!T6</f>
        <v>848</v>
      </c>
      <c r="P128" s="2">
        <f>'2020_B4_Berechnung_final'!U6</f>
        <v>196</v>
      </c>
      <c r="Q128" s="2">
        <f>'2020_B4_Berechnung_final'!W6</f>
        <v>21147</v>
      </c>
      <c r="R128" s="2">
        <f>'2020_B4_Berechnung_final'!X6</f>
        <v>1988</v>
      </c>
    </row>
    <row r="129" spans="2:18" ht="8.25" customHeight="1">
      <c r="B129" s="2">
        <v>3</v>
      </c>
      <c r="C129" s="2" t="str">
        <f>'2020_B4_Berechnung_final'!B7</f>
        <v>Stat. Region Lüneburg</v>
      </c>
      <c r="D129" s="2">
        <f>'2020_B4_Berechnung_final'!C7</f>
        <v>2011</v>
      </c>
      <c r="E129" s="2">
        <f>'2020_B4_Berechnung_final'!E7</f>
        <v>3460</v>
      </c>
      <c r="F129" s="2">
        <f>'2020_B4_Berechnung_final'!F7</f>
        <v>351</v>
      </c>
      <c r="G129" s="2">
        <f>'2020_B4_Berechnung_final'!H7</f>
        <v>7851</v>
      </c>
      <c r="H129" s="2">
        <f>'2020_B4_Berechnung_final'!I7</f>
        <v>288</v>
      </c>
      <c r="I129" s="225" t="str">
        <f>'2020_B4_Berechnung_final'!K7</f>
        <v>-</v>
      </c>
      <c r="J129" s="225" t="str">
        <f>'2020_B4_Berechnung_final'!L7</f>
        <v>-</v>
      </c>
      <c r="K129" s="2">
        <f>'2020_B4_Berechnung_final'!N7</f>
        <v>7580</v>
      </c>
      <c r="L129" s="2">
        <f>'2020_B4_Berechnung_final'!O7</f>
        <v>138</v>
      </c>
      <c r="M129" s="2">
        <f>'2020_B4_Berechnung_final'!Q7</f>
        <v>383</v>
      </c>
      <c r="N129" s="2">
        <f>'2020_B4_Berechnung_final'!R7</f>
        <v>1</v>
      </c>
      <c r="O129" s="2">
        <f>'2020_B4_Berechnung_final'!T7</f>
        <v>609</v>
      </c>
      <c r="P129" s="2">
        <f>'2020_B4_Berechnung_final'!U7</f>
        <v>84</v>
      </c>
      <c r="Q129" s="2">
        <f>'2020_B4_Berechnung_final'!W7</f>
        <v>19883</v>
      </c>
      <c r="R129" s="2">
        <f>'2020_B4_Berechnung_final'!X7</f>
        <v>862</v>
      </c>
    </row>
    <row r="130" spans="2:18" ht="8.25" customHeight="1">
      <c r="B130" s="2">
        <v>4</v>
      </c>
      <c r="C130" s="2" t="str">
        <f>'2020_B4_Berechnung_final'!B8</f>
        <v>Stat. Region Weser-Ems</v>
      </c>
      <c r="D130" s="2">
        <f>'2020_B4_Berechnung_final'!C8</f>
        <v>2011</v>
      </c>
      <c r="E130" s="2">
        <f>'2020_B4_Berechnung_final'!E8</f>
        <v>5474</v>
      </c>
      <c r="F130" s="2">
        <f>'2020_B4_Berechnung_final'!F8</f>
        <v>613</v>
      </c>
      <c r="G130" s="2">
        <f>'2020_B4_Berechnung_final'!H8</f>
        <v>11289</v>
      </c>
      <c r="H130" s="2">
        <f>'2020_B4_Berechnung_final'!I8</f>
        <v>537</v>
      </c>
      <c r="I130" s="225" t="str">
        <f>'2020_B4_Berechnung_final'!K8</f>
        <v>-</v>
      </c>
      <c r="J130" s="225" t="str">
        <f>'2020_B4_Berechnung_final'!L8</f>
        <v>-</v>
      </c>
      <c r="K130" s="2">
        <f>'2020_B4_Berechnung_final'!N8</f>
        <v>9755</v>
      </c>
      <c r="L130" s="2">
        <f>'2020_B4_Berechnung_final'!O8</f>
        <v>243</v>
      </c>
      <c r="M130" s="2">
        <f>'2020_B4_Berechnung_final'!Q8</f>
        <v>1435</v>
      </c>
      <c r="N130" s="2">
        <f>'2020_B4_Berechnung_final'!R8</f>
        <v>21</v>
      </c>
      <c r="O130" s="2">
        <f>'2020_B4_Berechnung_final'!T8</f>
        <v>1225</v>
      </c>
      <c r="P130" s="2">
        <f>'2020_B4_Berechnung_final'!U8</f>
        <v>151</v>
      </c>
      <c r="Q130" s="2">
        <f>'2020_B4_Berechnung_final'!W8</f>
        <v>29178</v>
      </c>
      <c r="R130" s="2">
        <f>'2020_B4_Berechnung_final'!X8</f>
        <v>1565</v>
      </c>
    </row>
    <row r="131" spans="2:18" s="116" customFormat="1" ht="16.5" customHeight="1">
      <c r="B131" s="117">
        <v>0</v>
      </c>
      <c r="C131" s="117" t="str">
        <f>'2020_B4_Berechnung_final'!B9</f>
        <v>Niedersachsen</v>
      </c>
      <c r="D131" s="117">
        <f>'2020_B4_Berechnung_final'!C9</f>
        <v>2011</v>
      </c>
      <c r="E131" s="117">
        <f>'2020_B4_Berechnung_final'!E9</f>
        <v>13950</v>
      </c>
      <c r="F131" s="117">
        <f>'2020_B4_Berechnung_final'!F9</f>
        <v>1789</v>
      </c>
      <c r="G131" s="117">
        <f>'2020_B4_Berechnung_final'!H9</f>
        <v>31777</v>
      </c>
      <c r="H131" s="117">
        <f>'2020_B4_Berechnung_final'!I9</f>
        <v>1891</v>
      </c>
      <c r="I131" s="226" t="str">
        <f>'2020_B4_Berechnung_final'!K9</f>
        <v>-</v>
      </c>
      <c r="J131" s="226" t="str">
        <f>'2020_B4_Berechnung_final'!L9</f>
        <v>-</v>
      </c>
      <c r="K131" s="117">
        <f>'2020_B4_Berechnung_final'!N9</f>
        <v>32546</v>
      </c>
      <c r="L131" s="117">
        <f>'2020_B4_Berechnung_final'!O9</f>
        <v>1013</v>
      </c>
      <c r="M131" s="117">
        <f>'2020_B4_Berechnung_final'!Q9</f>
        <v>4681</v>
      </c>
      <c r="N131" s="117">
        <f>'2020_B4_Berechnung_final'!R9</f>
        <v>273</v>
      </c>
      <c r="O131" s="117">
        <f>'2020_B4_Berechnung_final'!T9</f>
        <v>3202</v>
      </c>
      <c r="P131" s="117">
        <f>'2020_B4_Berechnung_final'!U9</f>
        <v>536</v>
      </c>
      <c r="Q131" s="117">
        <f>'2020_B4_Berechnung_final'!W9</f>
        <v>86156</v>
      </c>
      <c r="R131" s="117">
        <f>'2020_B4_Berechnung_final'!X9</f>
        <v>5502</v>
      </c>
    </row>
    <row r="132" spans="2:18" ht="8.25" customHeight="1">
      <c r="B132" s="2">
        <v>1</v>
      </c>
      <c r="C132" s="11" t="s">
        <v>145</v>
      </c>
      <c r="D132" s="12">
        <v>2010</v>
      </c>
      <c r="E132" s="24">
        <v>2369</v>
      </c>
      <c r="F132" s="24">
        <v>378</v>
      </c>
      <c r="G132" s="24">
        <v>5306</v>
      </c>
      <c r="H132" s="24">
        <v>391</v>
      </c>
      <c r="I132" s="119" t="s">
        <v>35</v>
      </c>
      <c r="J132" s="119" t="s">
        <v>35</v>
      </c>
      <c r="K132" s="24">
        <v>6860</v>
      </c>
      <c r="L132" s="24">
        <v>210</v>
      </c>
      <c r="M132" s="24">
        <v>1185</v>
      </c>
      <c r="N132" s="24">
        <v>61</v>
      </c>
      <c r="O132" s="24">
        <v>531</v>
      </c>
      <c r="P132" s="24">
        <v>107</v>
      </c>
      <c r="Q132" s="24">
        <v>16251</v>
      </c>
      <c r="R132" s="24">
        <v>1147</v>
      </c>
    </row>
    <row r="133" spans="2:18" ht="8.25" customHeight="1">
      <c r="B133" s="2">
        <v>2</v>
      </c>
      <c r="C133" s="11" t="s">
        <v>146</v>
      </c>
      <c r="D133" s="12">
        <v>2010</v>
      </c>
      <c r="E133" s="24">
        <v>2775</v>
      </c>
      <c r="F133" s="24">
        <v>538</v>
      </c>
      <c r="G133" s="24">
        <v>6804</v>
      </c>
      <c r="H133" s="24">
        <v>684</v>
      </c>
      <c r="I133" s="119" t="s">
        <v>35</v>
      </c>
      <c r="J133" s="119" t="s">
        <v>35</v>
      </c>
      <c r="K133" s="24">
        <v>9063</v>
      </c>
      <c r="L133" s="24">
        <v>411</v>
      </c>
      <c r="M133" s="24">
        <v>1643</v>
      </c>
      <c r="N133" s="24">
        <v>147</v>
      </c>
      <c r="O133" s="24">
        <v>845</v>
      </c>
      <c r="P133" s="24">
        <v>207</v>
      </c>
      <c r="Q133" s="24">
        <v>21130</v>
      </c>
      <c r="R133" s="24">
        <v>1987</v>
      </c>
    </row>
    <row r="134" spans="2:18" ht="8.25" customHeight="1">
      <c r="B134" s="2">
        <v>3</v>
      </c>
      <c r="C134" s="11" t="s">
        <v>147</v>
      </c>
      <c r="D134" s="12">
        <v>2010</v>
      </c>
      <c r="E134" s="24">
        <v>3467</v>
      </c>
      <c r="F134" s="24">
        <v>357</v>
      </c>
      <c r="G134" s="24">
        <v>7849</v>
      </c>
      <c r="H134" s="24">
        <v>271</v>
      </c>
      <c r="I134" s="119" t="s">
        <v>35</v>
      </c>
      <c r="J134" s="119" t="s">
        <v>35</v>
      </c>
      <c r="K134" s="24">
        <v>7841</v>
      </c>
      <c r="L134" s="24">
        <v>135</v>
      </c>
      <c r="M134" s="24">
        <v>349</v>
      </c>
      <c r="N134" s="24">
        <v>2</v>
      </c>
      <c r="O134" s="24">
        <v>587</v>
      </c>
      <c r="P134" s="24">
        <v>56</v>
      </c>
      <c r="Q134" s="24">
        <v>20093</v>
      </c>
      <c r="R134" s="24">
        <v>821</v>
      </c>
    </row>
    <row r="135" spans="2:18" ht="8.25" customHeight="1">
      <c r="B135" s="2">
        <v>4</v>
      </c>
      <c r="C135" s="11" t="s">
        <v>148</v>
      </c>
      <c r="D135" s="12">
        <v>2010</v>
      </c>
      <c r="E135" s="24">
        <v>5565</v>
      </c>
      <c r="F135" s="24">
        <v>571</v>
      </c>
      <c r="G135" s="24">
        <v>11296</v>
      </c>
      <c r="H135" s="24">
        <v>483</v>
      </c>
      <c r="I135" s="119" t="s">
        <v>35</v>
      </c>
      <c r="J135" s="119" t="s">
        <v>35</v>
      </c>
      <c r="K135" s="24">
        <v>10290</v>
      </c>
      <c r="L135" s="24">
        <v>230</v>
      </c>
      <c r="M135" s="24">
        <v>1315</v>
      </c>
      <c r="N135" s="24">
        <v>22</v>
      </c>
      <c r="O135" s="24">
        <v>1211</v>
      </c>
      <c r="P135" s="24">
        <v>133</v>
      </c>
      <c r="Q135" s="24">
        <v>29677</v>
      </c>
      <c r="R135" s="24">
        <v>1439</v>
      </c>
    </row>
    <row r="136" spans="2:18" s="116" customFormat="1" ht="16.5" customHeight="1">
      <c r="B136" s="117">
        <v>0</v>
      </c>
      <c r="C136" s="14" t="s">
        <v>34</v>
      </c>
      <c r="D136" s="15">
        <v>2010</v>
      </c>
      <c r="E136" s="94">
        <v>14176</v>
      </c>
      <c r="F136" s="94">
        <v>1844</v>
      </c>
      <c r="G136" s="94">
        <v>31255</v>
      </c>
      <c r="H136" s="94">
        <v>1829</v>
      </c>
      <c r="I136" s="120" t="s">
        <v>35</v>
      </c>
      <c r="J136" s="120" t="s">
        <v>35</v>
      </c>
      <c r="K136" s="94">
        <v>34054</v>
      </c>
      <c r="L136" s="94">
        <v>986</v>
      </c>
      <c r="M136" s="94">
        <v>4492</v>
      </c>
      <c r="N136" s="94">
        <v>232</v>
      </c>
      <c r="O136" s="94">
        <v>3174</v>
      </c>
      <c r="P136" s="94">
        <v>503</v>
      </c>
      <c r="Q136" s="94">
        <v>87151</v>
      </c>
      <c r="R136" s="94">
        <v>5394</v>
      </c>
    </row>
    <row r="137" spans="2:18" ht="8.25" customHeight="1">
      <c r="B137" s="2">
        <v>1</v>
      </c>
      <c r="C137" s="11" t="s">
        <v>145</v>
      </c>
      <c r="D137" s="12">
        <v>2005</v>
      </c>
      <c r="E137" s="24">
        <v>3686</v>
      </c>
      <c r="F137" s="24">
        <v>555</v>
      </c>
      <c r="G137" s="24">
        <v>6073</v>
      </c>
      <c r="H137" s="24">
        <v>418</v>
      </c>
      <c r="I137" s="119" t="s">
        <v>35</v>
      </c>
      <c r="J137" s="119" t="s">
        <v>35</v>
      </c>
      <c r="K137" s="24">
        <v>6116</v>
      </c>
      <c r="L137" s="24">
        <v>196</v>
      </c>
      <c r="M137" s="24">
        <v>1045</v>
      </c>
      <c r="N137" s="24">
        <v>67</v>
      </c>
      <c r="O137" s="24">
        <v>776</v>
      </c>
      <c r="P137" s="24">
        <v>165</v>
      </c>
      <c r="Q137" s="24">
        <v>17696</v>
      </c>
      <c r="R137" s="24">
        <v>1401</v>
      </c>
    </row>
    <row r="138" spans="2:18" ht="8.25" customHeight="1">
      <c r="B138" s="2">
        <v>2</v>
      </c>
      <c r="C138" s="11" t="s">
        <v>146</v>
      </c>
      <c r="D138" s="12">
        <v>2005</v>
      </c>
      <c r="E138" s="24">
        <v>3977</v>
      </c>
      <c r="F138" s="24">
        <v>686</v>
      </c>
      <c r="G138" s="24">
        <v>7446</v>
      </c>
      <c r="H138" s="24">
        <v>758</v>
      </c>
      <c r="I138" s="119" t="s">
        <v>35</v>
      </c>
      <c r="J138" s="119" t="s">
        <v>35</v>
      </c>
      <c r="K138" s="24">
        <v>7820</v>
      </c>
      <c r="L138" s="24">
        <v>496</v>
      </c>
      <c r="M138" s="24">
        <v>1511</v>
      </c>
      <c r="N138" s="24">
        <v>141</v>
      </c>
      <c r="O138" s="24">
        <v>1028</v>
      </c>
      <c r="P138" s="24">
        <v>306</v>
      </c>
      <c r="Q138" s="24">
        <v>21782</v>
      </c>
      <c r="R138" s="24">
        <v>2387</v>
      </c>
    </row>
    <row r="139" spans="2:18" ht="8.25" customHeight="1">
      <c r="B139" s="2">
        <v>3</v>
      </c>
      <c r="C139" s="11" t="s">
        <v>147</v>
      </c>
      <c r="D139" s="12">
        <v>2005</v>
      </c>
      <c r="E139" s="24">
        <v>5066</v>
      </c>
      <c r="F139" s="24">
        <v>527</v>
      </c>
      <c r="G139" s="24">
        <v>7733</v>
      </c>
      <c r="H139" s="24">
        <v>269</v>
      </c>
      <c r="I139" s="119" t="s">
        <v>35</v>
      </c>
      <c r="J139" s="119" t="s">
        <v>35</v>
      </c>
      <c r="K139" s="24">
        <v>6699</v>
      </c>
      <c r="L139" s="24">
        <v>131</v>
      </c>
      <c r="M139" s="24">
        <v>316</v>
      </c>
      <c r="N139" s="24">
        <v>0</v>
      </c>
      <c r="O139" s="24">
        <v>818</v>
      </c>
      <c r="P139" s="24">
        <v>137</v>
      </c>
      <c r="Q139" s="24">
        <v>20632</v>
      </c>
      <c r="R139" s="24">
        <v>1064</v>
      </c>
    </row>
    <row r="140" spans="2:18" ht="8.25" customHeight="1">
      <c r="B140" s="2">
        <v>4</v>
      </c>
      <c r="C140" s="11" t="s">
        <v>148</v>
      </c>
      <c r="D140" s="12">
        <v>2005</v>
      </c>
      <c r="E140" s="24">
        <v>8129</v>
      </c>
      <c r="F140" s="24">
        <v>699</v>
      </c>
      <c r="G140" s="24">
        <v>11015</v>
      </c>
      <c r="H140" s="24">
        <v>455</v>
      </c>
      <c r="I140" s="119" t="s">
        <v>35</v>
      </c>
      <c r="J140" s="119" t="s">
        <v>35</v>
      </c>
      <c r="K140" s="24">
        <v>8900</v>
      </c>
      <c r="L140" s="24">
        <v>238</v>
      </c>
      <c r="M140" s="24">
        <v>1222</v>
      </c>
      <c r="N140" s="24">
        <v>42</v>
      </c>
      <c r="O140" s="24">
        <v>1648</v>
      </c>
      <c r="P140" s="24">
        <v>247</v>
      </c>
      <c r="Q140" s="24">
        <v>30914</v>
      </c>
      <c r="R140" s="24">
        <v>1681</v>
      </c>
    </row>
    <row r="141" spans="2:18" ht="8.25" customHeight="1">
      <c r="B141" s="32">
        <v>0</v>
      </c>
      <c r="C141" s="14" t="s">
        <v>34</v>
      </c>
      <c r="D141" s="15">
        <v>2005</v>
      </c>
      <c r="E141" s="94">
        <v>20858</v>
      </c>
      <c r="F141" s="94">
        <v>2467</v>
      </c>
      <c r="G141" s="94">
        <v>32267</v>
      </c>
      <c r="H141" s="94">
        <v>1900</v>
      </c>
      <c r="I141" s="120" t="s">
        <v>35</v>
      </c>
      <c r="J141" s="120" t="s">
        <v>35</v>
      </c>
      <c r="K141" s="94">
        <v>29535</v>
      </c>
      <c r="L141" s="94">
        <v>1061</v>
      </c>
      <c r="M141" s="94">
        <v>4094</v>
      </c>
      <c r="N141" s="94">
        <v>250</v>
      </c>
      <c r="O141" s="94">
        <v>4270</v>
      </c>
      <c r="P141" s="94">
        <v>855</v>
      </c>
      <c r="Q141" s="94">
        <v>91024</v>
      </c>
      <c r="R141" s="94">
        <v>6533</v>
      </c>
    </row>
    <row r="142" spans="2:18">
      <c r="B142" s="217"/>
      <c r="C142" s="17"/>
      <c r="D142" s="26"/>
      <c r="E142" s="26"/>
      <c r="F142" s="26"/>
      <c r="G142" s="26"/>
      <c r="H142" s="27"/>
      <c r="I142" s="27"/>
      <c r="J142" s="26"/>
      <c r="K142" s="26"/>
      <c r="L142" s="26"/>
      <c r="M142" s="26"/>
      <c r="N142" s="26"/>
      <c r="O142" s="26"/>
      <c r="P142" s="26"/>
      <c r="Q142" s="26"/>
    </row>
    <row r="143" spans="2:18">
      <c r="B143" s="218"/>
      <c r="C143" s="219" t="s">
        <v>118</v>
      </c>
      <c r="D143" s="28"/>
      <c r="E143" s="28"/>
      <c r="F143" s="28"/>
      <c r="G143" s="28"/>
      <c r="H143" s="28"/>
      <c r="I143" s="28"/>
      <c r="J143" s="28"/>
      <c r="K143" s="26"/>
      <c r="L143" s="26"/>
      <c r="M143" s="26"/>
      <c r="N143" s="26"/>
      <c r="O143" s="26"/>
      <c r="P143" s="26"/>
      <c r="Q143" s="26"/>
    </row>
    <row r="144" spans="2:18">
      <c r="C144" s="28" t="s">
        <v>36</v>
      </c>
      <c r="D144" s="28"/>
      <c r="E144" s="28"/>
      <c r="F144" s="28"/>
      <c r="G144" s="28"/>
      <c r="H144" s="28"/>
      <c r="I144" s="28"/>
      <c r="J144" s="28"/>
      <c r="K144" s="26"/>
      <c r="L144" s="26"/>
      <c r="M144" s="26"/>
      <c r="N144" s="26"/>
      <c r="O144" s="26"/>
      <c r="P144" s="26"/>
      <c r="Q144" s="26"/>
    </row>
    <row r="145" spans="2:17">
      <c r="C145" s="211"/>
      <c r="D145" s="211"/>
      <c r="E145" s="211"/>
      <c r="F145" s="211"/>
      <c r="G145" s="30"/>
      <c r="H145" s="211"/>
      <c r="I145" s="211"/>
      <c r="J145" s="211"/>
      <c r="K145" s="26"/>
      <c r="L145" s="26"/>
      <c r="M145" s="26"/>
      <c r="N145" s="26"/>
      <c r="O145" s="26"/>
      <c r="P145" s="26"/>
      <c r="Q145" s="26"/>
    </row>
    <row r="146" spans="2:17">
      <c r="C146" s="31" t="s">
        <v>37</v>
      </c>
      <c r="D146" s="31"/>
      <c r="E146" s="31"/>
      <c r="F146" s="31"/>
      <c r="G146" s="31"/>
      <c r="H146" s="31"/>
      <c r="I146" s="31"/>
      <c r="J146" s="31"/>
      <c r="K146" s="26"/>
      <c r="L146" s="26"/>
      <c r="M146" s="26"/>
      <c r="N146" s="26"/>
      <c r="O146" s="26"/>
      <c r="P146" s="26"/>
      <c r="Q146" s="26"/>
    </row>
    <row r="147" spans="2:17">
      <c r="B147" s="32"/>
      <c r="C147" s="215" t="s">
        <v>149</v>
      </c>
      <c r="D147" s="34"/>
      <c r="E147" s="34"/>
      <c r="F147" s="35"/>
      <c r="G147" s="35"/>
      <c r="H147" s="34"/>
      <c r="I147" s="34"/>
      <c r="J147" s="35"/>
      <c r="K147" s="35"/>
      <c r="L147" s="34"/>
      <c r="M147" s="34"/>
      <c r="N147" s="36"/>
      <c r="O147" s="36"/>
      <c r="P147" s="37"/>
      <c r="Q147" s="37"/>
    </row>
    <row r="148" spans="2:17">
      <c r="C148" s="216" t="s">
        <v>150</v>
      </c>
    </row>
    <row r="149" spans="2:17">
      <c r="C149" s="216" t="s">
        <v>151</v>
      </c>
    </row>
    <row r="150" spans="2:17">
      <c r="C150" s="216" t="s">
        <v>152</v>
      </c>
    </row>
  </sheetData>
  <mergeCells count="22">
    <mergeCell ref="K6:L6"/>
    <mergeCell ref="M6:N6"/>
    <mergeCell ref="O6:P6"/>
    <mergeCell ref="Q6:R6"/>
    <mergeCell ref="E8:R8"/>
    <mergeCell ref="I6:J6"/>
    <mergeCell ref="B78:B80"/>
    <mergeCell ref="C78:C80"/>
    <mergeCell ref="D78:D80"/>
    <mergeCell ref="E78:F78"/>
    <mergeCell ref="G78:H78"/>
    <mergeCell ref="E80:R80"/>
    <mergeCell ref="I78:J78"/>
    <mergeCell ref="K78:L78"/>
    <mergeCell ref="M78:N78"/>
    <mergeCell ref="O78:P78"/>
    <mergeCell ref="Q78:R78"/>
    <mergeCell ref="B6:B8"/>
    <mergeCell ref="C6:C8"/>
    <mergeCell ref="D6:D8"/>
    <mergeCell ref="E6:F6"/>
    <mergeCell ref="G6:H6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H1681"/>
  <sheetViews>
    <sheetView topLeftCell="A739" workbookViewId="0">
      <selection activeCell="B739" sqref="B1:B1048576"/>
    </sheetView>
  </sheetViews>
  <sheetFormatPr baseColWidth="10" defaultRowHeight="15"/>
  <cols>
    <col min="2" max="2" width="21.28515625" customWidth="1"/>
  </cols>
  <sheetData>
    <row r="1" spans="1:8">
      <c r="A1" t="s">
        <v>117</v>
      </c>
      <c r="B1" t="s">
        <v>153</v>
      </c>
      <c r="C1" t="s">
        <v>140</v>
      </c>
      <c r="D1" t="s">
        <v>136</v>
      </c>
      <c r="E1" t="s">
        <v>111</v>
      </c>
      <c r="F1" t="s">
        <v>138</v>
      </c>
      <c r="G1" t="s">
        <v>141</v>
      </c>
      <c r="H1" t="s">
        <v>137</v>
      </c>
    </row>
    <row r="2" spans="1:8">
      <c r="A2">
        <v>1</v>
      </c>
      <c r="B2" t="s">
        <v>30</v>
      </c>
      <c r="C2">
        <v>2020</v>
      </c>
      <c r="D2" t="s">
        <v>11</v>
      </c>
      <c r="E2" t="s">
        <v>4</v>
      </c>
      <c r="F2" t="s">
        <v>13</v>
      </c>
      <c r="G2" t="str">
        <f>VLOOKUP(A2,[1]Kreise!$A$1:$C$53,3,FALSE)</f>
        <v>K031</v>
      </c>
      <c r="H2">
        <v>70.62818336162988</v>
      </c>
    </row>
    <row r="3" spans="1:8">
      <c r="A3">
        <v>2</v>
      </c>
      <c r="B3" t="s">
        <v>31</v>
      </c>
      <c r="C3">
        <v>2020</v>
      </c>
      <c r="D3" t="s">
        <v>11</v>
      </c>
      <c r="E3" t="s">
        <v>4</v>
      </c>
      <c r="F3" t="s">
        <v>13</v>
      </c>
      <c r="G3" t="str">
        <f>VLOOKUP(A3,[1]Kreise!$A$1:$C$53,3,FALSE)</f>
        <v>K032</v>
      </c>
      <c r="H3">
        <v>68.172268907563023</v>
      </c>
    </row>
    <row r="4" spans="1:8">
      <c r="A4">
        <v>3</v>
      </c>
      <c r="B4" t="s">
        <v>32</v>
      </c>
      <c r="C4">
        <v>2020</v>
      </c>
      <c r="D4" t="s">
        <v>11</v>
      </c>
      <c r="E4" t="s">
        <v>4</v>
      </c>
      <c r="F4" t="s">
        <v>13</v>
      </c>
      <c r="G4" t="str">
        <f>VLOOKUP(A4,[1]Kreise!$A$1:$C$53,3,FALSE)</f>
        <v>K033</v>
      </c>
      <c r="H4">
        <v>80.724174653887118</v>
      </c>
    </row>
    <row r="5" spans="1:8">
      <c r="A5">
        <v>4</v>
      </c>
      <c r="B5" t="s">
        <v>33</v>
      </c>
      <c r="C5">
        <v>2020</v>
      </c>
      <c r="D5" t="s">
        <v>11</v>
      </c>
      <c r="E5" t="s">
        <v>4</v>
      </c>
      <c r="F5" t="s">
        <v>13</v>
      </c>
      <c r="G5" t="str">
        <f>VLOOKUP(A5,[1]Kreise!$A$1:$C$53,3,FALSE)</f>
        <v>K034</v>
      </c>
      <c r="H5">
        <v>75.303951367781153</v>
      </c>
    </row>
    <row r="6" spans="1:8">
      <c r="A6">
        <v>0</v>
      </c>
      <c r="B6" t="s">
        <v>34</v>
      </c>
      <c r="C6">
        <v>2020</v>
      </c>
      <c r="D6" t="s">
        <v>11</v>
      </c>
      <c r="E6" t="s">
        <v>4</v>
      </c>
      <c r="F6" t="s">
        <v>13</v>
      </c>
      <c r="G6" t="str">
        <f>VLOOKUP(A6,[1]Kreise!$A$1:$C$53,3,FALSE)</f>
        <v>K030</v>
      </c>
      <c r="H6">
        <v>73.660205245153932</v>
      </c>
    </row>
    <row r="7" spans="1:8">
      <c r="A7">
        <v>1</v>
      </c>
      <c r="B7" t="s">
        <v>30</v>
      </c>
      <c r="C7">
        <v>2019</v>
      </c>
      <c r="D7" t="s">
        <v>11</v>
      </c>
      <c r="E7" t="s">
        <v>4</v>
      </c>
      <c r="F7" t="s">
        <v>13</v>
      </c>
      <c r="G7" t="str">
        <f>VLOOKUP(A7,[1]Kreise!$A$1:$C$53,3,FALSE)</f>
        <v>K031</v>
      </c>
      <c r="H7">
        <v>71.931196247068016</v>
      </c>
    </row>
    <row r="8" spans="1:8">
      <c r="A8">
        <v>2</v>
      </c>
      <c r="B8" t="s">
        <v>31</v>
      </c>
      <c r="C8">
        <v>2019</v>
      </c>
      <c r="D8" t="s">
        <v>11</v>
      </c>
      <c r="E8" t="s">
        <v>4</v>
      </c>
      <c r="F8" t="s">
        <v>13</v>
      </c>
      <c r="G8" t="str">
        <f>VLOOKUP(A8,[1]Kreise!$A$1:$C$53,3,FALSE)</f>
        <v>K032</v>
      </c>
      <c r="H8">
        <v>69.980506822612085</v>
      </c>
    </row>
    <row r="9" spans="1:8">
      <c r="A9">
        <v>3</v>
      </c>
      <c r="B9" t="s">
        <v>32</v>
      </c>
      <c r="C9">
        <v>2019</v>
      </c>
      <c r="D9" t="s">
        <v>11</v>
      </c>
      <c r="E9" t="s">
        <v>4</v>
      </c>
      <c r="F9" t="s">
        <v>13</v>
      </c>
      <c r="G9" t="str">
        <f>VLOOKUP(A9,[1]Kreise!$A$1:$C$53,3,FALSE)</f>
        <v>K033</v>
      </c>
      <c r="H9">
        <v>81.742738589211612</v>
      </c>
    </row>
    <row r="10" spans="1:8">
      <c r="A10">
        <v>4</v>
      </c>
      <c r="B10" t="s">
        <v>33</v>
      </c>
      <c r="C10">
        <v>2019</v>
      </c>
      <c r="D10" t="s">
        <v>11</v>
      </c>
      <c r="E10" t="s">
        <v>4</v>
      </c>
      <c r="F10" t="s">
        <v>13</v>
      </c>
      <c r="G10" t="str">
        <f>VLOOKUP(A10,[1]Kreise!$A$1:$C$53,3,FALSE)</f>
        <v>K034</v>
      </c>
      <c r="H10">
        <v>76.649369903632319</v>
      </c>
    </row>
    <row r="11" spans="1:8">
      <c r="A11">
        <v>0</v>
      </c>
      <c r="B11" t="s">
        <v>34</v>
      </c>
      <c r="C11">
        <v>2019</v>
      </c>
      <c r="D11" t="s">
        <v>11</v>
      </c>
      <c r="E11" t="s">
        <v>4</v>
      </c>
      <c r="F11" t="s">
        <v>13</v>
      </c>
      <c r="G11" t="str">
        <f>VLOOKUP(A11,[1]Kreise!$A$1:$C$53,3,FALSE)</f>
        <v>K030</v>
      </c>
      <c r="H11">
        <v>74.924209614551756</v>
      </c>
    </row>
    <row r="12" spans="1:8">
      <c r="A12">
        <v>1</v>
      </c>
      <c r="B12" t="s">
        <v>30</v>
      </c>
      <c r="C12">
        <v>2018</v>
      </c>
      <c r="D12" t="s">
        <v>11</v>
      </c>
      <c r="E12" t="s">
        <v>4</v>
      </c>
      <c r="F12" t="s">
        <v>13</v>
      </c>
      <c r="G12" t="str">
        <f>VLOOKUP(A12,[1]Kreise!$A$1:$C$53,3,FALSE)</f>
        <v>K031</v>
      </c>
      <c r="H12">
        <v>73.902633679169995</v>
      </c>
    </row>
    <row r="13" spans="1:8">
      <c r="A13">
        <v>2</v>
      </c>
      <c r="B13" t="s">
        <v>31</v>
      </c>
      <c r="C13">
        <v>2018</v>
      </c>
      <c r="D13" t="s">
        <v>11</v>
      </c>
      <c r="E13" t="s">
        <v>4</v>
      </c>
      <c r="F13" t="s">
        <v>13</v>
      </c>
      <c r="G13" t="str">
        <f>VLOOKUP(A13,[1]Kreise!$A$1:$C$53,3,FALSE)</f>
        <v>K032</v>
      </c>
      <c r="H13">
        <v>69.328063241106719</v>
      </c>
    </row>
    <row r="14" spans="1:8">
      <c r="A14">
        <v>3</v>
      </c>
      <c r="B14" t="s">
        <v>32</v>
      </c>
      <c r="C14">
        <v>2018</v>
      </c>
      <c r="D14" t="s">
        <v>11</v>
      </c>
      <c r="E14" t="s">
        <v>4</v>
      </c>
      <c r="F14" t="s">
        <v>13</v>
      </c>
      <c r="G14" t="str">
        <f>VLOOKUP(A14,[1]Kreise!$A$1:$C$53,3,FALSE)</f>
        <v>K033</v>
      </c>
      <c r="H14">
        <v>83.549351944167498</v>
      </c>
    </row>
    <row r="15" spans="1:8">
      <c r="A15">
        <v>4</v>
      </c>
      <c r="B15" t="s">
        <v>33</v>
      </c>
      <c r="C15">
        <v>2018</v>
      </c>
      <c r="D15" t="s">
        <v>11</v>
      </c>
      <c r="E15" t="s">
        <v>4</v>
      </c>
      <c r="F15" t="s">
        <v>13</v>
      </c>
      <c r="G15" t="str">
        <f>VLOOKUP(A15,[1]Kreise!$A$1:$C$53,3,FALSE)</f>
        <v>K034</v>
      </c>
      <c r="H15">
        <v>79.099678456591633</v>
      </c>
    </row>
    <row r="16" spans="1:8">
      <c r="A16">
        <v>0</v>
      </c>
      <c r="B16" t="s">
        <v>34</v>
      </c>
      <c r="C16">
        <v>2018</v>
      </c>
      <c r="D16" t="s">
        <v>11</v>
      </c>
      <c r="E16" t="s">
        <v>4</v>
      </c>
      <c r="F16" t="s">
        <v>13</v>
      </c>
      <c r="G16" t="str">
        <f>VLOOKUP(A16,[1]Kreise!$A$1:$C$53,3,FALSE)</f>
        <v>K030</v>
      </c>
      <c r="H16">
        <v>76.26083530338849</v>
      </c>
    </row>
    <row r="17" spans="1:8">
      <c r="A17">
        <v>1</v>
      </c>
      <c r="B17" t="s">
        <v>30</v>
      </c>
      <c r="C17">
        <v>2017</v>
      </c>
      <c r="D17" t="s">
        <v>11</v>
      </c>
      <c r="E17" t="s">
        <v>4</v>
      </c>
      <c r="F17" t="s">
        <v>13</v>
      </c>
      <c r="G17" t="str">
        <f>VLOOKUP(A17,[1]Kreise!$A$1:$C$53,3,FALSE)</f>
        <v>K031</v>
      </c>
      <c r="H17">
        <v>77.272727272727266</v>
      </c>
    </row>
    <row r="18" spans="1:8">
      <c r="A18">
        <v>2</v>
      </c>
      <c r="B18" t="s">
        <v>31</v>
      </c>
      <c r="C18">
        <v>2017</v>
      </c>
      <c r="D18" t="s">
        <v>11</v>
      </c>
      <c r="E18" t="s">
        <v>4</v>
      </c>
      <c r="F18" t="s">
        <v>13</v>
      </c>
      <c r="G18" t="str">
        <f>VLOOKUP(A18,[1]Kreise!$A$1:$C$53,3,FALSE)</f>
        <v>K032</v>
      </c>
      <c r="H18">
        <v>72.385620915032675</v>
      </c>
    </row>
    <row r="19" spans="1:8">
      <c r="A19">
        <v>3</v>
      </c>
      <c r="B19" t="s">
        <v>32</v>
      </c>
      <c r="C19">
        <v>2017</v>
      </c>
      <c r="D19" t="s">
        <v>11</v>
      </c>
      <c r="E19" t="s">
        <v>4</v>
      </c>
      <c r="F19" t="s">
        <v>13</v>
      </c>
      <c r="G19" t="str">
        <f>VLOOKUP(A19,[1]Kreise!$A$1:$C$53,3,FALSE)</f>
        <v>K033</v>
      </c>
      <c r="H19">
        <v>83.748753738783648</v>
      </c>
    </row>
    <row r="20" spans="1:8">
      <c r="A20">
        <v>4</v>
      </c>
      <c r="B20" t="s">
        <v>33</v>
      </c>
      <c r="C20">
        <v>2017</v>
      </c>
      <c r="D20" t="s">
        <v>11</v>
      </c>
      <c r="E20" t="s">
        <v>4</v>
      </c>
      <c r="F20" t="s">
        <v>13</v>
      </c>
      <c r="G20" t="str">
        <f>VLOOKUP(A20,[1]Kreise!$A$1:$C$53,3,FALSE)</f>
        <v>K034</v>
      </c>
      <c r="H20">
        <v>83.601669648181272</v>
      </c>
    </row>
    <row r="21" spans="1:8">
      <c r="A21">
        <v>0</v>
      </c>
      <c r="B21" t="s">
        <v>34</v>
      </c>
      <c r="C21">
        <v>2017</v>
      </c>
      <c r="D21" t="s">
        <v>11</v>
      </c>
      <c r="E21" t="s">
        <v>4</v>
      </c>
      <c r="F21" t="s">
        <v>13</v>
      </c>
      <c r="G21" t="str">
        <f>VLOOKUP(A21,[1]Kreise!$A$1:$C$53,3,FALSE)</f>
        <v>K030</v>
      </c>
      <c r="H21">
        <v>79.411764705882348</v>
      </c>
    </row>
    <row r="22" spans="1:8">
      <c r="A22">
        <v>1</v>
      </c>
      <c r="B22" t="s">
        <v>30</v>
      </c>
      <c r="C22">
        <v>2016</v>
      </c>
      <c r="D22" t="s">
        <v>11</v>
      </c>
      <c r="E22" t="s">
        <v>4</v>
      </c>
      <c r="F22" t="s">
        <v>13</v>
      </c>
      <c r="G22" t="str">
        <f>VLOOKUP(A22,[1]Kreise!$A$1:$C$53,3,FALSE)</f>
        <v>K031</v>
      </c>
      <c r="H22">
        <v>81.403508771929822</v>
      </c>
    </row>
    <row r="23" spans="1:8">
      <c r="A23">
        <v>2</v>
      </c>
      <c r="B23" t="s">
        <v>31</v>
      </c>
      <c r="C23">
        <v>2016</v>
      </c>
      <c r="D23" t="s">
        <v>11</v>
      </c>
      <c r="E23" t="s">
        <v>4</v>
      </c>
      <c r="F23" t="s">
        <v>13</v>
      </c>
      <c r="G23" t="str">
        <f>VLOOKUP(A23,[1]Kreise!$A$1:$C$53,3,FALSE)</f>
        <v>K032</v>
      </c>
      <c r="H23">
        <v>78.844765342960287</v>
      </c>
    </row>
    <row r="24" spans="1:8">
      <c r="A24">
        <v>3</v>
      </c>
      <c r="B24" t="s">
        <v>32</v>
      </c>
      <c r="C24">
        <v>2016</v>
      </c>
      <c r="D24" t="s">
        <v>11</v>
      </c>
      <c r="E24" t="s">
        <v>4</v>
      </c>
      <c r="F24" t="s">
        <v>13</v>
      </c>
      <c r="G24" t="str">
        <f>VLOOKUP(A24,[1]Kreise!$A$1:$C$53,3,FALSE)</f>
        <v>K033</v>
      </c>
      <c r="H24">
        <v>84.343434343434339</v>
      </c>
    </row>
    <row r="25" spans="1:8">
      <c r="A25">
        <v>4</v>
      </c>
      <c r="B25" t="s">
        <v>33</v>
      </c>
      <c r="C25">
        <v>2016</v>
      </c>
      <c r="D25" t="s">
        <v>11</v>
      </c>
      <c r="E25" t="s">
        <v>4</v>
      </c>
      <c r="F25" t="s">
        <v>13</v>
      </c>
      <c r="G25" t="str">
        <f>VLOOKUP(A25,[1]Kreise!$A$1:$C$53,3,FALSE)</f>
        <v>K034</v>
      </c>
      <c r="H25">
        <v>84.323271665043819</v>
      </c>
    </row>
    <row r="26" spans="1:8">
      <c r="A26">
        <v>0</v>
      </c>
      <c r="B26" t="s">
        <v>34</v>
      </c>
      <c r="C26">
        <v>2016</v>
      </c>
      <c r="D26" t="s">
        <v>11</v>
      </c>
      <c r="E26" t="s">
        <v>4</v>
      </c>
      <c r="F26" t="s">
        <v>13</v>
      </c>
      <c r="G26" t="str">
        <f>VLOOKUP(A26,[1]Kreise!$A$1:$C$53,3,FALSE)</f>
        <v>K030</v>
      </c>
      <c r="H26">
        <v>82.385988103106413</v>
      </c>
    </row>
    <row r="27" spans="1:8">
      <c r="A27">
        <v>1</v>
      </c>
      <c r="B27" t="s">
        <v>30</v>
      </c>
      <c r="C27">
        <v>2015</v>
      </c>
      <c r="D27" t="s">
        <v>11</v>
      </c>
      <c r="E27" t="s">
        <v>4</v>
      </c>
      <c r="F27" t="s">
        <v>13</v>
      </c>
      <c r="G27" t="str">
        <f>VLOOKUP(A27,[1]Kreise!$A$1:$C$53,3,FALSE)</f>
        <v>K031</v>
      </c>
      <c r="H27">
        <v>84.492350486787203</v>
      </c>
    </row>
    <row r="28" spans="1:8">
      <c r="A28">
        <v>2</v>
      </c>
      <c r="B28" t="s">
        <v>31</v>
      </c>
      <c r="C28">
        <v>2015</v>
      </c>
      <c r="D28" t="s">
        <v>11</v>
      </c>
      <c r="E28" t="s">
        <v>4</v>
      </c>
      <c r="F28" t="s">
        <v>13</v>
      </c>
      <c r="G28" t="str">
        <f>VLOOKUP(A28,[1]Kreise!$A$1:$C$53,3,FALSE)</f>
        <v>K032</v>
      </c>
      <c r="H28">
        <v>79.856584093872229</v>
      </c>
    </row>
    <row r="29" spans="1:8">
      <c r="A29">
        <v>3</v>
      </c>
      <c r="B29" t="s">
        <v>32</v>
      </c>
      <c r="C29">
        <v>2015</v>
      </c>
      <c r="D29" t="s">
        <v>11</v>
      </c>
      <c r="E29" t="s">
        <v>4</v>
      </c>
      <c r="F29" t="s">
        <v>13</v>
      </c>
      <c r="G29" t="str">
        <f>VLOOKUP(A29,[1]Kreise!$A$1:$C$53,3,FALSE)</f>
        <v>K033</v>
      </c>
      <c r="H29">
        <v>85.397553516819571</v>
      </c>
    </row>
    <row r="30" spans="1:8">
      <c r="A30">
        <v>4</v>
      </c>
      <c r="B30" t="s">
        <v>33</v>
      </c>
      <c r="C30">
        <v>2015</v>
      </c>
      <c r="D30" t="s">
        <v>11</v>
      </c>
      <c r="E30" t="s">
        <v>4</v>
      </c>
      <c r="F30" t="s">
        <v>13</v>
      </c>
      <c r="G30" t="str">
        <f>VLOOKUP(A30,[1]Kreise!$A$1:$C$53,3,FALSE)</f>
        <v>K034</v>
      </c>
      <c r="H30">
        <v>86.017121891561359</v>
      </c>
    </row>
    <row r="31" spans="1:8">
      <c r="A31">
        <v>0</v>
      </c>
      <c r="B31" t="s">
        <v>34</v>
      </c>
      <c r="C31">
        <v>2015</v>
      </c>
      <c r="D31" t="s">
        <v>11</v>
      </c>
      <c r="E31" t="s">
        <v>4</v>
      </c>
      <c r="F31" t="s">
        <v>13</v>
      </c>
      <c r="G31" t="str">
        <f>VLOOKUP(A31,[1]Kreise!$A$1:$C$53,3,FALSE)</f>
        <v>K030</v>
      </c>
      <c r="H31">
        <v>84.1675330461904</v>
      </c>
    </row>
    <row r="32" spans="1:8">
      <c r="A32">
        <v>1</v>
      </c>
      <c r="B32" t="s">
        <v>145</v>
      </c>
      <c r="C32">
        <v>2014</v>
      </c>
      <c r="D32" t="s">
        <v>11</v>
      </c>
      <c r="E32" t="s">
        <v>4</v>
      </c>
      <c r="F32" t="s">
        <v>13</v>
      </c>
      <c r="G32" t="str">
        <f>VLOOKUP(A32,[1]Kreise!$A$1:$C$53,3,FALSE)</f>
        <v>K031</v>
      </c>
      <c r="H32">
        <v>86.500283607487233</v>
      </c>
    </row>
    <row r="33" spans="1:8">
      <c r="A33">
        <v>2</v>
      </c>
      <c r="B33" t="s">
        <v>146</v>
      </c>
      <c r="C33">
        <v>2014</v>
      </c>
      <c r="D33" t="s">
        <v>11</v>
      </c>
      <c r="E33" t="s">
        <v>4</v>
      </c>
      <c r="F33" t="s">
        <v>13</v>
      </c>
      <c r="G33" t="str">
        <f>VLOOKUP(A33,[1]Kreise!$A$1:$C$53,3,FALSE)</f>
        <v>K032</v>
      </c>
      <c r="H33">
        <v>84.094407388404306</v>
      </c>
    </row>
    <row r="34" spans="1:8">
      <c r="A34">
        <v>3</v>
      </c>
      <c r="B34" t="s">
        <v>147</v>
      </c>
      <c r="C34">
        <v>2014</v>
      </c>
      <c r="D34" t="s">
        <v>11</v>
      </c>
      <c r="E34" t="s">
        <v>4</v>
      </c>
      <c r="F34" t="s">
        <v>13</v>
      </c>
      <c r="G34" t="str">
        <f>VLOOKUP(A34,[1]Kreise!$A$1:$C$53,3,FALSE)</f>
        <v>K033</v>
      </c>
      <c r="H34">
        <v>89.040451552210726</v>
      </c>
    </row>
    <row r="35" spans="1:8">
      <c r="A35">
        <v>4</v>
      </c>
      <c r="B35" t="s">
        <v>148</v>
      </c>
      <c r="C35">
        <v>2014</v>
      </c>
      <c r="D35" t="s">
        <v>11</v>
      </c>
      <c r="E35" t="s">
        <v>4</v>
      </c>
      <c r="F35" t="s">
        <v>13</v>
      </c>
      <c r="G35" t="str">
        <f>VLOOKUP(A35,[1]Kreise!$A$1:$C$53,3,FALSE)</f>
        <v>K034</v>
      </c>
      <c r="H35">
        <v>87.415799142682175</v>
      </c>
    </row>
    <row r="36" spans="1:8">
      <c r="A36">
        <v>0</v>
      </c>
      <c r="B36" t="s">
        <v>34</v>
      </c>
      <c r="C36">
        <v>2014</v>
      </c>
      <c r="D36" t="s">
        <v>11</v>
      </c>
      <c r="E36" t="s">
        <v>4</v>
      </c>
      <c r="F36" t="s">
        <v>13</v>
      </c>
      <c r="G36" t="str">
        <f>VLOOKUP(A36,[1]Kreise!$A$1:$C$53,3,FALSE)</f>
        <v>K030</v>
      </c>
      <c r="H36">
        <v>86.906854130052722</v>
      </c>
    </row>
    <row r="37" spans="1:8">
      <c r="A37">
        <v>1</v>
      </c>
      <c r="B37" t="s">
        <v>30</v>
      </c>
      <c r="C37">
        <v>2013</v>
      </c>
      <c r="D37" t="s">
        <v>11</v>
      </c>
      <c r="E37" t="s">
        <v>4</v>
      </c>
      <c r="F37" t="s">
        <v>13</v>
      </c>
      <c r="G37" t="str">
        <f>VLOOKUP(A37,[1]Kreise!$A$1:$C$53,3,FALSE)</f>
        <v>K031</v>
      </c>
      <c r="H37">
        <v>87.665406427221171</v>
      </c>
    </row>
    <row r="38" spans="1:8">
      <c r="A38">
        <v>2</v>
      </c>
      <c r="B38" t="s">
        <v>31</v>
      </c>
      <c r="C38">
        <v>2013</v>
      </c>
      <c r="D38" t="s">
        <v>11</v>
      </c>
      <c r="E38" t="s">
        <v>4</v>
      </c>
      <c r="F38" t="s">
        <v>13</v>
      </c>
      <c r="G38" t="str">
        <f>VLOOKUP(A38,[1]Kreise!$A$1:$C$53,3,FALSE)</f>
        <v>K032</v>
      </c>
      <c r="H38">
        <v>84.060650887573956</v>
      </c>
    </row>
    <row r="39" spans="1:8">
      <c r="A39">
        <v>3</v>
      </c>
      <c r="B39" t="s">
        <v>32</v>
      </c>
      <c r="C39">
        <v>2013</v>
      </c>
      <c r="D39" t="s">
        <v>11</v>
      </c>
      <c r="E39" t="s">
        <v>4</v>
      </c>
      <c r="F39" t="s">
        <v>13</v>
      </c>
      <c r="G39" t="str">
        <f>VLOOKUP(A39,[1]Kreise!$A$1:$C$53,3,FALSE)</f>
        <v>K033</v>
      </c>
      <c r="H39">
        <v>91.190914671577644</v>
      </c>
    </row>
    <row r="40" spans="1:8">
      <c r="A40">
        <v>4</v>
      </c>
      <c r="B40" t="s">
        <v>33</v>
      </c>
      <c r="C40">
        <v>2013</v>
      </c>
      <c r="D40" t="s">
        <v>11</v>
      </c>
      <c r="E40" t="s">
        <v>4</v>
      </c>
      <c r="F40" t="s">
        <v>13</v>
      </c>
      <c r="G40" t="str">
        <f>VLOOKUP(A40,[1]Kreise!$A$1:$C$53,3,FALSE)</f>
        <v>K034</v>
      </c>
      <c r="H40">
        <v>90.400782013685244</v>
      </c>
    </row>
    <row r="41" spans="1:8">
      <c r="A41">
        <v>0</v>
      </c>
      <c r="B41" t="s">
        <v>34</v>
      </c>
      <c r="C41">
        <v>2013</v>
      </c>
      <c r="D41" t="s">
        <v>11</v>
      </c>
      <c r="E41" t="s">
        <v>4</v>
      </c>
      <c r="F41" t="s">
        <v>13</v>
      </c>
      <c r="G41" t="str">
        <f>VLOOKUP(A41,[1]Kreise!$A$1:$C$53,3,FALSE)</f>
        <v>K030</v>
      </c>
      <c r="H41">
        <v>88.857727582809062</v>
      </c>
    </row>
    <row r="42" spans="1:8">
      <c r="A42">
        <v>1</v>
      </c>
      <c r="B42" t="s">
        <v>145</v>
      </c>
      <c r="C42">
        <v>2012</v>
      </c>
      <c r="D42" t="s">
        <v>11</v>
      </c>
      <c r="E42" t="s">
        <v>4</v>
      </c>
      <c r="F42" t="s">
        <v>13</v>
      </c>
      <c r="G42" t="str">
        <f>VLOOKUP(A42,[1]Kreise!$A$1:$C$53,3,FALSE)</f>
        <v>K031</v>
      </c>
      <c r="H42">
        <v>87.432600580671917</v>
      </c>
    </row>
    <row r="43" spans="1:8">
      <c r="A43">
        <v>2</v>
      </c>
      <c r="B43" t="s">
        <v>146</v>
      </c>
      <c r="C43">
        <v>2012</v>
      </c>
      <c r="D43" t="s">
        <v>11</v>
      </c>
      <c r="E43" t="s">
        <v>4</v>
      </c>
      <c r="F43" t="s">
        <v>13</v>
      </c>
      <c r="G43" t="str">
        <f>VLOOKUP(A43,[1]Kreise!$A$1:$C$53,3,FALSE)</f>
        <v>K032</v>
      </c>
      <c r="H43">
        <v>83.954840916866232</v>
      </c>
    </row>
    <row r="44" spans="1:8">
      <c r="A44">
        <v>3</v>
      </c>
      <c r="B44" t="s">
        <v>147</v>
      </c>
      <c r="C44">
        <v>2012</v>
      </c>
      <c r="D44" t="s">
        <v>11</v>
      </c>
      <c r="E44" t="s">
        <v>4</v>
      </c>
      <c r="F44" t="s">
        <v>13</v>
      </c>
      <c r="G44" t="str">
        <f>VLOOKUP(A44,[1]Kreise!$A$1:$C$53,3,FALSE)</f>
        <v>K033</v>
      </c>
      <c r="H44">
        <v>90.391983495431774</v>
      </c>
    </row>
    <row r="45" spans="1:8">
      <c r="A45">
        <v>4</v>
      </c>
      <c r="B45" t="s">
        <v>148</v>
      </c>
      <c r="C45">
        <v>2012</v>
      </c>
      <c r="D45" t="s">
        <v>11</v>
      </c>
      <c r="E45" t="s">
        <v>4</v>
      </c>
      <c r="F45" t="s">
        <v>13</v>
      </c>
      <c r="G45" t="str">
        <f>VLOOKUP(A45,[1]Kreise!$A$1:$C$53,3,FALSE)</f>
        <v>K034</v>
      </c>
      <c r="H45">
        <v>90.007163323782237</v>
      </c>
    </row>
    <row r="46" spans="1:8">
      <c r="A46">
        <v>0</v>
      </c>
      <c r="B46" t="s">
        <v>34</v>
      </c>
      <c r="C46">
        <v>2012</v>
      </c>
      <c r="D46" t="s">
        <v>11</v>
      </c>
      <c r="E46" t="s">
        <v>4</v>
      </c>
      <c r="F46" t="s">
        <v>13</v>
      </c>
      <c r="G46" t="str">
        <f>VLOOKUP(A46,[1]Kreise!$A$1:$C$53,3,FALSE)</f>
        <v>K030</v>
      </c>
      <c r="H46">
        <v>88.428481587589971</v>
      </c>
    </row>
    <row r="47" spans="1:8">
      <c r="A47">
        <v>1</v>
      </c>
      <c r="B47" t="s">
        <v>30</v>
      </c>
      <c r="C47">
        <v>2011</v>
      </c>
      <c r="D47" t="s">
        <v>11</v>
      </c>
      <c r="E47" t="s">
        <v>4</v>
      </c>
      <c r="F47" t="s">
        <v>13</v>
      </c>
      <c r="G47" t="str">
        <f>VLOOKUP(A47,[1]Kreise!$A$1:$C$53,3,FALSE)</f>
        <v>K031</v>
      </c>
      <c r="H47">
        <v>87.360308285163782</v>
      </c>
    </row>
    <row r="48" spans="1:8">
      <c r="A48">
        <v>2</v>
      </c>
      <c r="B48" t="s">
        <v>31</v>
      </c>
      <c r="C48">
        <v>2011</v>
      </c>
      <c r="D48" t="s">
        <v>11</v>
      </c>
      <c r="E48" t="s">
        <v>4</v>
      </c>
      <c r="F48" t="s">
        <v>13</v>
      </c>
      <c r="G48" t="str">
        <f>VLOOKUP(A48,[1]Kreise!$A$1:$C$53,3,FALSE)</f>
        <v>K032</v>
      </c>
      <c r="H48">
        <v>84.688847812692543</v>
      </c>
    </row>
    <row r="49" spans="1:8">
      <c r="A49">
        <v>3</v>
      </c>
      <c r="B49" t="s">
        <v>32</v>
      </c>
      <c r="C49">
        <v>2011</v>
      </c>
      <c r="D49" t="s">
        <v>11</v>
      </c>
      <c r="E49" t="s">
        <v>4</v>
      </c>
      <c r="F49" t="s">
        <v>13</v>
      </c>
      <c r="G49" t="str">
        <f>VLOOKUP(A49,[1]Kreise!$A$1:$C$53,3,FALSE)</f>
        <v>K033</v>
      </c>
      <c r="H49">
        <v>90.789818945158757</v>
      </c>
    </row>
    <row r="50" spans="1:8">
      <c r="A50">
        <v>4</v>
      </c>
      <c r="B50" t="s">
        <v>33</v>
      </c>
      <c r="C50">
        <v>2011</v>
      </c>
      <c r="D50" t="s">
        <v>11</v>
      </c>
      <c r="E50" t="s">
        <v>4</v>
      </c>
      <c r="F50" t="s">
        <v>13</v>
      </c>
      <c r="G50" t="str">
        <f>VLOOKUP(A50,[1]Kreise!$A$1:$C$53,3,FALSE)</f>
        <v>K034</v>
      </c>
      <c r="H50">
        <v>89.929357647445372</v>
      </c>
    </row>
    <row r="51" spans="1:8">
      <c r="A51">
        <v>0</v>
      </c>
      <c r="B51" t="s">
        <v>34</v>
      </c>
      <c r="C51">
        <v>2011</v>
      </c>
      <c r="D51" t="s">
        <v>11</v>
      </c>
      <c r="E51" t="s">
        <v>4</v>
      </c>
      <c r="F51" t="s">
        <v>13</v>
      </c>
      <c r="G51" t="str">
        <f>VLOOKUP(A51,[1]Kreise!$A$1:$C$53,3,FALSE)</f>
        <v>K030</v>
      </c>
      <c r="H51">
        <v>88.63333121545206</v>
      </c>
    </row>
    <row r="52" spans="1:8">
      <c r="A52">
        <v>1</v>
      </c>
      <c r="B52" t="s">
        <v>145</v>
      </c>
      <c r="C52">
        <v>2010</v>
      </c>
      <c r="D52" t="s">
        <v>11</v>
      </c>
      <c r="E52" t="s">
        <v>4</v>
      </c>
      <c r="F52" t="s">
        <v>13</v>
      </c>
      <c r="G52" t="str">
        <f>VLOOKUP(A52,[1]Kreise!$A$1:$C$53,3,FALSE)</f>
        <v>K031</v>
      </c>
      <c r="H52">
        <v>86.239534037131421</v>
      </c>
    </row>
    <row r="53" spans="1:8">
      <c r="A53">
        <v>2</v>
      </c>
      <c r="B53" t="s">
        <v>146</v>
      </c>
      <c r="C53">
        <v>2010</v>
      </c>
      <c r="D53" t="s">
        <v>11</v>
      </c>
      <c r="E53" t="s">
        <v>4</v>
      </c>
      <c r="F53" t="s">
        <v>13</v>
      </c>
      <c r="G53" t="str">
        <f>VLOOKUP(A53,[1]Kreise!$A$1:$C$53,3,FALSE)</f>
        <v>K032</v>
      </c>
      <c r="H53">
        <v>83.760941744642309</v>
      </c>
    </row>
    <row r="54" spans="1:8">
      <c r="A54">
        <v>3</v>
      </c>
      <c r="B54" t="s">
        <v>147</v>
      </c>
      <c r="C54">
        <v>2010</v>
      </c>
      <c r="D54" t="s">
        <v>11</v>
      </c>
      <c r="E54" t="s">
        <v>4</v>
      </c>
      <c r="F54" t="s">
        <v>13</v>
      </c>
      <c r="G54" t="str">
        <f>VLOOKUP(A54,[1]Kreise!$A$1:$C$53,3,FALSE)</f>
        <v>K033</v>
      </c>
      <c r="H54">
        <v>90.6642259414226</v>
      </c>
    </row>
    <row r="55" spans="1:8">
      <c r="A55">
        <v>4</v>
      </c>
      <c r="B55" t="s">
        <v>148</v>
      </c>
      <c r="C55">
        <v>2010</v>
      </c>
      <c r="D55" t="s">
        <v>11</v>
      </c>
      <c r="E55" t="s">
        <v>4</v>
      </c>
      <c r="F55" t="s">
        <v>13</v>
      </c>
      <c r="G55" t="str">
        <f>VLOOKUP(A55,[1]Kreise!$A$1:$C$53,3,FALSE)</f>
        <v>K034</v>
      </c>
      <c r="H55">
        <v>90.694263363754885</v>
      </c>
    </row>
    <row r="56" spans="1:8">
      <c r="A56">
        <v>0</v>
      </c>
      <c r="B56" t="s">
        <v>34</v>
      </c>
      <c r="C56">
        <v>2010</v>
      </c>
      <c r="D56" t="s">
        <v>11</v>
      </c>
      <c r="E56" t="s">
        <v>4</v>
      </c>
      <c r="F56" t="s">
        <v>13</v>
      </c>
      <c r="G56" t="str">
        <f>VLOOKUP(A56,[1]Kreise!$A$1:$C$53,3,FALSE)</f>
        <v>K030</v>
      </c>
      <c r="H56">
        <v>88.489388264669174</v>
      </c>
    </row>
    <row r="57" spans="1:8">
      <c r="A57">
        <v>1</v>
      </c>
      <c r="B57" t="s">
        <v>145</v>
      </c>
      <c r="C57">
        <v>2005</v>
      </c>
      <c r="D57" t="s">
        <v>11</v>
      </c>
      <c r="E57" t="s">
        <v>4</v>
      </c>
      <c r="F57" t="s">
        <v>13</v>
      </c>
      <c r="G57" t="str">
        <f>VLOOKUP(A57,[1]Kreise!$A$1:$C$53,3,FALSE)</f>
        <v>K031</v>
      </c>
      <c r="H57">
        <v>86.913463805706201</v>
      </c>
    </row>
    <row r="58" spans="1:8">
      <c r="A58">
        <v>2</v>
      </c>
      <c r="B58" t="s">
        <v>146</v>
      </c>
      <c r="C58">
        <v>2005</v>
      </c>
      <c r="D58" t="s">
        <v>11</v>
      </c>
      <c r="E58" t="s">
        <v>4</v>
      </c>
      <c r="F58" t="s">
        <v>13</v>
      </c>
      <c r="G58" t="str">
        <f>VLOOKUP(A58,[1]Kreise!$A$1:$C$53,3,FALSE)</f>
        <v>K032</v>
      </c>
      <c r="H58">
        <v>85.288440917864037</v>
      </c>
    </row>
    <row r="59" spans="1:8">
      <c r="A59">
        <v>3</v>
      </c>
      <c r="B59" t="s">
        <v>147</v>
      </c>
      <c r="C59">
        <v>2005</v>
      </c>
      <c r="D59" t="s">
        <v>11</v>
      </c>
      <c r="E59" t="s">
        <v>4</v>
      </c>
      <c r="F59" t="s">
        <v>13</v>
      </c>
      <c r="G59" t="str">
        <f>VLOOKUP(A59,[1]Kreise!$A$1:$C$53,3,FALSE)</f>
        <v>K033</v>
      </c>
      <c r="H59">
        <v>90.577507598784194</v>
      </c>
    </row>
    <row r="60" spans="1:8">
      <c r="A60">
        <v>4</v>
      </c>
      <c r="B60" t="s">
        <v>148</v>
      </c>
      <c r="C60">
        <v>2005</v>
      </c>
      <c r="D60" t="s">
        <v>11</v>
      </c>
      <c r="E60" t="s">
        <v>4</v>
      </c>
      <c r="F60" t="s">
        <v>13</v>
      </c>
      <c r="G60" t="str">
        <f>VLOOKUP(A60,[1]Kreise!$A$1:$C$53,3,FALSE)</f>
        <v>K034</v>
      </c>
      <c r="H60">
        <v>92.082011780697783</v>
      </c>
    </row>
    <row r="61" spans="1:8">
      <c r="A61">
        <v>0</v>
      </c>
      <c r="B61" t="s">
        <v>34</v>
      </c>
      <c r="C61">
        <v>2005</v>
      </c>
      <c r="D61" t="s">
        <v>11</v>
      </c>
      <c r="E61" t="s">
        <v>4</v>
      </c>
      <c r="F61" t="s">
        <v>13</v>
      </c>
      <c r="G61" t="str">
        <f>VLOOKUP(A61,[1]Kreise!$A$1:$C$53,3,FALSE)</f>
        <v>K030</v>
      </c>
      <c r="H61">
        <v>89.423365487674161</v>
      </c>
    </row>
    <row r="62" spans="1:8">
      <c r="A62">
        <v>1</v>
      </c>
      <c r="B62" t="s">
        <v>30</v>
      </c>
      <c r="C62">
        <v>2020</v>
      </c>
      <c r="D62" t="s">
        <v>12</v>
      </c>
      <c r="E62" t="s">
        <v>4</v>
      </c>
      <c r="F62" t="s">
        <v>13</v>
      </c>
      <c r="G62" t="str">
        <f>VLOOKUP(A62,[1]Kreise!$A$1:$C$53,3,FALSE)</f>
        <v>K031</v>
      </c>
      <c r="H62">
        <v>29.37181663837012</v>
      </c>
    </row>
    <row r="63" spans="1:8">
      <c r="A63">
        <v>2</v>
      </c>
      <c r="B63" t="s">
        <v>31</v>
      </c>
      <c r="C63">
        <v>2020</v>
      </c>
      <c r="D63" t="s">
        <v>12</v>
      </c>
      <c r="E63" t="s">
        <v>4</v>
      </c>
      <c r="F63" t="s">
        <v>13</v>
      </c>
      <c r="G63" t="str">
        <f>VLOOKUP(A63,[1]Kreise!$A$1:$C$53,3,FALSE)</f>
        <v>K032</v>
      </c>
      <c r="H63">
        <v>31.827731092436974</v>
      </c>
    </row>
    <row r="64" spans="1:8">
      <c r="A64">
        <v>3</v>
      </c>
      <c r="B64" t="s">
        <v>32</v>
      </c>
      <c r="C64">
        <v>2020</v>
      </c>
      <c r="D64" t="s">
        <v>12</v>
      </c>
      <c r="E64" t="s">
        <v>4</v>
      </c>
      <c r="F64" t="s">
        <v>13</v>
      </c>
      <c r="G64" t="str">
        <f>VLOOKUP(A64,[1]Kreise!$A$1:$C$53,3,FALSE)</f>
        <v>K033</v>
      </c>
      <c r="H64">
        <v>19.275825346112885</v>
      </c>
    </row>
    <row r="65" spans="1:8">
      <c r="A65">
        <v>4</v>
      </c>
      <c r="B65" t="s">
        <v>33</v>
      </c>
      <c r="C65">
        <v>2020</v>
      </c>
      <c r="D65" t="s">
        <v>12</v>
      </c>
      <c r="E65" t="s">
        <v>4</v>
      </c>
      <c r="F65" t="s">
        <v>13</v>
      </c>
      <c r="G65" t="str">
        <f>VLOOKUP(A65,[1]Kreise!$A$1:$C$53,3,FALSE)</f>
        <v>K034</v>
      </c>
      <c r="H65">
        <v>24.696048632218844</v>
      </c>
    </row>
    <row r="66" spans="1:8">
      <c r="A66">
        <v>0</v>
      </c>
      <c r="B66" t="s">
        <v>34</v>
      </c>
      <c r="C66">
        <v>2020</v>
      </c>
      <c r="D66" t="s">
        <v>12</v>
      </c>
      <c r="E66" t="s">
        <v>4</v>
      </c>
      <c r="F66" t="s">
        <v>13</v>
      </c>
      <c r="G66" t="str">
        <f>VLOOKUP(A66,[1]Kreise!$A$1:$C$53,3,FALSE)</f>
        <v>K030</v>
      </c>
      <c r="H66">
        <v>26.339794754846068</v>
      </c>
    </row>
    <row r="67" spans="1:8">
      <c r="A67">
        <v>1</v>
      </c>
      <c r="B67" t="s">
        <v>30</v>
      </c>
      <c r="C67">
        <v>2019</v>
      </c>
      <c r="D67" t="s">
        <v>12</v>
      </c>
      <c r="E67" t="s">
        <v>4</v>
      </c>
      <c r="F67" t="s">
        <v>13</v>
      </c>
      <c r="G67" t="str">
        <f>VLOOKUP(A67,[1]Kreise!$A$1:$C$53,3,FALSE)</f>
        <v>K031</v>
      </c>
      <c r="H67">
        <v>28.068803752931977</v>
      </c>
    </row>
    <row r="68" spans="1:8">
      <c r="A68">
        <v>2</v>
      </c>
      <c r="B68" t="s">
        <v>31</v>
      </c>
      <c r="C68">
        <v>2019</v>
      </c>
      <c r="D68" t="s">
        <v>12</v>
      </c>
      <c r="E68" t="s">
        <v>4</v>
      </c>
      <c r="F68" t="s">
        <v>13</v>
      </c>
      <c r="G68" t="str">
        <f>VLOOKUP(A68,[1]Kreise!$A$1:$C$53,3,FALSE)</f>
        <v>K032</v>
      </c>
      <c r="H68">
        <v>30.019493177387911</v>
      </c>
    </row>
    <row r="69" spans="1:8">
      <c r="A69">
        <v>3</v>
      </c>
      <c r="B69" t="s">
        <v>32</v>
      </c>
      <c r="C69">
        <v>2019</v>
      </c>
      <c r="D69" t="s">
        <v>12</v>
      </c>
      <c r="E69" t="s">
        <v>4</v>
      </c>
      <c r="F69" t="s">
        <v>13</v>
      </c>
      <c r="G69" t="str">
        <f>VLOOKUP(A69,[1]Kreise!$A$1:$C$53,3,FALSE)</f>
        <v>K033</v>
      </c>
      <c r="H69">
        <v>18.257261410788381</v>
      </c>
    </row>
    <row r="70" spans="1:8">
      <c r="A70">
        <v>4</v>
      </c>
      <c r="B70" t="s">
        <v>33</v>
      </c>
      <c r="C70">
        <v>2019</v>
      </c>
      <c r="D70" t="s">
        <v>12</v>
      </c>
      <c r="E70" t="s">
        <v>4</v>
      </c>
      <c r="F70" t="s">
        <v>13</v>
      </c>
      <c r="G70" t="str">
        <f>VLOOKUP(A70,[1]Kreise!$A$1:$C$53,3,FALSE)</f>
        <v>K034</v>
      </c>
      <c r="H70">
        <v>23.350630096367681</v>
      </c>
    </row>
    <row r="71" spans="1:8">
      <c r="A71">
        <v>0</v>
      </c>
      <c r="B71" t="s">
        <v>34</v>
      </c>
      <c r="C71">
        <v>2019</v>
      </c>
      <c r="D71" t="s">
        <v>12</v>
      </c>
      <c r="E71" t="s">
        <v>4</v>
      </c>
      <c r="F71" t="s">
        <v>13</v>
      </c>
      <c r="G71" t="str">
        <f>VLOOKUP(A71,[1]Kreise!$A$1:$C$53,3,FALSE)</f>
        <v>K030</v>
      </c>
      <c r="H71">
        <v>25.075790385448244</v>
      </c>
    </row>
    <row r="72" spans="1:8">
      <c r="A72">
        <v>1</v>
      </c>
      <c r="B72" t="s">
        <v>30</v>
      </c>
      <c r="C72">
        <v>2018</v>
      </c>
      <c r="D72" t="s">
        <v>12</v>
      </c>
      <c r="E72" t="s">
        <v>4</v>
      </c>
      <c r="F72" t="s">
        <v>13</v>
      </c>
      <c r="G72" t="str">
        <f>VLOOKUP(A72,[1]Kreise!$A$1:$C$53,3,FALSE)</f>
        <v>K031</v>
      </c>
      <c r="H72">
        <v>26.097366320830005</v>
      </c>
    </row>
    <row r="73" spans="1:8">
      <c r="A73">
        <v>2</v>
      </c>
      <c r="B73" t="s">
        <v>31</v>
      </c>
      <c r="C73">
        <v>2018</v>
      </c>
      <c r="D73" t="s">
        <v>12</v>
      </c>
      <c r="E73" t="s">
        <v>4</v>
      </c>
      <c r="F73" t="s">
        <v>13</v>
      </c>
      <c r="G73" t="str">
        <f>VLOOKUP(A73,[1]Kreise!$A$1:$C$53,3,FALSE)</f>
        <v>K032</v>
      </c>
      <c r="H73">
        <v>30.671936758893281</v>
      </c>
    </row>
    <row r="74" spans="1:8">
      <c r="A74">
        <v>3</v>
      </c>
      <c r="B74" t="s">
        <v>32</v>
      </c>
      <c r="C74">
        <v>2018</v>
      </c>
      <c r="D74" t="s">
        <v>12</v>
      </c>
      <c r="E74" t="s">
        <v>4</v>
      </c>
      <c r="F74" t="s">
        <v>13</v>
      </c>
      <c r="G74" t="str">
        <f>VLOOKUP(A74,[1]Kreise!$A$1:$C$53,3,FALSE)</f>
        <v>K033</v>
      </c>
      <c r="H74">
        <v>16.450648055832502</v>
      </c>
    </row>
    <row r="75" spans="1:8">
      <c r="A75">
        <v>4</v>
      </c>
      <c r="B75" t="s">
        <v>33</v>
      </c>
      <c r="C75">
        <v>2018</v>
      </c>
      <c r="D75" t="s">
        <v>12</v>
      </c>
      <c r="E75" t="s">
        <v>4</v>
      </c>
      <c r="F75" t="s">
        <v>13</v>
      </c>
      <c r="G75" t="str">
        <f>VLOOKUP(A75,[1]Kreise!$A$1:$C$53,3,FALSE)</f>
        <v>K034</v>
      </c>
      <c r="H75">
        <v>20.90032154340836</v>
      </c>
    </row>
    <row r="76" spans="1:8">
      <c r="A76">
        <v>0</v>
      </c>
      <c r="B76" t="s">
        <v>34</v>
      </c>
      <c r="C76">
        <v>2018</v>
      </c>
      <c r="D76" t="s">
        <v>12</v>
      </c>
      <c r="E76" t="s">
        <v>4</v>
      </c>
      <c r="F76" t="s">
        <v>13</v>
      </c>
      <c r="G76" t="str">
        <f>VLOOKUP(A76,[1]Kreise!$A$1:$C$53,3,FALSE)</f>
        <v>K030</v>
      </c>
      <c r="H76">
        <v>23.739164696611507</v>
      </c>
    </row>
    <row r="77" spans="1:8">
      <c r="A77">
        <v>1</v>
      </c>
      <c r="B77" t="s">
        <v>30</v>
      </c>
      <c r="C77">
        <v>2017</v>
      </c>
      <c r="D77" t="s">
        <v>12</v>
      </c>
      <c r="E77" t="s">
        <v>4</v>
      </c>
      <c r="F77" t="s">
        <v>13</v>
      </c>
      <c r="G77" t="str">
        <f>VLOOKUP(A77,[1]Kreise!$A$1:$C$53,3,FALSE)</f>
        <v>K031</v>
      </c>
      <c r="H77">
        <v>22.727272727272727</v>
      </c>
    </row>
    <row r="78" spans="1:8">
      <c r="A78">
        <v>2</v>
      </c>
      <c r="B78" t="s">
        <v>31</v>
      </c>
      <c r="C78">
        <v>2017</v>
      </c>
      <c r="D78" t="s">
        <v>12</v>
      </c>
      <c r="E78" t="s">
        <v>4</v>
      </c>
      <c r="F78" t="s">
        <v>13</v>
      </c>
      <c r="G78" t="str">
        <f>VLOOKUP(A78,[1]Kreise!$A$1:$C$53,3,FALSE)</f>
        <v>K032</v>
      </c>
      <c r="H78">
        <v>27.614379084967322</v>
      </c>
    </row>
    <row r="79" spans="1:8">
      <c r="A79">
        <v>3</v>
      </c>
      <c r="B79" t="s">
        <v>32</v>
      </c>
      <c r="C79">
        <v>2017</v>
      </c>
      <c r="D79" t="s">
        <v>12</v>
      </c>
      <c r="E79" t="s">
        <v>4</v>
      </c>
      <c r="F79" t="s">
        <v>13</v>
      </c>
      <c r="G79" t="str">
        <f>VLOOKUP(A79,[1]Kreise!$A$1:$C$53,3,FALSE)</f>
        <v>K033</v>
      </c>
      <c r="H79">
        <v>16.251246261216352</v>
      </c>
    </row>
    <row r="80" spans="1:8">
      <c r="A80">
        <v>4</v>
      </c>
      <c r="B80" t="s">
        <v>33</v>
      </c>
      <c r="C80">
        <v>2017</v>
      </c>
      <c r="D80" t="s">
        <v>12</v>
      </c>
      <c r="E80" t="s">
        <v>4</v>
      </c>
      <c r="F80" t="s">
        <v>13</v>
      </c>
      <c r="G80" t="str">
        <f>VLOOKUP(A80,[1]Kreise!$A$1:$C$53,3,FALSE)</f>
        <v>K034</v>
      </c>
      <c r="H80">
        <v>16.398330351818725</v>
      </c>
    </row>
    <row r="81" spans="1:8">
      <c r="A81">
        <v>0</v>
      </c>
      <c r="B81" t="s">
        <v>34</v>
      </c>
      <c r="C81">
        <v>2017</v>
      </c>
      <c r="D81" t="s">
        <v>12</v>
      </c>
      <c r="E81" t="s">
        <v>4</v>
      </c>
      <c r="F81" t="s">
        <v>13</v>
      </c>
      <c r="G81" t="str">
        <f>VLOOKUP(A81,[1]Kreise!$A$1:$C$53,3,FALSE)</f>
        <v>K030</v>
      </c>
      <c r="H81">
        <v>20.588235294117645</v>
      </c>
    </row>
    <row r="82" spans="1:8">
      <c r="A82">
        <v>1</v>
      </c>
      <c r="B82" t="s">
        <v>30</v>
      </c>
      <c r="C82">
        <v>2016</v>
      </c>
      <c r="D82" t="s">
        <v>12</v>
      </c>
      <c r="E82" t="s">
        <v>4</v>
      </c>
      <c r="F82" t="s">
        <v>13</v>
      </c>
      <c r="G82" t="str">
        <f>VLOOKUP(A82,[1]Kreise!$A$1:$C$53,3,FALSE)</f>
        <v>K031</v>
      </c>
      <c r="H82">
        <v>18.596491228070175</v>
      </c>
    </row>
    <row r="83" spans="1:8">
      <c r="A83">
        <v>2</v>
      </c>
      <c r="B83" t="s">
        <v>31</v>
      </c>
      <c r="C83">
        <v>2016</v>
      </c>
      <c r="D83" t="s">
        <v>12</v>
      </c>
      <c r="E83" t="s">
        <v>4</v>
      </c>
      <c r="F83" t="s">
        <v>13</v>
      </c>
      <c r="G83" t="str">
        <f>VLOOKUP(A83,[1]Kreise!$A$1:$C$53,3,FALSE)</f>
        <v>K032</v>
      </c>
      <c r="H83">
        <v>21.155234657039713</v>
      </c>
    </row>
    <row r="84" spans="1:8">
      <c r="A84">
        <v>3</v>
      </c>
      <c r="B84" t="s">
        <v>32</v>
      </c>
      <c r="C84">
        <v>2016</v>
      </c>
      <c r="D84" t="s">
        <v>12</v>
      </c>
      <c r="E84" t="s">
        <v>4</v>
      </c>
      <c r="F84" t="s">
        <v>13</v>
      </c>
      <c r="G84" t="str">
        <f>VLOOKUP(A84,[1]Kreise!$A$1:$C$53,3,FALSE)</f>
        <v>K033</v>
      </c>
      <c r="H84">
        <v>15.656565656565657</v>
      </c>
    </row>
    <row r="85" spans="1:8">
      <c r="A85">
        <v>4</v>
      </c>
      <c r="B85" t="s">
        <v>33</v>
      </c>
      <c r="C85">
        <v>2016</v>
      </c>
      <c r="D85" t="s">
        <v>12</v>
      </c>
      <c r="E85" t="s">
        <v>4</v>
      </c>
      <c r="F85" t="s">
        <v>13</v>
      </c>
      <c r="G85" t="str">
        <f>VLOOKUP(A85,[1]Kreise!$A$1:$C$53,3,FALSE)</f>
        <v>K034</v>
      </c>
      <c r="H85">
        <v>15.676728334956183</v>
      </c>
    </row>
    <row r="86" spans="1:8">
      <c r="A86">
        <v>0</v>
      </c>
      <c r="B86" t="s">
        <v>34</v>
      </c>
      <c r="C86">
        <v>2016</v>
      </c>
      <c r="D86" t="s">
        <v>12</v>
      </c>
      <c r="E86" t="s">
        <v>4</v>
      </c>
      <c r="F86" t="s">
        <v>13</v>
      </c>
      <c r="G86" t="str">
        <f>VLOOKUP(A86,[1]Kreise!$A$1:$C$53,3,FALSE)</f>
        <v>K030</v>
      </c>
      <c r="H86">
        <v>17.61401189689359</v>
      </c>
    </row>
    <row r="87" spans="1:8">
      <c r="A87">
        <v>1</v>
      </c>
      <c r="B87" t="s">
        <v>30</v>
      </c>
      <c r="C87">
        <v>2015</v>
      </c>
      <c r="D87" t="s">
        <v>12</v>
      </c>
      <c r="E87" t="s">
        <v>4</v>
      </c>
      <c r="F87" t="s">
        <v>13</v>
      </c>
      <c r="G87" t="str">
        <f>VLOOKUP(A87,[1]Kreise!$A$1:$C$53,3,FALSE)</f>
        <v>K031</v>
      </c>
      <c r="H87">
        <v>15.507649513212796</v>
      </c>
    </row>
    <row r="88" spans="1:8">
      <c r="A88">
        <v>2</v>
      </c>
      <c r="B88" t="s">
        <v>31</v>
      </c>
      <c r="C88">
        <v>2015</v>
      </c>
      <c r="D88" t="s">
        <v>12</v>
      </c>
      <c r="E88" t="s">
        <v>4</v>
      </c>
      <c r="F88" t="s">
        <v>13</v>
      </c>
      <c r="G88" t="str">
        <f>VLOOKUP(A88,[1]Kreise!$A$1:$C$53,3,FALSE)</f>
        <v>K032</v>
      </c>
      <c r="H88">
        <v>20.143415906127771</v>
      </c>
    </row>
    <row r="89" spans="1:8">
      <c r="A89">
        <v>3</v>
      </c>
      <c r="B89" t="s">
        <v>32</v>
      </c>
      <c r="C89">
        <v>2015</v>
      </c>
      <c r="D89" t="s">
        <v>12</v>
      </c>
      <c r="E89" t="s">
        <v>4</v>
      </c>
      <c r="F89" t="s">
        <v>13</v>
      </c>
      <c r="G89" t="str">
        <f>VLOOKUP(A89,[1]Kreise!$A$1:$C$53,3,FALSE)</f>
        <v>K033</v>
      </c>
      <c r="H89">
        <v>14.602446483180428</v>
      </c>
    </row>
    <row r="90" spans="1:8">
      <c r="A90">
        <v>4</v>
      </c>
      <c r="B90" t="s">
        <v>33</v>
      </c>
      <c r="C90">
        <v>2015</v>
      </c>
      <c r="D90" t="s">
        <v>12</v>
      </c>
      <c r="E90" t="s">
        <v>4</v>
      </c>
      <c r="F90" t="s">
        <v>13</v>
      </c>
      <c r="G90" t="str">
        <f>VLOOKUP(A90,[1]Kreise!$A$1:$C$53,3,FALSE)</f>
        <v>K034</v>
      </c>
      <c r="H90">
        <v>13.982878108438646</v>
      </c>
    </row>
    <row r="91" spans="1:8">
      <c r="A91">
        <v>0</v>
      </c>
      <c r="B91" t="s">
        <v>34</v>
      </c>
      <c r="C91">
        <v>2015</v>
      </c>
      <c r="D91" t="s">
        <v>12</v>
      </c>
      <c r="E91" t="s">
        <v>4</v>
      </c>
      <c r="F91" t="s">
        <v>13</v>
      </c>
      <c r="G91" t="str">
        <f>VLOOKUP(A91,[1]Kreise!$A$1:$C$53,3,FALSE)</f>
        <v>K030</v>
      </c>
      <c r="H91">
        <v>15.832466953809595</v>
      </c>
    </row>
    <row r="92" spans="1:8">
      <c r="A92">
        <v>1</v>
      </c>
      <c r="B92" t="s">
        <v>145</v>
      </c>
      <c r="C92">
        <v>2014</v>
      </c>
      <c r="D92" t="s">
        <v>12</v>
      </c>
      <c r="E92" t="s">
        <v>4</v>
      </c>
      <c r="F92" t="s">
        <v>13</v>
      </c>
      <c r="G92" t="str">
        <f>VLOOKUP(A92,[1]Kreise!$A$1:$C$53,3,FALSE)</f>
        <v>K031</v>
      </c>
      <c r="H92">
        <v>13.499716392512761</v>
      </c>
    </row>
    <row r="93" spans="1:8">
      <c r="A93">
        <v>2</v>
      </c>
      <c r="B93" t="s">
        <v>146</v>
      </c>
      <c r="C93">
        <v>2014</v>
      </c>
      <c r="D93" t="s">
        <v>12</v>
      </c>
      <c r="E93" t="s">
        <v>4</v>
      </c>
      <c r="F93" t="s">
        <v>13</v>
      </c>
      <c r="G93" t="str">
        <f>VLOOKUP(A93,[1]Kreise!$A$1:$C$53,3,FALSE)</f>
        <v>K032</v>
      </c>
      <c r="H93">
        <v>15.90559261159569</v>
      </c>
    </row>
    <row r="94" spans="1:8">
      <c r="A94">
        <v>3</v>
      </c>
      <c r="B94" t="s">
        <v>147</v>
      </c>
      <c r="C94">
        <v>2014</v>
      </c>
      <c r="D94" t="s">
        <v>12</v>
      </c>
      <c r="E94" t="s">
        <v>4</v>
      </c>
      <c r="F94" t="s">
        <v>13</v>
      </c>
      <c r="G94" t="str">
        <f>VLOOKUP(A94,[1]Kreise!$A$1:$C$53,3,FALSE)</f>
        <v>K033</v>
      </c>
      <c r="H94">
        <v>10.959548447789276</v>
      </c>
    </row>
    <row r="95" spans="1:8">
      <c r="A95">
        <v>4</v>
      </c>
      <c r="B95" t="s">
        <v>148</v>
      </c>
      <c r="C95">
        <v>2014</v>
      </c>
      <c r="D95" t="s">
        <v>12</v>
      </c>
      <c r="E95" t="s">
        <v>4</v>
      </c>
      <c r="F95" t="s">
        <v>13</v>
      </c>
      <c r="G95" t="str">
        <f>VLOOKUP(A95,[1]Kreise!$A$1:$C$53,3,FALSE)</f>
        <v>K034</v>
      </c>
      <c r="H95">
        <v>12.584200857317821</v>
      </c>
    </row>
    <row r="96" spans="1:8">
      <c r="A96">
        <v>0</v>
      </c>
      <c r="B96" t="s">
        <v>34</v>
      </c>
      <c r="C96">
        <v>2014</v>
      </c>
      <c r="D96" t="s">
        <v>12</v>
      </c>
      <c r="E96" t="s">
        <v>4</v>
      </c>
      <c r="F96" t="s">
        <v>13</v>
      </c>
      <c r="G96" t="str">
        <f>VLOOKUP(A96,[1]Kreise!$A$1:$C$53,3,FALSE)</f>
        <v>K030</v>
      </c>
      <c r="H96">
        <v>13.093145869947275</v>
      </c>
    </row>
    <row r="97" spans="1:8">
      <c r="A97">
        <v>1</v>
      </c>
      <c r="B97" t="s">
        <v>30</v>
      </c>
      <c r="C97">
        <v>2013</v>
      </c>
      <c r="D97" t="s">
        <v>12</v>
      </c>
      <c r="E97" t="s">
        <v>4</v>
      </c>
      <c r="F97" t="s">
        <v>13</v>
      </c>
      <c r="G97" t="str">
        <f>VLOOKUP(A97,[1]Kreise!$A$1:$C$53,3,FALSE)</f>
        <v>K031</v>
      </c>
      <c r="H97">
        <v>12.334593572778827</v>
      </c>
    </row>
    <row r="98" spans="1:8">
      <c r="A98">
        <v>2</v>
      </c>
      <c r="B98" t="s">
        <v>31</v>
      </c>
      <c r="C98">
        <v>2013</v>
      </c>
      <c r="D98" t="s">
        <v>12</v>
      </c>
      <c r="E98" t="s">
        <v>4</v>
      </c>
      <c r="F98" t="s">
        <v>13</v>
      </c>
      <c r="G98" t="str">
        <f>VLOOKUP(A98,[1]Kreise!$A$1:$C$53,3,FALSE)</f>
        <v>K032</v>
      </c>
      <c r="H98">
        <v>15.939349112426035</v>
      </c>
    </row>
    <row r="99" spans="1:8">
      <c r="A99">
        <v>3</v>
      </c>
      <c r="B99" t="s">
        <v>32</v>
      </c>
      <c r="C99">
        <v>2013</v>
      </c>
      <c r="D99" t="s">
        <v>12</v>
      </c>
      <c r="E99" t="s">
        <v>4</v>
      </c>
      <c r="F99" t="s">
        <v>13</v>
      </c>
      <c r="G99" t="str">
        <f>VLOOKUP(A99,[1]Kreise!$A$1:$C$53,3,FALSE)</f>
        <v>K033</v>
      </c>
      <c r="H99">
        <v>8.8090853284223449</v>
      </c>
    </row>
    <row r="100" spans="1:8">
      <c r="A100">
        <v>4</v>
      </c>
      <c r="B100" t="s">
        <v>33</v>
      </c>
      <c r="C100">
        <v>2013</v>
      </c>
      <c r="D100" t="s">
        <v>12</v>
      </c>
      <c r="E100" t="s">
        <v>4</v>
      </c>
      <c r="F100" t="s">
        <v>13</v>
      </c>
      <c r="G100" t="str">
        <f>VLOOKUP(A100,[1]Kreise!$A$1:$C$53,3,FALSE)</f>
        <v>K034</v>
      </c>
      <c r="H100">
        <v>9.5992179863147609</v>
      </c>
    </row>
    <row r="101" spans="1:8">
      <c r="A101">
        <v>0</v>
      </c>
      <c r="B101" t="s">
        <v>34</v>
      </c>
      <c r="C101">
        <v>2013</v>
      </c>
      <c r="D101" t="s">
        <v>12</v>
      </c>
      <c r="E101" t="s">
        <v>4</v>
      </c>
      <c r="F101" t="s">
        <v>13</v>
      </c>
      <c r="G101" t="str">
        <f>VLOOKUP(A101,[1]Kreise!$A$1:$C$53,3,FALSE)</f>
        <v>K030</v>
      </c>
      <c r="H101">
        <v>11.142272417190934</v>
      </c>
    </row>
    <row r="102" spans="1:8">
      <c r="A102">
        <v>1</v>
      </c>
      <c r="B102" t="s">
        <v>145</v>
      </c>
      <c r="C102">
        <v>2012</v>
      </c>
      <c r="D102" t="s">
        <v>12</v>
      </c>
      <c r="E102" t="s">
        <v>4</v>
      </c>
      <c r="F102" t="s">
        <v>13</v>
      </c>
      <c r="G102" t="str">
        <f>VLOOKUP(A102,[1]Kreise!$A$1:$C$53,3,FALSE)</f>
        <v>K031</v>
      </c>
      <c r="H102">
        <v>12.56739941932808</v>
      </c>
    </row>
    <row r="103" spans="1:8">
      <c r="A103">
        <v>2</v>
      </c>
      <c r="B103" t="s">
        <v>146</v>
      </c>
      <c r="C103">
        <v>2012</v>
      </c>
      <c r="D103" t="s">
        <v>12</v>
      </c>
      <c r="E103" t="s">
        <v>4</v>
      </c>
      <c r="F103" t="s">
        <v>13</v>
      </c>
      <c r="G103" t="str">
        <f>VLOOKUP(A103,[1]Kreise!$A$1:$C$53,3,FALSE)</f>
        <v>K032</v>
      </c>
      <c r="H103">
        <v>16.045159083133768</v>
      </c>
    </row>
    <row r="104" spans="1:8">
      <c r="A104">
        <v>3</v>
      </c>
      <c r="B104" t="s">
        <v>147</v>
      </c>
      <c r="C104">
        <v>2012</v>
      </c>
      <c r="D104" t="s">
        <v>12</v>
      </c>
      <c r="E104" t="s">
        <v>4</v>
      </c>
      <c r="F104" t="s">
        <v>13</v>
      </c>
      <c r="G104" t="str">
        <f>VLOOKUP(A104,[1]Kreise!$A$1:$C$53,3,FALSE)</f>
        <v>K033</v>
      </c>
      <c r="H104">
        <v>9.6080165045682282</v>
      </c>
    </row>
    <row r="105" spans="1:8">
      <c r="A105">
        <v>4</v>
      </c>
      <c r="B105" t="s">
        <v>148</v>
      </c>
      <c r="C105">
        <v>2012</v>
      </c>
      <c r="D105" t="s">
        <v>12</v>
      </c>
      <c r="E105" t="s">
        <v>4</v>
      </c>
      <c r="F105" t="s">
        <v>13</v>
      </c>
      <c r="G105" t="str">
        <f>VLOOKUP(A105,[1]Kreise!$A$1:$C$53,3,FALSE)</f>
        <v>K034</v>
      </c>
      <c r="H105">
        <v>9.9928366762177649</v>
      </c>
    </row>
    <row r="106" spans="1:8">
      <c r="A106">
        <v>0</v>
      </c>
      <c r="B106" t="s">
        <v>34</v>
      </c>
      <c r="C106">
        <v>2012</v>
      </c>
      <c r="D106" t="s">
        <v>12</v>
      </c>
      <c r="E106" t="s">
        <v>4</v>
      </c>
      <c r="F106" t="s">
        <v>13</v>
      </c>
      <c r="G106" t="str">
        <f>VLOOKUP(A106,[1]Kreise!$A$1:$C$53,3,FALSE)</f>
        <v>K030</v>
      </c>
      <c r="H106">
        <v>11.571518412410034</v>
      </c>
    </row>
    <row r="107" spans="1:8">
      <c r="A107">
        <v>1</v>
      </c>
      <c r="B107" t="s">
        <v>30</v>
      </c>
      <c r="C107">
        <v>2011</v>
      </c>
      <c r="D107" t="s">
        <v>12</v>
      </c>
      <c r="E107" t="s">
        <v>4</v>
      </c>
      <c r="F107" t="s">
        <v>13</v>
      </c>
      <c r="G107" t="str">
        <f>VLOOKUP(A107,[1]Kreise!$A$1:$C$53,3,FALSE)</f>
        <v>K031</v>
      </c>
      <c r="H107">
        <v>12.639691714836223</v>
      </c>
    </row>
    <row r="108" spans="1:8">
      <c r="A108">
        <v>2</v>
      </c>
      <c r="B108" t="s">
        <v>31</v>
      </c>
      <c r="C108">
        <v>2011</v>
      </c>
      <c r="D108" t="s">
        <v>12</v>
      </c>
      <c r="E108" t="s">
        <v>4</v>
      </c>
      <c r="F108" t="s">
        <v>13</v>
      </c>
      <c r="G108" t="str">
        <f>VLOOKUP(A108,[1]Kreise!$A$1:$C$53,3,FALSE)</f>
        <v>K032</v>
      </c>
      <c r="H108">
        <v>15.311152187307457</v>
      </c>
    </row>
    <row r="109" spans="1:8">
      <c r="A109">
        <v>3</v>
      </c>
      <c r="B109" t="s">
        <v>32</v>
      </c>
      <c r="C109">
        <v>2011</v>
      </c>
      <c r="D109" t="s">
        <v>12</v>
      </c>
      <c r="E109" t="s">
        <v>4</v>
      </c>
      <c r="F109" t="s">
        <v>13</v>
      </c>
      <c r="G109" t="str">
        <f>VLOOKUP(A109,[1]Kreise!$A$1:$C$53,3,FALSE)</f>
        <v>K033</v>
      </c>
      <c r="H109">
        <v>9.2101810548412484</v>
      </c>
    </row>
    <row r="110" spans="1:8">
      <c r="A110">
        <v>4</v>
      </c>
      <c r="B110" t="s">
        <v>33</v>
      </c>
      <c r="C110">
        <v>2011</v>
      </c>
      <c r="D110" t="s">
        <v>12</v>
      </c>
      <c r="E110" t="s">
        <v>4</v>
      </c>
      <c r="F110" t="s">
        <v>13</v>
      </c>
      <c r="G110" t="str">
        <f>VLOOKUP(A110,[1]Kreise!$A$1:$C$53,3,FALSE)</f>
        <v>K034</v>
      </c>
      <c r="H110">
        <v>10.070642352554625</v>
      </c>
    </row>
    <row r="111" spans="1:8">
      <c r="A111">
        <v>0</v>
      </c>
      <c r="B111" t="s">
        <v>34</v>
      </c>
      <c r="C111">
        <v>2011</v>
      </c>
      <c r="D111" t="s">
        <v>12</v>
      </c>
      <c r="E111" t="s">
        <v>4</v>
      </c>
      <c r="F111" t="s">
        <v>13</v>
      </c>
      <c r="G111" t="str">
        <f>VLOOKUP(A111,[1]Kreise!$A$1:$C$53,3,FALSE)</f>
        <v>K030</v>
      </c>
      <c r="H111">
        <v>11.366668784547938</v>
      </c>
    </row>
    <row r="112" spans="1:8">
      <c r="A112">
        <v>1</v>
      </c>
      <c r="B112" t="s">
        <v>145</v>
      </c>
      <c r="C112">
        <v>2010</v>
      </c>
      <c r="D112" t="s">
        <v>12</v>
      </c>
      <c r="E112" t="s">
        <v>4</v>
      </c>
      <c r="F112" t="s">
        <v>13</v>
      </c>
      <c r="G112" t="str">
        <f>VLOOKUP(A112,[1]Kreise!$A$1:$C$53,3,FALSE)</f>
        <v>K031</v>
      </c>
      <c r="H112">
        <v>13.760465962868585</v>
      </c>
    </row>
    <row r="113" spans="1:8">
      <c r="A113">
        <v>2</v>
      </c>
      <c r="B113" t="s">
        <v>146</v>
      </c>
      <c r="C113">
        <v>2010</v>
      </c>
      <c r="D113" t="s">
        <v>12</v>
      </c>
      <c r="E113" t="s">
        <v>4</v>
      </c>
      <c r="F113" t="s">
        <v>13</v>
      </c>
      <c r="G113" t="str">
        <f>VLOOKUP(A113,[1]Kreise!$A$1:$C$53,3,FALSE)</f>
        <v>K032</v>
      </c>
      <c r="H113">
        <v>16.239058255357683</v>
      </c>
    </row>
    <row r="114" spans="1:8">
      <c r="A114">
        <v>3</v>
      </c>
      <c r="B114" t="s">
        <v>147</v>
      </c>
      <c r="C114">
        <v>2010</v>
      </c>
      <c r="D114" t="s">
        <v>12</v>
      </c>
      <c r="E114" t="s">
        <v>4</v>
      </c>
      <c r="F114" t="s">
        <v>13</v>
      </c>
      <c r="G114" t="str">
        <f>VLOOKUP(A114,[1]Kreise!$A$1:$C$53,3,FALSE)</f>
        <v>K033</v>
      </c>
      <c r="H114">
        <v>9.3357740585774067</v>
      </c>
    </row>
    <row r="115" spans="1:8">
      <c r="A115">
        <v>4</v>
      </c>
      <c r="B115" t="s">
        <v>148</v>
      </c>
      <c r="C115">
        <v>2010</v>
      </c>
      <c r="D115" t="s">
        <v>12</v>
      </c>
      <c r="E115" t="s">
        <v>4</v>
      </c>
      <c r="F115" t="s">
        <v>13</v>
      </c>
      <c r="G115" t="str">
        <f>VLOOKUP(A115,[1]Kreise!$A$1:$C$53,3,FALSE)</f>
        <v>K034</v>
      </c>
      <c r="H115">
        <v>9.3057366362451113</v>
      </c>
    </row>
    <row r="116" spans="1:8">
      <c r="A116">
        <v>0</v>
      </c>
      <c r="B116" t="s">
        <v>34</v>
      </c>
      <c r="C116">
        <v>2010</v>
      </c>
      <c r="D116" t="s">
        <v>12</v>
      </c>
      <c r="E116" t="s">
        <v>4</v>
      </c>
      <c r="F116" t="s">
        <v>13</v>
      </c>
      <c r="G116" t="str">
        <f>VLOOKUP(A116,[1]Kreise!$A$1:$C$53,3,FALSE)</f>
        <v>K030</v>
      </c>
      <c r="H116">
        <v>11.510611735330837</v>
      </c>
    </row>
    <row r="117" spans="1:8">
      <c r="A117">
        <v>1</v>
      </c>
      <c r="B117" t="s">
        <v>145</v>
      </c>
      <c r="C117">
        <v>2005</v>
      </c>
      <c r="D117" t="s">
        <v>12</v>
      </c>
      <c r="E117" t="s">
        <v>4</v>
      </c>
      <c r="F117" t="s">
        <v>13</v>
      </c>
      <c r="G117" t="str">
        <f>VLOOKUP(A117,[1]Kreise!$A$1:$C$53,3,FALSE)</f>
        <v>K031</v>
      </c>
      <c r="H117">
        <v>13.086536194293799</v>
      </c>
    </row>
    <row r="118" spans="1:8">
      <c r="A118">
        <v>2</v>
      </c>
      <c r="B118" t="s">
        <v>146</v>
      </c>
      <c r="C118">
        <v>2005</v>
      </c>
      <c r="D118" t="s">
        <v>12</v>
      </c>
      <c r="E118" t="s">
        <v>4</v>
      </c>
      <c r="F118" t="s">
        <v>13</v>
      </c>
      <c r="G118" t="str">
        <f>VLOOKUP(A118,[1]Kreise!$A$1:$C$53,3,FALSE)</f>
        <v>K032</v>
      </c>
      <c r="H118">
        <v>14.711559082135963</v>
      </c>
    </row>
    <row r="119" spans="1:8">
      <c r="A119">
        <v>3</v>
      </c>
      <c r="B119" t="s">
        <v>147</v>
      </c>
      <c r="C119">
        <v>2005</v>
      </c>
      <c r="D119" t="s">
        <v>12</v>
      </c>
      <c r="E119" t="s">
        <v>4</v>
      </c>
      <c r="F119" t="s">
        <v>13</v>
      </c>
      <c r="G119" t="str">
        <f>VLOOKUP(A119,[1]Kreise!$A$1:$C$53,3,FALSE)</f>
        <v>K033</v>
      </c>
      <c r="H119">
        <v>9.4224924012158056</v>
      </c>
    </row>
    <row r="120" spans="1:8">
      <c r="A120">
        <v>4</v>
      </c>
      <c r="B120" t="s">
        <v>148</v>
      </c>
      <c r="C120">
        <v>2005</v>
      </c>
      <c r="D120" t="s">
        <v>12</v>
      </c>
      <c r="E120" t="s">
        <v>4</v>
      </c>
      <c r="F120" t="s">
        <v>13</v>
      </c>
      <c r="G120" t="str">
        <f>VLOOKUP(A120,[1]Kreise!$A$1:$C$53,3,FALSE)</f>
        <v>K034</v>
      </c>
      <c r="H120">
        <v>7.9179882193022202</v>
      </c>
    </row>
    <row r="121" spans="1:8">
      <c r="A121">
        <v>0</v>
      </c>
      <c r="B121" t="s">
        <v>34</v>
      </c>
      <c r="C121">
        <v>2005</v>
      </c>
      <c r="D121" t="s">
        <v>12</v>
      </c>
      <c r="E121" t="s">
        <v>4</v>
      </c>
      <c r="F121" t="s">
        <v>13</v>
      </c>
      <c r="G121" t="str">
        <f>VLOOKUP(A121,[1]Kreise!$A$1:$C$53,3,FALSE)</f>
        <v>K030</v>
      </c>
      <c r="H121">
        <v>10.57663451232583</v>
      </c>
    </row>
    <row r="122" spans="1:8">
      <c r="A122">
        <v>1</v>
      </c>
      <c r="B122" t="s">
        <v>30</v>
      </c>
      <c r="C122">
        <v>2020</v>
      </c>
      <c r="D122" t="s">
        <v>11</v>
      </c>
      <c r="E122" t="s">
        <v>5</v>
      </c>
      <c r="F122" t="s">
        <v>13</v>
      </c>
      <c r="G122" t="str">
        <f>VLOOKUP(A122,[1]Kreise!$A$1:$C$53,3,FALSE)</f>
        <v>K031</v>
      </c>
      <c r="H122">
        <v>88.866956178444539</v>
      </c>
    </row>
    <row r="123" spans="1:8">
      <c r="A123">
        <v>2</v>
      </c>
      <c r="B123" t="s">
        <v>31</v>
      </c>
      <c r="C123">
        <v>2020</v>
      </c>
      <c r="D123" t="s">
        <v>11</v>
      </c>
      <c r="E123" t="s">
        <v>5</v>
      </c>
      <c r="F123" t="s">
        <v>13</v>
      </c>
      <c r="G123" t="str">
        <f>VLOOKUP(A123,[1]Kreise!$A$1:$C$53,3,FALSE)</f>
        <v>K032</v>
      </c>
      <c r="H123">
        <v>86.927449013707786</v>
      </c>
    </row>
    <row r="124" spans="1:8">
      <c r="A124">
        <v>3</v>
      </c>
      <c r="B124" t="s">
        <v>32</v>
      </c>
      <c r="C124">
        <v>2020</v>
      </c>
      <c r="D124" t="s">
        <v>11</v>
      </c>
      <c r="E124" t="s">
        <v>5</v>
      </c>
      <c r="F124" t="s">
        <v>13</v>
      </c>
      <c r="G124" t="str">
        <f>VLOOKUP(A124,[1]Kreise!$A$1:$C$53,3,FALSE)</f>
        <v>K033</v>
      </c>
      <c r="H124">
        <v>91.538461538461533</v>
      </c>
    </row>
    <row r="125" spans="1:8">
      <c r="A125">
        <v>4</v>
      </c>
      <c r="B125" t="s">
        <v>33</v>
      </c>
      <c r="C125">
        <v>2020</v>
      </c>
      <c r="D125" t="s">
        <v>11</v>
      </c>
      <c r="E125" t="s">
        <v>5</v>
      </c>
      <c r="F125" t="s">
        <v>13</v>
      </c>
      <c r="G125" t="str">
        <f>VLOOKUP(A125,[1]Kreise!$A$1:$C$53,3,FALSE)</f>
        <v>K034</v>
      </c>
      <c r="H125">
        <v>90.189642596644788</v>
      </c>
    </row>
    <row r="126" spans="1:8">
      <c r="A126">
        <v>0</v>
      </c>
      <c r="B126" t="s">
        <v>34</v>
      </c>
      <c r="C126">
        <v>2020</v>
      </c>
      <c r="D126" t="s">
        <v>11</v>
      </c>
      <c r="E126" t="s">
        <v>5</v>
      </c>
      <c r="F126" t="s">
        <v>13</v>
      </c>
      <c r="G126" t="str">
        <f>VLOOKUP(A126,[1]Kreise!$A$1:$C$53,3,FALSE)</f>
        <v>K030</v>
      </c>
      <c r="H126">
        <v>89.193891358979315</v>
      </c>
    </row>
    <row r="127" spans="1:8">
      <c r="A127">
        <v>1</v>
      </c>
      <c r="B127" t="s">
        <v>30</v>
      </c>
      <c r="C127">
        <v>2019</v>
      </c>
      <c r="D127" t="s">
        <v>11</v>
      </c>
      <c r="E127" t="s">
        <v>5</v>
      </c>
      <c r="F127" t="s">
        <v>13</v>
      </c>
      <c r="G127" t="str">
        <f>VLOOKUP(A127,[1]Kreise!$A$1:$C$53,3,FALSE)</f>
        <v>K031</v>
      </c>
      <c r="H127">
        <v>88.690022848438687</v>
      </c>
    </row>
    <row r="128" spans="1:8">
      <c r="A128">
        <v>2</v>
      </c>
      <c r="B128" t="s">
        <v>31</v>
      </c>
      <c r="C128">
        <v>2019</v>
      </c>
      <c r="D128" t="s">
        <v>11</v>
      </c>
      <c r="E128" t="s">
        <v>5</v>
      </c>
      <c r="F128" t="s">
        <v>13</v>
      </c>
      <c r="G128" t="str">
        <f>VLOOKUP(A128,[1]Kreise!$A$1:$C$53,3,FALSE)</f>
        <v>K032</v>
      </c>
      <c r="H128">
        <v>87.109249113760882</v>
      </c>
    </row>
    <row r="129" spans="1:8">
      <c r="A129">
        <v>3</v>
      </c>
      <c r="B129" t="s">
        <v>32</v>
      </c>
      <c r="C129">
        <v>2019</v>
      </c>
      <c r="D129" t="s">
        <v>11</v>
      </c>
      <c r="E129" t="s">
        <v>5</v>
      </c>
      <c r="F129" t="s">
        <v>13</v>
      </c>
      <c r="G129" t="str">
        <f>VLOOKUP(A129,[1]Kreise!$A$1:$C$53,3,FALSE)</f>
        <v>K033</v>
      </c>
      <c r="H129">
        <v>92.666051660516601</v>
      </c>
    </row>
    <row r="130" spans="1:8">
      <c r="A130">
        <v>4</v>
      </c>
      <c r="B130" t="s">
        <v>33</v>
      </c>
      <c r="C130">
        <v>2019</v>
      </c>
      <c r="D130" t="s">
        <v>11</v>
      </c>
      <c r="E130" t="s">
        <v>5</v>
      </c>
      <c r="F130" t="s">
        <v>13</v>
      </c>
      <c r="G130" t="str">
        <f>VLOOKUP(A130,[1]Kreise!$A$1:$C$53,3,FALSE)</f>
        <v>K034</v>
      </c>
      <c r="H130">
        <v>91.80921052631578</v>
      </c>
    </row>
    <row r="131" spans="1:8">
      <c r="A131">
        <v>0</v>
      </c>
      <c r="B131" t="s">
        <v>34</v>
      </c>
      <c r="C131">
        <v>2019</v>
      </c>
      <c r="D131" t="s">
        <v>11</v>
      </c>
      <c r="E131" t="s">
        <v>5</v>
      </c>
      <c r="F131" t="s">
        <v>13</v>
      </c>
      <c r="G131" t="str">
        <f>VLOOKUP(A131,[1]Kreise!$A$1:$C$53,3,FALSE)</f>
        <v>K030</v>
      </c>
      <c r="H131">
        <v>89.896680991131035</v>
      </c>
    </row>
    <row r="132" spans="1:8">
      <c r="A132">
        <v>1</v>
      </c>
      <c r="B132" t="s">
        <v>30</v>
      </c>
      <c r="C132">
        <v>2018</v>
      </c>
      <c r="D132" t="s">
        <v>11</v>
      </c>
      <c r="E132" t="s">
        <v>5</v>
      </c>
      <c r="F132" t="s">
        <v>13</v>
      </c>
      <c r="G132" t="str">
        <f>VLOOKUP(A132,[1]Kreise!$A$1:$C$53,3,FALSE)</f>
        <v>K031</v>
      </c>
      <c r="H132">
        <v>90.558103975535161</v>
      </c>
    </row>
    <row r="133" spans="1:8">
      <c r="A133">
        <v>2</v>
      </c>
      <c r="B133" t="s">
        <v>31</v>
      </c>
      <c r="C133">
        <v>2018</v>
      </c>
      <c r="D133" t="s">
        <v>11</v>
      </c>
      <c r="E133" t="s">
        <v>5</v>
      </c>
      <c r="F133" t="s">
        <v>13</v>
      </c>
      <c r="G133" t="str">
        <f>VLOOKUP(A133,[1]Kreise!$A$1:$C$53,3,FALSE)</f>
        <v>K032</v>
      </c>
      <c r="H133">
        <v>86.256200758681061</v>
      </c>
    </row>
    <row r="134" spans="1:8">
      <c r="A134">
        <v>3</v>
      </c>
      <c r="B134" t="s">
        <v>32</v>
      </c>
      <c r="C134">
        <v>2018</v>
      </c>
      <c r="D134" t="s">
        <v>11</v>
      </c>
      <c r="E134" t="s">
        <v>5</v>
      </c>
      <c r="F134" t="s">
        <v>13</v>
      </c>
      <c r="G134" t="str">
        <f>VLOOKUP(A134,[1]Kreise!$A$1:$C$53,3,FALSE)</f>
        <v>K033</v>
      </c>
      <c r="H134">
        <v>93.519751442521084</v>
      </c>
    </row>
    <row r="135" spans="1:8">
      <c r="A135">
        <v>4</v>
      </c>
      <c r="B135" t="s">
        <v>33</v>
      </c>
      <c r="C135">
        <v>2018</v>
      </c>
      <c r="D135" t="s">
        <v>11</v>
      </c>
      <c r="E135" t="s">
        <v>5</v>
      </c>
      <c r="F135" t="s">
        <v>13</v>
      </c>
      <c r="G135" t="str">
        <f>VLOOKUP(A135,[1]Kreise!$A$1:$C$53,3,FALSE)</f>
        <v>K034</v>
      </c>
      <c r="H135">
        <v>91.854636591478695</v>
      </c>
    </row>
    <row r="136" spans="1:8">
      <c r="A136">
        <v>0</v>
      </c>
      <c r="B136" t="s">
        <v>34</v>
      </c>
      <c r="C136">
        <v>2018</v>
      </c>
      <c r="D136" t="s">
        <v>11</v>
      </c>
      <c r="E136" t="s">
        <v>5</v>
      </c>
      <c r="F136" t="s">
        <v>13</v>
      </c>
      <c r="G136" t="str">
        <f>VLOOKUP(A136,[1]Kreise!$A$1:$C$53,3,FALSE)</f>
        <v>K030</v>
      </c>
      <c r="H136">
        <v>90.215877437325915</v>
      </c>
    </row>
    <row r="137" spans="1:8">
      <c r="A137">
        <v>1</v>
      </c>
      <c r="B137" t="s">
        <v>30</v>
      </c>
      <c r="C137">
        <v>2017</v>
      </c>
      <c r="D137" t="s">
        <v>11</v>
      </c>
      <c r="E137" t="s">
        <v>5</v>
      </c>
      <c r="F137" t="s">
        <v>13</v>
      </c>
      <c r="G137" t="str">
        <f>VLOOKUP(A137,[1]Kreise!$A$1:$C$53,3,FALSE)</f>
        <v>K031</v>
      </c>
      <c r="H137">
        <v>90.634110787172006</v>
      </c>
    </row>
    <row r="138" spans="1:8">
      <c r="A138">
        <v>2</v>
      </c>
      <c r="B138" t="s">
        <v>31</v>
      </c>
      <c r="C138">
        <v>2017</v>
      </c>
      <c r="D138" t="s">
        <v>11</v>
      </c>
      <c r="E138" t="s">
        <v>5</v>
      </c>
      <c r="F138" t="s">
        <v>13</v>
      </c>
      <c r="G138" t="str">
        <f>VLOOKUP(A138,[1]Kreise!$A$1:$C$53,3,FALSE)</f>
        <v>K032</v>
      </c>
      <c r="H138">
        <v>88.401775804661483</v>
      </c>
    </row>
    <row r="139" spans="1:8">
      <c r="A139">
        <v>3</v>
      </c>
      <c r="B139" t="s">
        <v>32</v>
      </c>
      <c r="C139">
        <v>2017</v>
      </c>
      <c r="D139" t="s">
        <v>11</v>
      </c>
      <c r="E139" t="s">
        <v>5</v>
      </c>
      <c r="F139" t="s">
        <v>13</v>
      </c>
      <c r="G139" t="str">
        <f>VLOOKUP(A139,[1]Kreise!$A$1:$C$53,3,FALSE)</f>
        <v>K033</v>
      </c>
      <c r="H139">
        <v>94.031141868512108</v>
      </c>
    </row>
    <row r="140" spans="1:8">
      <c r="A140">
        <v>4</v>
      </c>
      <c r="B140" t="s">
        <v>33</v>
      </c>
      <c r="C140">
        <v>2017</v>
      </c>
      <c r="D140" t="s">
        <v>11</v>
      </c>
      <c r="E140" t="s">
        <v>5</v>
      </c>
      <c r="F140" t="s">
        <v>13</v>
      </c>
      <c r="G140" t="str">
        <f>VLOOKUP(A140,[1]Kreise!$A$1:$C$53,3,FALSE)</f>
        <v>K034</v>
      </c>
      <c r="H140">
        <v>92.655217965653904</v>
      </c>
    </row>
    <row r="141" spans="1:8">
      <c r="A141">
        <v>0</v>
      </c>
      <c r="B141" t="s">
        <v>34</v>
      </c>
      <c r="C141">
        <v>2017</v>
      </c>
      <c r="D141" t="s">
        <v>11</v>
      </c>
      <c r="E141" t="s">
        <v>5</v>
      </c>
      <c r="F141" t="s">
        <v>13</v>
      </c>
      <c r="G141" t="str">
        <f>VLOOKUP(A141,[1]Kreise!$A$1:$C$53,3,FALSE)</f>
        <v>K030</v>
      </c>
      <c r="H141">
        <v>91.233427079148257</v>
      </c>
    </row>
    <row r="142" spans="1:8">
      <c r="A142">
        <v>1</v>
      </c>
      <c r="B142" t="s">
        <v>30</v>
      </c>
      <c r="C142">
        <v>2016</v>
      </c>
      <c r="D142" t="s">
        <v>11</v>
      </c>
      <c r="E142" t="s">
        <v>5</v>
      </c>
      <c r="F142" t="s">
        <v>13</v>
      </c>
      <c r="G142" t="str">
        <f>VLOOKUP(A142,[1]Kreise!$A$1:$C$53,3,FALSE)</f>
        <v>K031</v>
      </c>
      <c r="H142">
        <v>90.344337948171813</v>
      </c>
    </row>
    <row r="143" spans="1:8">
      <c r="A143">
        <v>2</v>
      </c>
      <c r="B143" t="s">
        <v>31</v>
      </c>
      <c r="C143">
        <v>2016</v>
      </c>
      <c r="D143" t="s">
        <v>11</v>
      </c>
      <c r="E143" t="s">
        <v>5</v>
      </c>
      <c r="F143" t="s">
        <v>13</v>
      </c>
      <c r="G143" t="str">
        <f>VLOOKUP(A143,[1]Kreise!$A$1:$C$53,3,FALSE)</f>
        <v>K032</v>
      </c>
      <c r="H143">
        <v>89.614395886889469</v>
      </c>
    </row>
    <row r="144" spans="1:8">
      <c r="A144">
        <v>3</v>
      </c>
      <c r="B144" t="s">
        <v>32</v>
      </c>
      <c r="C144">
        <v>2016</v>
      </c>
      <c r="D144" t="s">
        <v>11</v>
      </c>
      <c r="E144" t="s">
        <v>5</v>
      </c>
      <c r="F144" t="s">
        <v>13</v>
      </c>
      <c r="G144" t="str">
        <f>VLOOKUP(A144,[1]Kreise!$A$1:$C$53,3,FALSE)</f>
        <v>K033</v>
      </c>
      <c r="H144">
        <v>94.15384615384616</v>
      </c>
    </row>
    <row r="145" spans="1:8">
      <c r="A145">
        <v>4</v>
      </c>
      <c r="B145" t="s">
        <v>33</v>
      </c>
      <c r="C145">
        <v>2016</v>
      </c>
      <c r="D145" t="s">
        <v>11</v>
      </c>
      <c r="E145" t="s">
        <v>5</v>
      </c>
      <c r="F145" t="s">
        <v>13</v>
      </c>
      <c r="G145" t="str">
        <f>VLOOKUP(A145,[1]Kreise!$A$1:$C$53,3,FALSE)</f>
        <v>K034</v>
      </c>
      <c r="H145">
        <v>93.7020316027088</v>
      </c>
    </row>
    <row r="146" spans="1:8">
      <c r="A146">
        <v>0</v>
      </c>
      <c r="B146" t="s">
        <v>34</v>
      </c>
      <c r="C146">
        <v>2016</v>
      </c>
      <c r="D146" t="s">
        <v>11</v>
      </c>
      <c r="E146" t="s">
        <v>5</v>
      </c>
      <c r="F146" t="s">
        <v>13</v>
      </c>
      <c r="G146" t="str">
        <f>VLOOKUP(A146,[1]Kreise!$A$1:$C$53,3,FALSE)</f>
        <v>K030</v>
      </c>
      <c r="H146">
        <v>91.941471937104168</v>
      </c>
    </row>
    <row r="147" spans="1:8">
      <c r="A147">
        <v>1</v>
      </c>
      <c r="B147" t="s">
        <v>30</v>
      </c>
      <c r="C147">
        <v>2015</v>
      </c>
      <c r="D147" t="s">
        <v>11</v>
      </c>
      <c r="E147" t="s">
        <v>5</v>
      </c>
      <c r="F147" t="s">
        <v>13</v>
      </c>
      <c r="G147" t="str">
        <f>VLOOKUP(A147,[1]Kreise!$A$1:$C$53,3,FALSE)</f>
        <v>K031</v>
      </c>
      <c r="H147">
        <v>93.181076672104396</v>
      </c>
    </row>
    <row r="148" spans="1:8">
      <c r="A148">
        <v>2</v>
      </c>
      <c r="B148" t="s">
        <v>31</v>
      </c>
      <c r="C148">
        <v>2015</v>
      </c>
      <c r="D148" t="s">
        <v>11</v>
      </c>
      <c r="E148" t="s">
        <v>5</v>
      </c>
      <c r="F148" t="s">
        <v>13</v>
      </c>
      <c r="G148" t="str">
        <f>VLOOKUP(A148,[1]Kreise!$A$1:$C$53,3,FALSE)</f>
        <v>K032</v>
      </c>
      <c r="H148">
        <v>91.330596474281577</v>
      </c>
    </row>
    <row r="149" spans="1:8">
      <c r="A149">
        <v>3</v>
      </c>
      <c r="B149" t="s">
        <v>32</v>
      </c>
      <c r="C149">
        <v>2015</v>
      </c>
      <c r="D149" t="s">
        <v>11</v>
      </c>
      <c r="E149" t="s">
        <v>5</v>
      </c>
      <c r="F149" t="s">
        <v>13</v>
      </c>
      <c r="G149" t="str">
        <f>VLOOKUP(A149,[1]Kreise!$A$1:$C$53,3,FALSE)</f>
        <v>K033</v>
      </c>
      <c r="H149">
        <v>96.382252559726965</v>
      </c>
    </row>
    <row r="150" spans="1:8">
      <c r="A150">
        <v>4</v>
      </c>
      <c r="B150" t="s">
        <v>33</v>
      </c>
      <c r="C150">
        <v>2015</v>
      </c>
      <c r="D150" t="s">
        <v>11</v>
      </c>
      <c r="E150" t="s">
        <v>5</v>
      </c>
      <c r="F150" t="s">
        <v>13</v>
      </c>
      <c r="G150" t="str">
        <f>VLOOKUP(A150,[1]Kreise!$A$1:$C$53,3,FALSE)</f>
        <v>K034</v>
      </c>
      <c r="H150">
        <v>95.14910536779324</v>
      </c>
    </row>
    <row r="151" spans="1:8">
      <c r="A151">
        <v>0</v>
      </c>
      <c r="B151" t="s">
        <v>34</v>
      </c>
      <c r="C151">
        <v>2015</v>
      </c>
      <c r="D151" t="s">
        <v>11</v>
      </c>
      <c r="E151" t="s">
        <v>5</v>
      </c>
      <c r="F151" t="s">
        <v>13</v>
      </c>
      <c r="G151" t="str">
        <f>VLOOKUP(A151,[1]Kreise!$A$1:$C$53,3,FALSE)</f>
        <v>K030</v>
      </c>
      <c r="H151">
        <v>93.946986680733218</v>
      </c>
    </row>
    <row r="152" spans="1:8">
      <c r="A152">
        <v>1</v>
      </c>
      <c r="B152" t="s">
        <v>145</v>
      </c>
      <c r="C152">
        <v>2014</v>
      </c>
      <c r="D152" t="s">
        <v>11</v>
      </c>
      <c r="E152" t="s">
        <v>5</v>
      </c>
      <c r="F152" t="s">
        <v>13</v>
      </c>
      <c r="G152" t="str">
        <f>VLOOKUP(A152,[1]Kreise!$A$1:$C$53,3,FALSE)</f>
        <v>K031</v>
      </c>
      <c r="H152">
        <v>93.81606765327696</v>
      </c>
    </row>
    <row r="153" spans="1:8">
      <c r="A153">
        <v>2</v>
      </c>
      <c r="B153" t="s">
        <v>146</v>
      </c>
      <c r="C153">
        <v>2014</v>
      </c>
      <c r="D153" t="s">
        <v>11</v>
      </c>
      <c r="E153" t="s">
        <v>5</v>
      </c>
      <c r="F153" t="s">
        <v>13</v>
      </c>
      <c r="G153" t="str">
        <f>VLOOKUP(A153,[1]Kreise!$A$1:$C$53,3,FALSE)</f>
        <v>K032</v>
      </c>
      <c r="H153">
        <v>91.752360965372503</v>
      </c>
    </row>
    <row r="154" spans="1:8">
      <c r="A154">
        <v>3</v>
      </c>
      <c r="B154" t="s">
        <v>147</v>
      </c>
      <c r="C154">
        <v>2014</v>
      </c>
      <c r="D154" t="s">
        <v>11</v>
      </c>
      <c r="E154" t="s">
        <v>5</v>
      </c>
      <c r="F154" t="s">
        <v>13</v>
      </c>
      <c r="G154" t="str">
        <f>VLOOKUP(A154,[1]Kreise!$A$1:$C$53,3,FALSE)</f>
        <v>K033</v>
      </c>
      <c r="H154">
        <v>96.707070707070713</v>
      </c>
    </row>
    <row r="155" spans="1:8">
      <c r="A155">
        <v>4</v>
      </c>
      <c r="B155" t="s">
        <v>148</v>
      </c>
      <c r="C155">
        <v>2014</v>
      </c>
      <c r="D155" t="s">
        <v>11</v>
      </c>
      <c r="E155" t="s">
        <v>5</v>
      </c>
      <c r="F155" t="s">
        <v>13</v>
      </c>
      <c r="G155" t="str">
        <f>VLOOKUP(A155,[1]Kreise!$A$1:$C$53,3,FALSE)</f>
        <v>K034</v>
      </c>
      <c r="H155">
        <v>94.854126960856178</v>
      </c>
    </row>
    <row r="156" spans="1:8">
      <c r="A156">
        <v>0</v>
      </c>
      <c r="B156" t="s">
        <v>34</v>
      </c>
      <c r="C156">
        <v>2014</v>
      </c>
      <c r="D156" t="s">
        <v>11</v>
      </c>
      <c r="E156" t="s">
        <v>5</v>
      </c>
      <c r="F156" t="s">
        <v>13</v>
      </c>
      <c r="G156" t="str">
        <f>VLOOKUP(A156,[1]Kreise!$A$1:$C$53,3,FALSE)</f>
        <v>K030</v>
      </c>
      <c r="H156">
        <v>94.384842519685037</v>
      </c>
    </row>
    <row r="157" spans="1:8">
      <c r="A157">
        <v>1</v>
      </c>
      <c r="B157" t="s">
        <v>30</v>
      </c>
      <c r="C157">
        <v>2013</v>
      </c>
      <c r="D157" t="s">
        <v>11</v>
      </c>
      <c r="E157" t="s">
        <v>5</v>
      </c>
      <c r="F157" t="s">
        <v>13</v>
      </c>
      <c r="G157" t="str">
        <f>VLOOKUP(A157,[1]Kreise!$A$1:$C$53,3,FALSE)</f>
        <v>K031</v>
      </c>
      <c r="H157">
        <v>92.291535391724437</v>
      </c>
    </row>
    <row r="158" spans="1:8">
      <c r="A158">
        <v>2</v>
      </c>
      <c r="B158" t="s">
        <v>31</v>
      </c>
      <c r="C158">
        <v>2013</v>
      </c>
      <c r="D158" t="s">
        <v>11</v>
      </c>
      <c r="E158" t="s">
        <v>5</v>
      </c>
      <c r="F158" t="s">
        <v>13</v>
      </c>
      <c r="G158" t="str">
        <f>VLOOKUP(A158,[1]Kreise!$A$1:$C$53,3,FALSE)</f>
        <v>K032</v>
      </c>
      <c r="H158">
        <v>91.621275232297336</v>
      </c>
    </row>
    <row r="159" spans="1:8">
      <c r="A159">
        <v>3</v>
      </c>
      <c r="B159" t="s">
        <v>32</v>
      </c>
      <c r="C159">
        <v>2013</v>
      </c>
      <c r="D159" t="s">
        <v>11</v>
      </c>
      <c r="E159" t="s">
        <v>5</v>
      </c>
      <c r="F159" t="s">
        <v>13</v>
      </c>
      <c r="G159" t="str">
        <f>VLOOKUP(A159,[1]Kreise!$A$1:$C$53,3,FALSE)</f>
        <v>K033</v>
      </c>
      <c r="H159">
        <v>96.96693569382974</v>
      </c>
    </row>
    <row r="160" spans="1:8">
      <c r="A160">
        <v>4</v>
      </c>
      <c r="B160" t="s">
        <v>33</v>
      </c>
      <c r="C160">
        <v>2013</v>
      </c>
      <c r="D160" t="s">
        <v>11</v>
      </c>
      <c r="E160" t="s">
        <v>5</v>
      </c>
      <c r="F160" t="s">
        <v>13</v>
      </c>
      <c r="G160" t="str">
        <f>VLOOKUP(A160,[1]Kreise!$A$1:$C$53,3,FALSE)</f>
        <v>K034</v>
      </c>
      <c r="H160">
        <v>95.600074892342263</v>
      </c>
    </row>
    <row r="161" spans="1:8">
      <c r="A161">
        <v>0</v>
      </c>
      <c r="B161" t="s">
        <v>34</v>
      </c>
      <c r="C161">
        <v>2013</v>
      </c>
      <c r="D161" t="s">
        <v>11</v>
      </c>
      <c r="E161" t="s">
        <v>5</v>
      </c>
      <c r="F161" t="s">
        <v>13</v>
      </c>
      <c r="G161" t="str">
        <f>VLOOKUP(A161,[1]Kreise!$A$1:$C$53,3,FALSE)</f>
        <v>K030</v>
      </c>
      <c r="H161">
        <v>94.575543977934416</v>
      </c>
    </row>
    <row r="162" spans="1:8">
      <c r="A162">
        <v>1</v>
      </c>
      <c r="B162" t="s">
        <v>145</v>
      </c>
      <c r="C162">
        <v>2012</v>
      </c>
      <c r="D162" t="s">
        <v>11</v>
      </c>
      <c r="E162" t="s">
        <v>5</v>
      </c>
      <c r="F162" t="s">
        <v>13</v>
      </c>
      <c r="G162" t="str">
        <f>VLOOKUP(A162,[1]Kreise!$A$1:$C$53,3,FALSE)</f>
        <v>K031</v>
      </c>
      <c r="H162">
        <v>92.855767379164263</v>
      </c>
    </row>
    <row r="163" spans="1:8">
      <c r="A163">
        <v>2</v>
      </c>
      <c r="B163" t="s">
        <v>146</v>
      </c>
      <c r="C163">
        <v>2012</v>
      </c>
      <c r="D163" t="s">
        <v>11</v>
      </c>
      <c r="E163" t="s">
        <v>5</v>
      </c>
      <c r="F163" t="s">
        <v>13</v>
      </c>
      <c r="G163" t="str">
        <f>VLOOKUP(A163,[1]Kreise!$A$1:$C$53,3,FALSE)</f>
        <v>K032</v>
      </c>
      <c r="H163">
        <v>91.018922852983991</v>
      </c>
    </row>
    <row r="164" spans="1:8">
      <c r="A164">
        <v>3</v>
      </c>
      <c r="B164" t="s">
        <v>147</v>
      </c>
      <c r="C164">
        <v>2012</v>
      </c>
      <c r="D164" t="s">
        <v>11</v>
      </c>
      <c r="E164" t="s">
        <v>5</v>
      </c>
      <c r="F164" t="s">
        <v>13</v>
      </c>
      <c r="G164" t="str">
        <f>VLOOKUP(A164,[1]Kreise!$A$1:$C$53,3,FALSE)</f>
        <v>K033</v>
      </c>
      <c r="H164">
        <v>96.638874413757165</v>
      </c>
    </row>
    <row r="165" spans="1:8">
      <c r="A165">
        <v>4</v>
      </c>
      <c r="B165" t="s">
        <v>148</v>
      </c>
      <c r="C165">
        <v>2012</v>
      </c>
      <c r="D165" t="s">
        <v>11</v>
      </c>
      <c r="E165" t="s">
        <v>5</v>
      </c>
      <c r="F165" t="s">
        <v>13</v>
      </c>
      <c r="G165" t="str">
        <f>VLOOKUP(A165,[1]Kreise!$A$1:$C$53,3,FALSE)</f>
        <v>K034</v>
      </c>
      <c r="H165">
        <v>95.456582131015324</v>
      </c>
    </row>
    <row r="166" spans="1:8">
      <c r="A166">
        <v>0</v>
      </c>
      <c r="B166" t="s">
        <v>34</v>
      </c>
      <c r="C166">
        <v>2012</v>
      </c>
      <c r="D166" t="s">
        <v>11</v>
      </c>
      <c r="E166" t="s">
        <v>5</v>
      </c>
      <c r="F166" t="s">
        <v>13</v>
      </c>
      <c r="G166" t="str">
        <f>VLOOKUP(A166,[1]Kreise!$A$1:$C$53,3,FALSE)</f>
        <v>K030</v>
      </c>
      <c r="H166">
        <v>94.326493624182788</v>
      </c>
    </row>
    <row r="167" spans="1:8">
      <c r="A167">
        <v>1</v>
      </c>
      <c r="B167" t="s">
        <v>30</v>
      </c>
      <c r="C167">
        <v>2011</v>
      </c>
      <c r="D167" t="s">
        <v>11</v>
      </c>
      <c r="E167" t="s">
        <v>5</v>
      </c>
      <c r="F167" t="s">
        <v>13</v>
      </c>
      <c r="G167" t="str">
        <f>VLOOKUP(A167,[1]Kreise!$A$1:$C$53,3,FALSE)</f>
        <v>K031</v>
      </c>
      <c r="H167">
        <v>89.183673469387756</v>
      </c>
    </row>
    <row r="168" spans="1:8">
      <c r="A168">
        <v>2</v>
      </c>
      <c r="B168" t="s">
        <v>31</v>
      </c>
      <c r="C168">
        <v>2011</v>
      </c>
      <c r="D168" t="s">
        <v>11</v>
      </c>
      <c r="E168" t="s">
        <v>5</v>
      </c>
      <c r="F168" t="s">
        <v>13</v>
      </c>
      <c r="G168" t="str">
        <f>VLOOKUP(A168,[1]Kreise!$A$1:$C$53,3,FALSE)</f>
        <v>K032</v>
      </c>
      <c r="H168">
        <v>91.473859133324808</v>
      </c>
    </row>
    <row r="169" spans="1:8">
      <c r="A169">
        <v>3</v>
      </c>
      <c r="B169" t="s">
        <v>32</v>
      </c>
      <c r="C169">
        <v>2011</v>
      </c>
      <c r="D169" t="s">
        <v>11</v>
      </c>
      <c r="E169" t="s">
        <v>5</v>
      </c>
      <c r="F169" t="s">
        <v>13</v>
      </c>
      <c r="G169" t="str">
        <f>VLOOKUP(A169,[1]Kreise!$A$1:$C$53,3,FALSE)</f>
        <v>K033</v>
      </c>
      <c r="H169">
        <v>96.461481754515304</v>
      </c>
    </row>
    <row r="170" spans="1:8">
      <c r="A170">
        <v>4</v>
      </c>
      <c r="B170" t="s">
        <v>33</v>
      </c>
      <c r="C170">
        <v>2011</v>
      </c>
      <c r="D170" t="s">
        <v>11</v>
      </c>
      <c r="E170" t="s">
        <v>5</v>
      </c>
      <c r="F170" t="s">
        <v>13</v>
      </c>
      <c r="G170" t="str">
        <f>VLOOKUP(A170,[1]Kreise!$A$1:$C$53,3,FALSE)</f>
        <v>K034</v>
      </c>
      <c r="H170">
        <v>95.459157787924909</v>
      </c>
    </row>
    <row r="171" spans="1:8">
      <c r="A171">
        <v>0</v>
      </c>
      <c r="B171" t="s">
        <v>34</v>
      </c>
      <c r="C171">
        <v>2011</v>
      </c>
      <c r="D171" t="s">
        <v>11</v>
      </c>
      <c r="E171" t="s">
        <v>5</v>
      </c>
      <c r="F171" t="s">
        <v>13</v>
      </c>
      <c r="G171" t="str">
        <f>VLOOKUP(A171,[1]Kreise!$A$1:$C$53,3,FALSE)</f>
        <v>K030</v>
      </c>
      <c r="H171">
        <v>94.383390756801717</v>
      </c>
    </row>
    <row r="172" spans="1:8">
      <c r="A172">
        <v>1</v>
      </c>
      <c r="B172" t="s">
        <v>145</v>
      </c>
      <c r="C172">
        <v>2010</v>
      </c>
      <c r="D172" t="s">
        <v>11</v>
      </c>
      <c r="E172" t="s">
        <v>5</v>
      </c>
      <c r="F172" t="s">
        <v>13</v>
      </c>
      <c r="G172" t="str">
        <f>VLOOKUP(A172,[1]Kreise!$A$1:$C$53,3,FALSE)</f>
        <v>K031</v>
      </c>
      <c r="H172">
        <v>93.136738634368967</v>
      </c>
    </row>
    <row r="173" spans="1:8">
      <c r="A173">
        <v>2</v>
      </c>
      <c r="B173" t="s">
        <v>146</v>
      </c>
      <c r="C173">
        <v>2010</v>
      </c>
      <c r="D173" t="s">
        <v>11</v>
      </c>
      <c r="E173" t="s">
        <v>5</v>
      </c>
      <c r="F173" t="s">
        <v>13</v>
      </c>
      <c r="G173" t="str">
        <f>VLOOKUP(A173,[1]Kreise!$A$1:$C$53,3,FALSE)</f>
        <v>K032</v>
      </c>
      <c r="H173">
        <v>90.865384615384613</v>
      </c>
    </row>
    <row r="174" spans="1:8">
      <c r="A174">
        <v>3</v>
      </c>
      <c r="B174" t="s">
        <v>147</v>
      </c>
      <c r="C174">
        <v>2010</v>
      </c>
      <c r="D174" t="s">
        <v>11</v>
      </c>
      <c r="E174" t="s">
        <v>5</v>
      </c>
      <c r="F174" t="s">
        <v>13</v>
      </c>
      <c r="G174" t="str">
        <f>VLOOKUP(A174,[1]Kreise!$A$1:$C$53,3,FALSE)</f>
        <v>K033</v>
      </c>
      <c r="H174">
        <v>96.662561576354676</v>
      </c>
    </row>
    <row r="175" spans="1:8">
      <c r="A175">
        <v>4</v>
      </c>
      <c r="B175" t="s">
        <v>148</v>
      </c>
      <c r="C175">
        <v>2010</v>
      </c>
      <c r="D175" t="s">
        <v>11</v>
      </c>
      <c r="E175" t="s">
        <v>5</v>
      </c>
      <c r="F175" t="s">
        <v>13</v>
      </c>
      <c r="G175" t="str">
        <f>VLOOKUP(A175,[1]Kreise!$A$1:$C$53,3,FALSE)</f>
        <v>K034</v>
      </c>
      <c r="H175">
        <v>95.899482129213013</v>
      </c>
    </row>
    <row r="176" spans="1:8">
      <c r="A176">
        <v>0</v>
      </c>
      <c r="B176" t="s">
        <v>34</v>
      </c>
      <c r="C176">
        <v>2010</v>
      </c>
      <c r="D176" t="s">
        <v>11</v>
      </c>
      <c r="E176" t="s">
        <v>5</v>
      </c>
      <c r="F176" t="s">
        <v>13</v>
      </c>
      <c r="G176" t="str">
        <f>VLOOKUP(A176,[1]Kreise!$A$1:$C$53,3,FALSE)</f>
        <v>K030</v>
      </c>
      <c r="H176">
        <v>94.471647926490149</v>
      </c>
    </row>
    <row r="177" spans="1:8">
      <c r="A177">
        <v>1</v>
      </c>
      <c r="B177" t="s">
        <v>145</v>
      </c>
      <c r="C177">
        <v>2005</v>
      </c>
      <c r="D177" t="s">
        <v>11</v>
      </c>
      <c r="E177" t="s">
        <v>5</v>
      </c>
      <c r="F177" t="s">
        <v>13</v>
      </c>
      <c r="G177" t="str">
        <f>VLOOKUP(A177,[1]Kreise!$A$1:$C$53,3,FALSE)</f>
        <v>K031</v>
      </c>
      <c r="H177">
        <v>93.560314281312586</v>
      </c>
    </row>
    <row r="178" spans="1:8">
      <c r="A178">
        <v>2</v>
      </c>
      <c r="B178" t="s">
        <v>146</v>
      </c>
      <c r="C178">
        <v>2005</v>
      </c>
      <c r="D178" t="s">
        <v>11</v>
      </c>
      <c r="E178" t="s">
        <v>5</v>
      </c>
      <c r="F178" t="s">
        <v>13</v>
      </c>
      <c r="G178" t="str">
        <f>VLOOKUP(A178,[1]Kreise!$A$1:$C$53,3,FALSE)</f>
        <v>K032</v>
      </c>
      <c r="H178">
        <v>90.760604583130174</v>
      </c>
    </row>
    <row r="179" spans="1:8">
      <c r="A179">
        <v>3</v>
      </c>
      <c r="B179" t="s">
        <v>147</v>
      </c>
      <c r="C179">
        <v>2005</v>
      </c>
      <c r="D179" t="s">
        <v>11</v>
      </c>
      <c r="E179" t="s">
        <v>5</v>
      </c>
      <c r="F179" t="s">
        <v>13</v>
      </c>
      <c r="G179" t="str">
        <f>VLOOKUP(A179,[1]Kreise!$A$1:$C$53,3,FALSE)</f>
        <v>K033</v>
      </c>
      <c r="H179">
        <v>96.638340414896277</v>
      </c>
    </row>
    <row r="180" spans="1:8">
      <c r="A180">
        <v>4</v>
      </c>
      <c r="B180" t="s">
        <v>148</v>
      </c>
      <c r="C180">
        <v>2005</v>
      </c>
      <c r="D180" t="s">
        <v>11</v>
      </c>
      <c r="E180" t="s">
        <v>5</v>
      </c>
      <c r="F180" t="s">
        <v>13</v>
      </c>
      <c r="G180" t="str">
        <f>VLOOKUP(A180,[1]Kreise!$A$1:$C$53,3,FALSE)</f>
        <v>K034</v>
      </c>
      <c r="H180">
        <v>96.033129904097649</v>
      </c>
    </row>
    <row r="181" spans="1:8">
      <c r="A181">
        <v>0</v>
      </c>
      <c r="B181" t="s">
        <v>34</v>
      </c>
      <c r="C181">
        <v>2005</v>
      </c>
      <c r="D181" t="s">
        <v>11</v>
      </c>
      <c r="E181" t="s">
        <v>5</v>
      </c>
      <c r="F181" t="s">
        <v>13</v>
      </c>
      <c r="G181" t="str">
        <f>VLOOKUP(A181,[1]Kreise!$A$1:$C$53,3,FALSE)</f>
        <v>K030</v>
      </c>
      <c r="H181">
        <v>94.43907864313519</v>
      </c>
    </row>
    <row r="182" spans="1:8">
      <c r="A182">
        <v>1</v>
      </c>
      <c r="B182" t="s">
        <v>30</v>
      </c>
      <c r="C182">
        <v>2020</v>
      </c>
      <c r="D182" t="s">
        <v>12</v>
      </c>
      <c r="E182" t="s">
        <v>5</v>
      </c>
      <c r="F182" t="s">
        <v>13</v>
      </c>
      <c r="G182" t="str">
        <f>VLOOKUP(A182,[1]Kreise!$A$1:$C$53,3,FALSE)</f>
        <v>K031</v>
      </c>
      <c r="H182">
        <v>11.133043821555468</v>
      </c>
    </row>
    <row r="183" spans="1:8">
      <c r="A183">
        <v>2</v>
      </c>
      <c r="B183" t="s">
        <v>31</v>
      </c>
      <c r="C183">
        <v>2020</v>
      </c>
      <c r="D183" t="s">
        <v>12</v>
      </c>
      <c r="E183" t="s">
        <v>5</v>
      </c>
      <c r="F183" t="s">
        <v>13</v>
      </c>
      <c r="G183" t="str">
        <f>VLOOKUP(A183,[1]Kreise!$A$1:$C$53,3,FALSE)</f>
        <v>K032</v>
      </c>
      <c r="H183">
        <v>13.072550986292212</v>
      </c>
    </row>
    <row r="184" spans="1:8">
      <c r="A184">
        <v>3</v>
      </c>
      <c r="B184" t="s">
        <v>32</v>
      </c>
      <c r="C184">
        <v>2020</v>
      </c>
      <c r="D184" t="s">
        <v>12</v>
      </c>
      <c r="E184" t="s">
        <v>5</v>
      </c>
      <c r="F184" t="s">
        <v>13</v>
      </c>
      <c r="G184" t="str">
        <f>VLOOKUP(A184,[1]Kreise!$A$1:$C$53,3,FALSE)</f>
        <v>K033</v>
      </c>
      <c r="H184">
        <v>8.4615384615384617</v>
      </c>
    </row>
    <row r="185" spans="1:8">
      <c r="A185">
        <v>4</v>
      </c>
      <c r="B185" t="s">
        <v>33</v>
      </c>
      <c r="C185">
        <v>2020</v>
      </c>
      <c r="D185" t="s">
        <v>12</v>
      </c>
      <c r="E185" t="s">
        <v>5</v>
      </c>
      <c r="F185" t="s">
        <v>13</v>
      </c>
      <c r="G185" t="str">
        <f>VLOOKUP(A185,[1]Kreise!$A$1:$C$53,3,FALSE)</f>
        <v>K034</v>
      </c>
      <c r="H185">
        <v>9.8103574033552139</v>
      </c>
    </row>
    <row r="186" spans="1:8">
      <c r="A186">
        <v>0</v>
      </c>
      <c r="B186" t="s">
        <v>34</v>
      </c>
      <c r="C186">
        <v>2020</v>
      </c>
      <c r="D186" t="s">
        <v>12</v>
      </c>
      <c r="E186" t="s">
        <v>5</v>
      </c>
      <c r="F186" t="s">
        <v>13</v>
      </c>
      <c r="G186" t="str">
        <f>VLOOKUP(A186,[1]Kreise!$A$1:$C$53,3,FALSE)</f>
        <v>K030</v>
      </c>
      <c r="H186">
        <v>10.806108641020684</v>
      </c>
    </row>
    <row r="187" spans="1:8">
      <c r="A187">
        <v>1</v>
      </c>
      <c r="B187" t="s">
        <v>30</v>
      </c>
      <c r="C187">
        <v>2019</v>
      </c>
      <c r="D187" t="s">
        <v>12</v>
      </c>
      <c r="E187" t="s">
        <v>5</v>
      </c>
      <c r="F187" t="s">
        <v>13</v>
      </c>
      <c r="G187" t="str">
        <f>VLOOKUP(A187,[1]Kreise!$A$1:$C$53,3,FALSE)</f>
        <v>K031</v>
      </c>
      <c r="H187">
        <v>11.309977151561309</v>
      </c>
    </row>
    <row r="188" spans="1:8">
      <c r="A188">
        <v>2</v>
      </c>
      <c r="B188" t="s">
        <v>31</v>
      </c>
      <c r="C188">
        <v>2019</v>
      </c>
      <c r="D188" t="s">
        <v>12</v>
      </c>
      <c r="E188" t="s">
        <v>5</v>
      </c>
      <c r="F188" t="s">
        <v>13</v>
      </c>
      <c r="G188" t="str">
        <f>VLOOKUP(A188,[1]Kreise!$A$1:$C$53,3,FALSE)</f>
        <v>K032</v>
      </c>
      <c r="H188">
        <v>12.890750886239125</v>
      </c>
    </row>
    <row r="189" spans="1:8">
      <c r="A189">
        <v>3</v>
      </c>
      <c r="B189" t="s">
        <v>32</v>
      </c>
      <c r="C189">
        <v>2019</v>
      </c>
      <c r="D189" t="s">
        <v>12</v>
      </c>
      <c r="E189" t="s">
        <v>5</v>
      </c>
      <c r="F189" t="s">
        <v>13</v>
      </c>
      <c r="G189" t="str">
        <f>VLOOKUP(A189,[1]Kreise!$A$1:$C$53,3,FALSE)</f>
        <v>K033</v>
      </c>
      <c r="H189">
        <v>7.3339483394833955</v>
      </c>
    </row>
    <row r="190" spans="1:8">
      <c r="A190">
        <v>4</v>
      </c>
      <c r="B190" t="s">
        <v>33</v>
      </c>
      <c r="C190">
        <v>2019</v>
      </c>
      <c r="D190" t="s">
        <v>12</v>
      </c>
      <c r="E190" t="s">
        <v>5</v>
      </c>
      <c r="F190" t="s">
        <v>13</v>
      </c>
      <c r="G190" t="str">
        <f>VLOOKUP(A190,[1]Kreise!$A$1:$C$53,3,FALSE)</f>
        <v>K034</v>
      </c>
      <c r="H190">
        <v>8.1907894736842106</v>
      </c>
    </row>
    <row r="191" spans="1:8">
      <c r="A191">
        <v>0</v>
      </c>
      <c r="B191" t="s">
        <v>34</v>
      </c>
      <c r="C191">
        <v>2019</v>
      </c>
      <c r="D191" t="s">
        <v>12</v>
      </c>
      <c r="E191" t="s">
        <v>5</v>
      </c>
      <c r="F191" t="s">
        <v>13</v>
      </c>
      <c r="G191" t="str">
        <f>VLOOKUP(A191,[1]Kreise!$A$1:$C$53,3,FALSE)</f>
        <v>K030</v>
      </c>
      <c r="H191">
        <v>10.103319008868977</v>
      </c>
    </row>
    <row r="192" spans="1:8">
      <c r="A192">
        <v>1</v>
      </c>
      <c r="B192" t="s">
        <v>30</v>
      </c>
      <c r="C192">
        <v>2018</v>
      </c>
      <c r="D192" t="s">
        <v>12</v>
      </c>
      <c r="E192" t="s">
        <v>5</v>
      </c>
      <c r="F192" t="s">
        <v>13</v>
      </c>
      <c r="G192" t="str">
        <f>VLOOKUP(A192,[1]Kreise!$A$1:$C$53,3,FALSE)</f>
        <v>K031</v>
      </c>
      <c r="H192">
        <v>9.4418960244648318</v>
      </c>
    </row>
    <row r="193" spans="1:8">
      <c r="A193">
        <v>2</v>
      </c>
      <c r="B193" t="s">
        <v>31</v>
      </c>
      <c r="C193">
        <v>2018</v>
      </c>
      <c r="D193" t="s">
        <v>12</v>
      </c>
      <c r="E193" t="s">
        <v>5</v>
      </c>
      <c r="F193" t="s">
        <v>13</v>
      </c>
      <c r="G193" t="str">
        <f>VLOOKUP(A193,[1]Kreise!$A$1:$C$53,3,FALSE)</f>
        <v>K032</v>
      </c>
      <c r="H193">
        <v>13.743799241318937</v>
      </c>
    </row>
    <row r="194" spans="1:8">
      <c r="A194">
        <v>3</v>
      </c>
      <c r="B194" t="s">
        <v>32</v>
      </c>
      <c r="C194">
        <v>2018</v>
      </c>
      <c r="D194" t="s">
        <v>12</v>
      </c>
      <c r="E194" t="s">
        <v>5</v>
      </c>
      <c r="F194" t="s">
        <v>13</v>
      </c>
      <c r="G194" t="str">
        <f>VLOOKUP(A194,[1]Kreise!$A$1:$C$53,3,FALSE)</f>
        <v>K033</v>
      </c>
      <c r="H194">
        <v>6.4802485574789168</v>
      </c>
    </row>
    <row r="195" spans="1:8">
      <c r="A195">
        <v>4</v>
      </c>
      <c r="B195" t="s">
        <v>33</v>
      </c>
      <c r="C195">
        <v>2018</v>
      </c>
      <c r="D195" t="s">
        <v>12</v>
      </c>
      <c r="E195" t="s">
        <v>5</v>
      </c>
      <c r="F195" t="s">
        <v>13</v>
      </c>
      <c r="G195" t="str">
        <f>VLOOKUP(A195,[1]Kreise!$A$1:$C$53,3,FALSE)</f>
        <v>K034</v>
      </c>
      <c r="H195">
        <v>8.1453634085213036</v>
      </c>
    </row>
    <row r="196" spans="1:8">
      <c r="A196">
        <v>0</v>
      </c>
      <c r="B196" t="s">
        <v>34</v>
      </c>
      <c r="C196">
        <v>2018</v>
      </c>
      <c r="D196" t="s">
        <v>12</v>
      </c>
      <c r="E196" t="s">
        <v>5</v>
      </c>
      <c r="F196" t="s">
        <v>13</v>
      </c>
      <c r="G196" t="str">
        <f>VLOOKUP(A196,[1]Kreise!$A$1:$C$53,3,FALSE)</f>
        <v>K030</v>
      </c>
      <c r="H196">
        <v>9.784122562674094</v>
      </c>
    </row>
    <row r="197" spans="1:8">
      <c r="A197">
        <v>1</v>
      </c>
      <c r="B197" t="s">
        <v>30</v>
      </c>
      <c r="C197">
        <v>2017</v>
      </c>
      <c r="D197" t="s">
        <v>12</v>
      </c>
      <c r="E197" t="s">
        <v>5</v>
      </c>
      <c r="F197" t="s">
        <v>13</v>
      </c>
      <c r="G197" t="str">
        <f>VLOOKUP(A197,[1]Kreise!$A$1:$C$53,3,FALSE)</f>
        <v>K031</v>
      </c>
      <c r="H197">
        <v>9.3658892128279874</v>
      </c>
    </row>
    <row r="198" spans="1:8">
      <c r="A198">
        <v>2</v>
      </c>
      <c r="B198" t="s">
        <v>31</v>
      </c>
      <c r="C198">
        <v>2017</v>
      </c>
      <c r="D198" t="s">
        <v>12</v>
      </c>
      <c r="E198" t="s">
        <v>5</v>
      </c>
      <c r="F198" t="s">
        <v>13</v>
      </c>
      <c r="G198" t="str">
        <f>VLOOKUP(A198,[1]Kreise!$A$1:$C$53,3,FALSE)</f>
        <v>K032</v>
      </c>
      <c r="H198">
        <v>11.598224195338513</v>
      </c>
    </row>
    <row r="199" spans="1:8">
      <c r="A199">
        <v>3</v>
      </c>
      <c r="B199" t="s">
        <v>32</v>
      </c>
      <c r="C199">
        <v>2017</v>
      </c>
      <c r="D199" t="s">
        <v>12</v>
      </c>
      <c r="E199" t="s">
        <v>5</v>
      </c>
      <c r="F199" t="s">
        <v>13</v>
      </c>
      <c r="G199" t="str">
        <f>VLOOKUP(A199,[1]Kreise!$A$1:$C$53,3,FALSE)</f>
        <v>K033</v>
      </c>
      <c r="H199">
        <v>5.968858131487889</v>
      </c>
    </row>
    <row r="200" spans="1:8">
      <c r="A200">
        <v>4</v>
      </c>
      <c r="B200" t="s">
        <v>33</v>
      </c>
      <c r="C200">
        <v>2017</v>
      </c>
      <c r="D200" t="s">
        <v>12</v>
      </c>
      <c r="E200" t="s">
        <v>5</v>
      </c>
      <c r="F200" t="s">
        <v>13</v>
      </c>
      <c r="G200" t="str">
        <f>VLOOKUP(A200,[1]Kreise!$A$1:$C$53,3,FALSE)</f>
        <v>K034</v>
      </c>
      <c r="H200">
        <v>7.3447820343461032</v>
      </c>
    </row>
    <row r="201" spans="1:8">
      <c r="A201">
        <v>0</v>
      </c>
      <c r="B201" t="s">
        <v>34</v>
      </c>
      <c r="C201">
        <v>2017</v>
      </c>
      <c r="D201" t="s">
        <v>12</v>
      </c>
      <c r="E201" t="s">
        <v>5</v>
      </c>
      <c r="F201" t="s">
        <v>13</v>
      </c>
      <c r="G201" t="str">
        <f>VLOOKUP(A201,[1]Kreise!$A$1:$C$53,3,FALSE)</f>
        <v>K030</v>
      </c>
      <c r="H201">
        <v>8.7665729208517487</v>
      </c>
    </row>
    <row r="202" spans="1:8">
      <c r="A202">
        <v>1</v>
      </c>
      <c r="B202" t="s">
        <v>30</v>
      </c>
      <c r="C202">
        <v>2016</v>
      </c>
      <c r="D202" t="s">
        <v>12</v>
      </c>
      <c r="E202" t="s">
        <v>5</v>
      </c>
      <c r="F202" t="s">
        <v>13</v>
      </c>
      <c r="G202" t="str">
        <f>VLOOKUP(A202,[1]Kreise!$A$1:$C$53,3,FALSE)</f>
        <v>K031</v>
      </c>
      <c r="H202">
        <v>9.6556620518281857</v>
      </c>
    </row>
    <row r="203" spans="1:8">
      <c r="A203">
        <v>2</v>
      </c>
      <c r="B203" t="s">
        <v>31</v>
      </c>
      <c r="C203">
        <v>2016</v>
      </c>
      <c r="D203" t="s">
        <v>12</v>
      </c>
      <c r="E203" t="s">
        <v>5</v>
      </c>
      <c r="F203" t="s">
        <v>13</v>
      </c>
      <c r="G203" t="str">
        <f>VLOOKUP(A203,[1]Kreise!$A$1:$C$53,3,FALSE)</f>
        <v>K032</v>
      </c>
      <c r="H203">
        <v>10.38560411311054</v>
      </c>
    </row>
    <row r="204" spans="1:8">
      <c r="A204">
        <v>3</v>
      </c>
      <c r="B204" t="s">
        <v>32</v>
      </c>
      <c r="C204">
        <v>2016</v>
      </c>
      <c r="D204" t="s">
        <v>12</v>
      </c>
      <c r="E204" t="s">
        <v>5</v>
      </c>
      <c r="F204" t="s">
        <v>13</v>
      </c>
      <c r="G204" t="str">
        <f>VLOOKUP(A204,[1]Kreise!$A$1:$C$53,3,FALSE)</f>
        <v>K033</v>
      </c>
      <c r="H204">
        <v>5.8461538461538458</v>
      </c>
    </row>
    <row r="205" spans="1:8">
      <c r="A205">
        <v>4</v>
      </c>
      <c r="B205" t="s">
        <v>33</v>
      </c>
      <c r="C205">
        <v>2016</v>
      </c>
      <c r="D205" t="s">
        <v>12</v>
      </c>
      <c r="E205" t="s">
        <v>5</v>
      </c>
      <c r="F205" t="s">
        <v>13</v>
      </c>
      <c r="G205" t="str">
        <f>VLOOKUP(A205,[1]Kreise!$A$1:$C$53,3,FALSE)</f>
        <v>K034</v>
      </c>
      <c r="H205">
        <v>6.2979683972911964</v>
      </c>
    </row>
    <row r="206" spans="1:8">
      <c r="A206">
        <v>0</v>
      </c>
      <c r="B206" t="s">
        <v>34</v>
      </c>
      <c r="C206">
        <v>2016</v>
      </c>
      <c r="D206" t="s">
        <v>12</v>
      </c>
      <c r="E206" t="s">
        <v>5</v>
      </c>
      <c r="F206" t="s">
        <v>13</v>
      </c>
      <c r="G206" t="str">
        <f>VLOOKUP(A206,[1]Kreise!$A$1:$C$53,3,FALSE)</f>
        <v>K030</v>
      </c>
      <c r="H206">
        <v>8.058528062895828</v>
      </c>
    </row>
    <row r="207" spans="1:8">
      <c r="A207">
        <v>1</v>
      </c>
      <c r="B207" t="s">
        <v>30</v>
      </c>
      <c r="C207">
        <v>2015</v>
      </c>
      <c r="D207" t="s">
        <v>12</v>
      </c>
      <c r="E207" t="s">
        <v>5</v>
      </c>
      <c r="F207" t="s">
        <v>13</v>
      </c>
      <c r="G207" t="str">
        <f>VLOOKUP(A207,[1]Kreise!$A$1:$C$53,3,FALSE)</f>
        <v>K031</v>
      </c>
      <c r="H207">
        <v>6.8189233278955959</v>
      </c>
    </row>
    <row r="208" spans="1:8">
      <c r="A208">
        <v>2</v>
      </c>
      <c r="B208" t="s">
        <v>31</v>
      </c>
      <c r="C208">
        <v>2015</v>
      </c>
      <c r="D208" t="s">
        <v>12</v>
      </c>
      <c r="E208" t="s">
        <v>5</v>
      </c>
      <c r="F208" t="s">
        <v>13</v>
      </c>
      <c r="G208" t="str">
        <f>VLOOKUP(A208,[1]Kreise!$A$1:$C$53,3,FALSE)</f>
        <v>K032</v>
      </c>
      <c r="H208">
        <v>8.6694035257184243</v>
      </c>
    </row>
    <row r="209" spans="1:8">
      <c r="A209">
        <v>3</v>
      </c>
      <c r="B209" t="s">
        <v>32</v>
      </c>
      <c r="C209">
        <v>2015</v>
      </c>
      <c r="D209" t="s">
        <v>12</v>
      </c>
      <c r="E209" t="s">
        <v>5</v>
      </c>
      <c r="F209" t="s">
        <v>13</v>
      </c>
      <c r="G209" t="str">
        <f>VLOOKUP(A209,[1]Kreise!$A$1:$C$53,3,FALSE)</f>
        <v>K033</v>
      </c>
      <c r="H209">
        <v>3.6177474402730376</v>
      </c>
    </row>
    <row r="210" spans="1:8">
      <c r="A210">
        <v>4</v>
      </c>
      <c r="B210" t="s">
        <v>33</v>
      </c>
      <c r="C210">
        <v>2015</v>
      </c>
      <c r="D210" t="s">
        <v>12</v>
      </c>
      <c r="E210" t="s">
        <v>5</v>
      </c>
      <c r="F210" t="s">
        <v>13</v>
      </c>
      <c r="G210" t="str">
        <f>VLOOKUP(A210,[1]Kreise!$A$1:$C$53,3,FALSE)</f>
        <v>K034</v>
      </c>
      <c r="H210">
        <v>4.8508946322067592</v>
      </c>
    </row>
    <row r="211" spans="1:8">
      <c r="A211">
        <v>0</v>
      </c>
      <c r="B211" t="s">
        <v>34</v>
      </c>
      <c r="C211">
        <v>2015</v>
      </c>
      <c r="D211" t="s">
        <v>12</v>
      </c>
      <c r="E211" t="s">
        <v>5</v>
      </c>
      <c r="F211" t="s">
        <v>13</v>
      </c>
      <c r="G211" t="str">
        <f>VLOOKUP(A211,[1]Kreise!$A$1:$C$53,3,FALSE)</f>
        <v>K030</v>
      </c>
      <c r="H211">
        <v>6.053013319266781</v>
      </c>
    </row>
    <row r="212" spans="1:8">
      <c r="A212">
        <v>1</v>
      </c>
      <c r="B212" t="s">
        <v>145</v>
      </c>
      <c r="C212">
        <v>2014</v>
      </c>
      <c r="D212" t="s">
        <v>12</v>
      </c>
      <c r="E212" t="s">
        <v>5</v>
      </c>
      <c r="F212" t="s">
        <v>13</v>
      </c>
      <c r="G212" t="str">
        <f>VLOOKUP(A212,[1]Kreise!$A$1:$C$53,3,FALSE)</f>
        <v>K031</v>
      </c>
      <c r="H212">
        <v>6.1839323467230445</v>
      </c>
    </row>
    <row r="213" spans="1:8">
      <c r="A213">
        <v>2</v>
      </c>
      <c r="B213" t="s">
        <v>146</v>
      </c>
      <c r="C213">
        <v>2014</v>
      </c>
      <c r="D213" t="s">
        <v>12</v>
      </c>
      <c r="E213" t="s">
        <v>5</v>
      </c>
      <c r="F213" t="s">
        <v>13</v>
      </c>
      <c r="G213" t="str">
        <f>VLOOKUP(A213,[1]Kreise!$A$1:$C$53,3,FALSE)</f>
        <v>K032</v>
      </c>
      <c r="H213">
        <v>8.2476390346274915</v>
      </c>
    </row>
    <row r="214" spans="1:8">
      <c r="A214">
        <v>3</v>
      </c>
      <c r="B214" t="s">
        <v>147</v>
      </c>
      <c r="C214">
        <v>2014</v>
      </c>
      <c r="D214" t="s">
        <v>12</v>
      </c>
      <c r="E214" t="s">
        <v>5</v>
      </c>
      <c r="F214" t="s">
        <v>13</v>
      </c>
      <c r="G214" t="str">
        <f>VLOOKUP(A214,[1]Kreise!$A$1:$C$53,3,FALSE)</f>
        <v>K033</v>
      </c>
      <c r="H214">
        <v>3.2929292929292928</v>
      </c>
    </row>
    <row r="215" spans="1:8">
      <c r="A215">
        <v>4</v>
      </c>
      <c r="B215" t="s">
        <v>148</v>
      </c>
      <c r="C215">
        <v>2014</v>
      </c>
      <c r="D215" t="s">
        <v>12</v>
      </c>
      <c r="E215" t="s">
        <v>5</v>
      </c>
      <c r="F215" t="s">
        <v>13</v>
      </c>
      <c r="G215" t="str">
        <f>VLOOKUP(A215,[1]Kreise!$A$1:$C$53,3,FALSE)</f>
        <v>K034</v>
      </c>
      <c r="H215">
        <v>5.1458730391438205</v>
      </c>
    </row>
    <row r="216" spans="1:8">
      <c r="A216">
        <v>0</v>
      </c>
      <c r="B216" t="s">
        <v>34</v>
      </c>
      <c r="C216">
        <v>2014</v>
      </c>
      <c r="D216" t="s">
        <v>12</v>
      </c>
      <c r="E216" t="s">
        <v>5</v>
      </c>
      <c r="F216" t="s">
        <v>13</v>
      </c>
      <c r="G216" t="str">
        <f>VLOOKUP(A216,[1]Kreise!$A$1:$C$53,3,FALSE)</f>
        <v>K030</v>
      </c>
      <c r="H216">
        <v>5.6151574803149602</v>
      </c>
    </row>
    <row r="217" spans="1:8">
      <c r="A217">
        <v>1</v>
      </c>
      <c r="B217" t="s">
        <v>30</v>
      </c>
      <c r="C217">
        <v>2013</v>
      </c>
      <c r="D217" t="s">
        <v>12</v>
      </c>
      <c r="E217" t="s">
        <v>5</v>
      </c>
      <c r="F217" t="s">
        <v>13</v>
      </c>
      <c r="G217" t="str">
        <f>VLOOKUP(A217,[1]Kreise!$A$1:$C$53,3,FALSE)</f>
        <v>K031</v>
      </c>
      <c r="H217">
        <v>7.7084646082755723</v>
      </c>
    </row>
    <row r="218" spans="1:8">
      <c r="A218">
        <v>2</v>
      </c>
      <c r="B218" t="s">
        <v>31</v>
      </c>
      <c r="C218">
        <v>2013</v>
      </c>
      <c r="D218" t="s">
        <v>12</v>
      </c>
      <c r="E218" t="s">
        <v>5</v>
      </c>
      <c r="F218" t="s">
        <v>13</v>
      </c>
      <c r="G218" t="str">
        <f>VLOOKUP(A218,[1]Kreise!$A$1:$C$53,3,FALSE)</f>
        <v>K032</v>
      </c>
      <c r="H218">
        <v>8.3787247677026588</v>
      </c>
    </row>
    <row r="219" spans="1:8">
      <c r="A219">
        <v>3</v>
      </c>
      <c r="B219" t="s">
        <v>32</v>
      </c>
      <c r="C219">
        <v>2013</v>
      </c>
      <c r="D219" t="s">
        <v>12</v>
      </c>
      <c r="E219" t="s">
        <v>5</v>
      </c>
      <c r="F219" t="s">
        <v>13</v>
      </c>
      <c r="G219" t="str">
        <f>VLOOKUP(A219,[1]Kreise!$A$1:$C$53,3,FALSE)</f>
        <v>K033</v>
      </c>
      <c r="H219">
        <v>3.0330643061702682</v>
      </c>
    </row>
    <row r="220" spans="1:8">
      <c r="A220">
        <v>4</v>
      </c>
      <c r="B220" t="s">
        <v>33</v>
      </c>
      <c r="C220">
        <v>2013</v>
      </c>
      <c r="D220" t="s">
        <v>12</v>
      </c>
      <c r="E220" t="s">
        <v>5</v>
      </c>
      <c r="F220" t="s">
        <v>13</v>
      </c>
      <c r="G220" t="str">
        <f>VLOOKUP(A220,[1]Kreise!$A$1:$C$53,3,FALSE)</f>
        <v>K034</v>
      </c>
      <c r="H220">
        <v>4.3999251076577419</v>
      </c>
    </row>
    <row r="221" spans="1:8">
      <c r="A221">
        <v>0</v>
      </c>
      <c r="B221" t="s">
        <v>34</v>
      </c>
      <c r="C221">
        <v>2013</v>
      </c>
      <c r="D221" t="s">
        <v>12</v>
      </c>
      <c r="E221" t="s">
        <v>5</v>
      </c>
      <c r="F221" t="s">
        <v>13</v>
      </c>
      <c r="G221" t="str">
        <f>VLOOKUP(A221,[1]Kreise!$A$1:$C$53,3,FALSE)</f>
        <v>K030</v>
      </c>
      <c r="H221">
        <v>5.4244560220655842</v>
      </c>
    </row>
    <row r="222" spans="1:8">
      <c r="A222">
        <v>1</v>
      </c>
      <c r="B222" t="s">
        <v>145</v>
      </c>
      <c r="C222">
        <v>2012</v>
      </c>
      <c r="D222" t="s">
        <v>12</v>
      </c>
      <c r="E222" t="s">
        <v>5</v>
      </c>
      <c r="F222" t="s">
        <v>13</v>
      </c>
      <c r="G222" t="str">
        <f>VLOOKUP(A222,[1]Kreise!$A$1:$C$53,3,FALSE)</f>
        <v>K031</v>
      </c>
      <c r="H222">
        <v>7.1442326208357398</v>
      </c>
    </row>
    <row r="223" spans="1:8">
      <c r="A223">
        <v>2</v>
      </c>
      <c r="B223" t="s">
        <v>146</v>
      </c>
      <c r="C223">
        <v>2012</v>
      </c>
      <c r="D223" t="s">
        <v>12</v>
      </c>
      <c r="E223" t="s">
        <v>5</v>
      </c>
      <c r="F223" t="s">
        <v>13</v>
      </c>
      <c r="G223" t="str">
        <f>VLOOKUP(A223,[1]Kreise!$A$1:$C$53,3,FALSE)</f>
        <v>K032</v>
      </c>
      <c r="H223">
        <v>8.9810771470160109</v>
      </c>
    </row>
    <row r="224" spans="1:8">
      <c r="A224">
        <v>3</v>
      </c>
      <c r="B224" t="s">
        <v>147</v>
      </c>
      <c r="C224">
        <v>2012</v>
      </c>
      <c r="D224" t="s">
        <v>12</v>
      </c>
      <c r="E224" t="s">
        <v>5</v>
      </c>
      <c r="F224" t="s">
        <v>13</v>
      </c>
      <c r="G224" t="str">
        <f>VLOOKUP(A224,[1]Kreise!$A$1:$C$53,3,FALSE)</f>
        <v>K033</v>
      </c>
      <c r="H224">
        <v>3.3611255862428351</v>
      </c>
    </row>
    <row r="225" spans="1:8">
      <c r="A225">
        <v>4</v>
      </c>
      <c r="B225" t="s">
        <v>148</v>
      </c>
      <c r="C225">
        <v>2012</v>
      </c>
      <c r="D225" t="s">
        <v>12</v>
      </c>
      <c r="E225" t="s">
        <v>5</v>
      </c>
      <c r="F225" t="s">
        <v>13</v>
      </c>
      <c r="G225" t="str">
        <f>VLOOKUP(A225,[1]Kreise!$A$1:$C$53,3,FALSE)</f>
        <v>K034</v>
      </c>
      <c r="H225">
        <v>4.543417868984676</v>
      </c>
    </row>
    <row r="226" spans="1:8">
      <c r="A226">
        <v>0</v>
      </c>
      <c r="B226" t="s">
        <v>34</v>
      </c>
      <c r="C226">
        <v>2012</v>
      </c>
      <c r="D226" t="s">
        <v>12</v>
      </c>
      <c r="E226" t="s">
        <v>5</v>
      </c>
      <c r="F226" t="s">
        <v>13</v>
      </c>
      <c r="G226" t="str">
        <f>VLOOKUP(A226,[1]Kreise!$A$1:$C$53,3,FALSE)</f>
        <v>K030</v>
      </c>
      <c r="H226">
        <v>5.6735063758172046</v>
      </c>
    </row>
    <row r="227" spans="1:8">
      <c r="A227">
        <v>1</v>
      </c>
      <c r="B227" t="s">
        <v>30</v>
      </c>
      <c r="C227">
        <v>2011</v>
      </c>
      <c r="D227" t="s">
        <v>12</v>
      </c>
      <c r="E227" t="s">
        <v>5</v>
      </c>
      <c r="F227" t="s">
        <v>13</v>
      </c>
      <c r="G227" t="str">
        <f>VLOOKUP(A227,[1]Kreise!$A$1:$C$53,3,FALSE)</f>
        <v>K031</v>
      </c>
      <c r="H227">
        <v>10.816326530612246</v>
      </c>
    </row>
    <row r="228" spans="1:8">
      <c r="A228">
        <v>2</v>
      </c>
      <c r="B228" t="s">
        <v>31</v>
      </c>
      <c r="C228">
        <v>2011</v>
      </c>
      <c r="D228" t="s">
        <v>12</v>
      </c>
      <c r="E228" t="s">
        <v>5</v>
      </c>
      <c r="F228" t="s">
        <v>13</v>
      </c>
      <c r="G228" t="str">
        <f>VLOOKUP(A228,[1]Kreise!$A$1:$C$53,3,FALSE)</f>
        <v>K032</v>
      </c>
      <c r="H228">
        <v>8.5261408666751883</v>
      </c>
    </row>
    <row r="229" spans="1:8">
      <c r="A229">
        <v>3</v>
      </c>
      <c r="B229" t="s">
        <v>32</v>
      </c>
      <c r="C229">
        <v>2011</v>
      </c>
      <c r="D229" t="s">
        <v>12</v>
      </c>
      <c r="E229" t="s">
        <v>5</v>
      </c>
      <c r="F229" t="s">
        <v>13</v>
      </c>
      <c r="G229" t="str">
        <f>VLOOKUP(A229,[1]Kreise!$A$1:$C$53,3,FALSE)</f>
        <v>K033</v>
      </c>
      <c r="H229">
        <v>3.5385182454847035</v>
      </c>
    </row>
    <row r="230" spans="1:8">
      <c r="A230">
        <v>4</v>
      </c>
      <c r="B230" t="s">
        <v>33</v>
      </c>
      <c r="C230">
        <v>2011</v>
      </c>
      <c r="D230" t="s">
        <v>12</v>
      </c>
      <c r="E230" t="s">
        <v>5</v>
      </c>
      <c r="F230" t="s">
        <v>13</v>
      </c>
      <c r="G230" t="str">
        <f>VLOOKUP(A230,[1]Kreise!$A$1:$C$53,3,FALSE)</f>
        <v>K034</v>
      </c>
      <c r="H230">
        <v>4.5408422120750886</v>
      </c>
    </row>
    <row r="231" spans="1:8">
      <c r="A231">
        <v>0</v>
      </c>
      <c r="B231" t="s">
        <v>34</v>
      </c>
      <c r="C231">
        <v>2011</v>
      </c>
      <c r="D231" t="s">
        <v>12</v>
      </c>
      <c r="E231" t="s">
        <v>5</v>
      </c>
      <c r="F231" t="s">
        <v>13</v>
      </c>
      <c r="G231" t="str">
        <f>VLOOKUP(A231,[1]Kreise!$A$1:$C$53,3,FALSE)</f>
        <v>K030</v>
      </c>
      <c r="H231">
        <v>5.6166092431982895</v>
      </c>
    </row>
    <row r="232" spans="1:8">
      <c r="A232">
        <v>1</v>
      </c>
      <c r="B232" t="s">
        <v>145</v>
      </c>
      <c r="C232">
        <v>2010</v>
      </c>
      <c r="D232" t="s">
        <v>12</v>
      </c>
      <c r="E232" t="s">
        <v>5</v>
      </c>
      <c r="F232" t="s">
        <v>13</v>
      </c>
      <c r="G232" t="str">
        <f>VLOOKUP(A232,[1]Kreise!$A$1:$C$53,3,FALSE)</f>
        <v>K031</v>
      </c>
      <c r="H232">
        <v>6.8632613656310335</v>
      </c>
    </row>
    <row r="233" spans="1:8">
      <c r="A233">
        <v>2</v>
      </c>
      <c r="B233" t="s">
        <v>146</v>
      </c>
      <c r="C233">
        <v>2010</v>
      </c>
      <c r="D233" t="s">
        <v>12</v>
      </c>
      <c r="E233" t="s">
        <v>5</v>
      </c>
      <c r="F233" t="s">
        <v>13</v>
      </c>
      <c r="G233" t="str">
        <f>VLOOKUP(A233,[1]Kreise!$A$1:$C$53,3,FALSE)</f>
        <v>K032</v>
      </c>
      <c r="H233">
        <v>9.1346153846153832</v>
      </c>
    </row>
    <row r="234" spans="1:8">
      <c r="A234">
        <v>3</v>
      </c>
      <c r="B234" t="s">
        <v>147</v>
      </c>
      <c r="C234">
        <v>2010</v>
      </c>
      <c r="D234" t="s">
        <v>12</v>
      </c>
      <c r="E234" t="s">
        <v>5</v>
      </c>
      <c r="F234" t="s">
        <v>13</v>
      </c>
      <c r="G234" t="str">
        <f>VLOOKUP(A234,[1]Kreise!$A$1:$C$53,3,FALSE)</f>
        <v>K033</v>
      </c>
      <c r="H234">
        <v>3.3374384236453203</v>
      </c>
    </row>
    <row r="235" spans="1:8">
      <c r="A235">
        <v>4</v>
      </c>
      <c r="B235" t="s">
        <v>148</v>
      </c>
      <c r="C235">
        <v>2010</v>
      </c>
      <c r="D235" t="s">
        <v>12</v>
      </c>
      <c r="E235" t="s">
        <v>5</v>
      </c>
      <c r="F235" t="s">
        <v>13</v>
      </c>
      <c r="G235" t="str">
        <f>VLOOKUP(A235,[1]Kreise!$A$1:$C$53,3,FALSE)</f>
        <v>K034</v>
      </c>
      <c r="H235">
        <v>4.1005178707869936</v>
      </c>
    </row>
    <row r="236" spans="1:8">
      <c r="A236">
        <v>0</v>
      </c>
      <c r="B236" t="s">
        <v>34</v>
      </c>
      <c r="C236">
        <v>2010</v>
      </c>
      <c r="D236" t="s">
        <v>12</v>
      </c>
      <c r="E236" t="s">
        <v>5</v>
      </c>
      <c r="F236" t="s">
        <v>13</v>
      </c>
      <c r="G236" t="str">
        <f>VLOOKUP(A236,[1]Kreise!$A$1:$C$53,3,FALSE)</f>
        <v>K030</v>
      </c>
      <c r="H236">
        <v>5.5283520735098541</v>
      </c>
    </row>
    <row r="237" spans="1:8">
      <c r="A237">
        <v>1</v>
      </c>
      <c r="B237" t="s">
        <v>145</v>
      </c>
      <c r="C237">
        <v>2005</v>
      </c>
      <c r="D237" t="s">
        <v>12</v>
      </c>
      <c r="E237" t="s">
        <v>5</v>
      </c>
      <c r="F237" t="s">
        <v>13</v>
      </c>
      <c r="G237" t="str">
        <f>VLOOKUP(A237,[1]Kreise!$A$1:$C$53,3,FALSE)</f>
        <v>K031</v>
      </c>
      <c r="H237">
        <v>6.4396857186874126</v>
      </c>
    </row>
    <row r="238" spans="1:8">
      <c r="A238">
        <v>2</v>
      </c>
      <c r="B238" t="s">
        <v>146</v>
      </c>
      <c r="C238">
        <v>2005</v>
      </c>
      <c r="D238" t="s">
        <v>12</v>
      </c>
      <c r="E238" t="s">
        <v>5</v>
      </c>
      <c r="F238" t="s">
        <v>13</v>
      </c>
      <c r="G238" t="str">
        <f>VLOOKUP(A238,[1]Kreise!$A$1:$C$53,3,FALSE)</f>
        <v>K032</v>
      </c>
      <c r="H238">
        <v>9.2393954168698187</v>
      </c>
    </row>
    <row r="239" spans="1:8">
      <c r="A239">
        <v>3</v>
      </c>
      <c r="B239" t="s">
        <v>147</v>
      </c>
      <c r="C239">
        <v>2005</v>
      </c>
      <c r="D239" t="s">
        <v>12</v>
      </c>
      <c r="E239" t="s">
        <v>5</v>
      </c>
      <c r="F239" t="s">
        <v>13</v>
      </c>
      <c r="G239" t="str">
        <f>VLOOKUP(A239,[1]Kreise!$A$1:$C$53,3,FALSE)</f>
        <v>K033</v>
      </c>
      <c r="H239">
        <v>3.3616595851037241</v>
      </c>
    </row>
    <row r="240" spans="1:8">
      <c r="A240">
        <v>4</v>
      </c>
      <c r="B240" t="s">
        <v>148</v>
      </c>
      <c r="C240">
        <v>2005</v>
      </c>
      <c r="D240" t="s">
        <v>12</v>
      </c>
      <c r="E240" t="s">
        <v>5</v>
      </c>
      <c r="F240" t="s">
        <v>13</v>
      </c>
      <c r="G240" t="str">
        <f>VLOOKUP(A240,[1]Kreise!$A$1:$C$53,3,FALSE)</f>
        <v>K034</v>
      </c>
      <c r="H240">
        <v>3.9668700959023542</v>
      </c>
    </row>
    <row r="241" spans="1:8">
      <c r="A241">
        <v>0</v>
      </c>
      <c r="B241" t="s">
        <v>34</v>
      </c>
      <c r="C241">
        <v>2005</v>
      </c>
      <c r="D241" t="s">
        <v>12</v>
      </c>
      <c r="E241" t="s">
        <v>5</v>
      </c>
      <c r="F241" t="s">
        <v>13</v>
      </c>
      <c r="G241" t="str">
        <f>VLOOKUP(A241,[1]Kreise!$A$1:$C$53,3,FALSE)</f>
        <v>K030</v>
      </c>
      <c r="H241">
        <v>5.560921356864811</v>
      </c>
    </row>
    <row r="242" spans="1:8">
      <c r="A242">
        <v>1</v>
      </c>
      <c r="B242" t="s">
        <v>30</v>
      </c>
      <c r="C242">
        <v>2020</v>
      </c>
      <c r="D242" t="s">
        <v>11</v>
      </c>
      <c r="E242" t="s">
        <v>139</v>
      </c>
      <c r="F242" t="s">
        <v>13</v>
      </c>
      <c r="G242" t="str">
        <f>VLOOKUP(A242,[1]Kreise!$A$1:$C$53,3,FALSE)</f>
        <v>K031</v>
      </c>
      <c r="H242">
        <v>86.74314850223071</v>
      </c>
    </row>
    <row r="243" spans="1:8">
      <c r="A243">
        <v>2</v>
      </c>
      <c r="B243" t="s">
        <v>31</v>
      </c>
      <c r="C243">
        <v>2020</v>
      </c>
      <c r="D243" t="s">
        <v>11</v>
      </c>
      <c r="E243" t="s">
        <v>139</v>
      </c>
      <c r="F243" t="s">
        <v>13</v>
      </c>
      <c r="G243" t="str">
        <f>VLOOKUP(A243,[1]Kreise!$A$1:$C$53,3,FALSE)</f>
        <v>K032</v>
      </c>
      <c r="H243">
        <v>80.932340563289102</v>
      </c>
    </row>
    <row r="244" spans="1:8">
      <c r="A244">
        <v>3</v>
      </c>
      <c r="B244" t="s">
        <v>32</v>
      </c>
      <c r="C244">
        <v>2020</v>
      </c>
      <c r="D244" t="s">
        <v>11</v>
      </c>
      <c r="E244" t="s">
        <v>139</v>
      </c>
      <c r="F244" t="s">
        <v>13</v>
      </c>
      <c r="G244" t="str">
        <f>VLOOKUP(A244,[1]Kreise!$A$1:$C$53,3,FALSE)</f>
        <v>K033</v>
      </c>
      <c r="H244">
        <v>88.153110047846894</v>
      </c>
    </row>
    <row r="245" spans="1:8">
      <c r="A245">
        <v>4</v>
      </c>
      <c r="B245" t="s">
        <v>33</v>
      </c>
      <c r="C245">
        <v>2020</v>
      </c>
      <c r="D245" t="s">
        <v>11</v>
      </c>
      <c r="E245" t="s">
        <v>139</v>
      </c>
      <c r="F245" t="s">
        <v>13</v>
      </c>
      <c r="G245" t="str">
        <f>VLOOKUP(A245,[1]Kreise!$A$1:$C$53,3,FALSE)</f>
        <v>K034</v>
      </c>
      <c r="H245">
        <v>83.860311467673426</v>
      </c>
    </row>
    <row r="246" spans="1:8">
      <c r="A246">
        <v>0</v>
      </c>
      <c r="B246" t="s">
        <v>34</v>
      </c>
      <c r="C246">
        <v>2020</v>
      </c>
      <c r="D246" t="s">
        <v>11</v>
      </c>
      <c r="E246" t="s">
        <v>139</v>
      </c>
      <c r="F246" t="s">
        <v>13</v>
      </c>
      <c r="G246" t="str">
        <f>VLOOKUP(A246,[1]Kreise!$A$1:$C$53,3,FALSE)</f>
        <v>K030</v>
      </c>
      <c r="H246">
        <v>84.835775369028809</v>
      </c>
    </row>
    <row r="247" spans="1:8">
      <c r="A247">
        <v>1</v>
      </c>
      <c r="B247" t="s">
        <v>30</v>
      </c>
      <c r="C247">
        <v>2019</v>
      </c>
      <c r="D247" t="s">
        <v>11</v>
      </c>
      <c r="E247" t="s">
        <v>139</v>
      </c>
      <c r="F247" t="s">
        <v>13</v>
      </c>
      <c r="G247" t="str">
        <f>VLOOKUP(A247,[1]Kreise!$A$1:$C$53,3,FALSE)</f>
        <v>K031</v>
      </c>
      <c r="H247">
        <v>87.970388648982109</v>
      </c>
    </row>
    <row r="248" spans="1:8">
      <c r="A248">
        <v>2</v>
      </c>
      <c r="B248" t="s">
        <v>31</v>
      </c>
      <c r="C248">
        <v>2019</v>
      </c>
      <c r="D248" t="s">
        <v>11</v>
      </c>
      <c r="E248" t="s">
        <v>139</v>
      </c>
      <c r="F248" t="s">
        <v>13</v>
      </c>
      <c r="G248" t="str">
        <f>VLOOKUP(A248,[1]Kreise!$A$1:$C$53,3,FALSE)</f>
        <v>K032</v>
      </c>
      <c r="H248">
        <v>80.182002022244689</v>
      </c>
    </row>
    <row r="249" spans="1:8">
      <c r="A249">
        <v>3</v>
      </c>
      <c r="B249" t="s">
        <v>32</v>
      </c>
      <c r="C249">
        <v>2019</v>
      </c>
      <c r="D249" t="s">
        <v>11</v>
      </c>
      <c r="E249" t="s">
        <v>139</v>
      </c>
      <c r="F249" t="s">
        <v>13</v>
      </c>
      <c r="G249" t="str">
        <f>VLOOKUP(A249,[1]Kreise!$A$1:$C$53,3,FALSE)</f>
        <v>K033</v>
      </c>
      <c r="H249">
        <v>89.574507275741382</v>
      </c>
    </row>
    <row r="250" spans="1:8">
      <c r="A250">
        <v>4</v>
      </c>
      <c r="B250" t="s">
        <v>33</v>
      </c>
      <c r="C250">
        <v>2019</v>
      </c>
      <c r="D250" t="s">
        <v>11</v>
      </c>
      <c r="E250" t="s">
        <v>139</v>
      </c>
      <c r="F250" t="s">
        <v>13</v>
      </c>
      <c r="G250" t="str">
        <f>VLOOKUP(A250,[1]Kreise!$A$1:$C$53,3,FALSE)</f>
        <v>K034</v>
      </c>
      <c r="H250">
        <v>85.47105561861521</v>
      </c>
    </row>
    <row r="251" spans="1:8">
      <c r="A251">
        <v>0</v>
      </c>
      <c r="B251" t="s">
        <v>34</v>
      </c>
      <c r="C251">
        <v>2019</v>
      </c>
      <c r="D251" t="s">
        <v>11</v>
      </c>
      <c r="E251" t="s">
        <v>139</v>
      </c>
      <c r="F251" t="s">
        <v>13</v>
      </c>
      <c r="G251" t="str">
        <f>VLOOKUP(A251,[1]Kreise!$A$1:$C$53,3,FALSE)</f>
        <v>K030</v>
      </c>
      <c r="H251">
        <v>86.036012110267166</v>
      </c>
    </row>
    <row r="252" spans="1:8">
      <c r="A252">
        <v>1</v>
      </c>
      <c r="B252" t="s">
        <v>30</v>
      </c>
      <c r="C252">
        <v>2018</v>
      </c>
      <c r="D252" t="s">
        <v>11</v>
      </c>
      <c r="E252" t="s">
        <v>139</v>
      </c>
      <c r="F252" t="s">
        <v>13</v>
      </c>
      <c r="G252" t="str">
        <f>VLOOKUP(A252,[1]Kreise!$A$1:$C$53,3,FALSE)</f>
        <v>K031</v>
      </c>
      <c r="H252">
        <v>87.625</v>
      </c>
    </row>
    <row r="253" spans="1:8">
      <c r="A253">
        <v>2</v>
      </c>
      <c r="B253" t="s">
        <v>31</v>
      </c>
      <c r="C253">
        <v>2018</v>
      </c>
      <c r="D253" t="s">
        <v>11</v>
      </c>
      <c r="E253" t="s">
        <v>139</v>
      </c>
      <c r="F253" t="s">
        <v>13</v>
      </c>
      <c r="G253" t="str">
        <f>VLOOKUP(A253,[1]Kreise!$A$1:$C$53,3,FALSE)</f>
        <v>K032</v>
      </c>
      <c r="H253">
        <v>85.719310587407676</v>
      </c>
    </row>
    <row r="254" spans="1:8">
      <c r="A254">
        <v>3</v>
      </c>
      <c r="B254" t="s">
        <v>32</v>
      </c>
      <c r="C254">
        <v>2018</v>
      </c>
      <c r="D254" t="s">
        <v>11</v>
      </c>
      <c r="E254" t="s">
        <v>139</v>
      </c>
      <c r="F254" t="s">
        <v>13</v>
      </c>
      <c r="G254" t="str">
        <f>VLOOKUP(A254,[1]Kreise!$A$1:$C$53,3,FALSE)</f>
        <v>K033</v>
      </c>
      <c r="H254">
        <v>90.149738408803898</v>
      </c>
    </row>
    <row r="255" spans="1:8">
      <c r="A255">
        <v>4</v>
      </c>
      <c r="B255" t="s">
        <v>33</v>
      </c>
      <c r="C255">
        <v>2018</v>
      </c>
      <c r="D255" t="s">
        <v>11</v>
      </c>
      <c r="E255" t="s">
        <v>139</v>
      </c>
      <c r="F255" t="s">
        <v>13</v>
      </c>
      <c r="G255" t="str">
        <f>VLOOKUP(A255,[1]Kreise!$A$1:$C$53,3,FALSE)</f>
        <v>K034</v>
      </c>
      <c r="H255">
        <v>87.821906833009038</v>
      </c>
    </row>
    <row r="256" spans="1:8">
      <c r="A256">
        <v>0</v>
      </c>
      <c r="B256" t="s">
        <v>34</v>
      </c>
      <c r="C256">
        <v>2018</v>
      </c>
      <c r="D256" t="s">
        <v>11</v>
      </c>
      <c r="E256" t="s">
        <v>139</v>
      </c>
      <c r="F256" t="s">
        <v>13</v>
      </c>
      <c r="G256" t="str">
        <f>VLOOKUP(A256,[1]Kreise!$A$1:$C$53,3,FALSE)</f>
        <v>K030</v>
      </c>
      <c r="H256">
        <v>88.174971959621857</v>
      </c>
    </row>
    <row r="257" spans="1:8">
      <c r="A257">
        <v>1</v>
      </c>
      <c r="B257" t="s">
        <v>30</v>
      </c>
      <c r="C257">
        <v>2017</v>
      </c>
      <c r="D257" t="s">
        <v>11</v>
      </c>
      <c r="E257" t="s">
        <v>139</v>
      </c>
      <c r="F257" t="s">
        <v>13</v>
      </c>
      <c r="G257" t="str">
        <f>VLOOKUP(A257,[1]Kreise!$A$1:$C$53,3,FALSE)</f>
        <v>K031</v>
      </c>
      <c r="H257">
        <v>90.058479532163744</v>
      </c>
    </row>
    <row r="258" spans="1:8">
      <c r="A258">
        <v>2</v>
      </c>
      <c r="B258" t="s">
        <v>31</v>
      </c>
      <c r="C258">
        <v>2017</v>
      </c>
      <c r="D258" t="s">
        <v>11</v>
      </c>
      <c r="E258" t="s">
        <v>139</v>
      </c>
      <c r="F258" t="s">
        <v>13</v>
      </c>
      <c r="G258" t="str">
        <f>VLOOKUP(A258,[1]Kreise!$A$1:$C$53,3,FALSE)</f>
        <v>K032</v>
      </c>
      <c r="H258">
        <v>85.622154779969648</v>
      </c>
    </row>
    <row r="259" spans="1:8">
      <c r="A259">
        <v>3</v>
      </c>
      <c r="B259" t="s">
        <v>32</v>
      </c>
      <c r="C259">
        <v>2017</v>
      </c>
      <c r="D259" t="s">
        <v>11</v>
      </c>
      <c r="E259" t="s">
        <v>139</v>
      </c>
      <c r="F259" t="s">
        <v>13</v>
      </c>
      <c r="G259" t="str">
        <f>VLOOKUP(A259,[1]Kreise!$A$1:$C$53,3,FALSE)</f>
        <v>K033</v>
      </c>
      <c r="H259">
        <v>91.663599558336401</v>
      </c>
    </row>
    <row r="260" spans="1:8">
      <c r="A260">
        <v>4</v>
      </c>
      <c r="B260" t="s">
        <v>33</v>
      </c>
      <c r="C260">
        <v>2017</v>
      </c>
      <c r="D260" t="s">
        <v>11</v>
      </c>
      <c r="E260" t="s">
        <v>139</v>
      </c>
      <c r="F260" t="s">
        <v>13</v>
      </c>
      <c r="G260" t="str">
        <f>VLOOKUP(A260,[1]Kreise!$A$1:$C$53,3,FALSE)</f>
        <v>K034</v>
      </c>
      <c r="H260">
        <v>88.612269207861829</v>
      </c>
    </row>
    <row r="261" spans="1:8">
      <c r="A261">
        <v>0</v>
      </c>
      <c r="B261" t="s">
        <v>34</v>
      </c>
      <c r="C261">
        <v>2017</v>
      </c>
      <c r="D261" t="s">
        <v>11</v>
      </c>
      <c r="E261" t="s">
        <v>139</v>
      </c>
      <c r="F261" t="s">
        <v>13</v>
      </c>
      <c r="G261" t="str">
        <f>VLOOKUP(A261,[1]Kreise!$A$1:$C$53,3,FALSE)</f>
        <v>K030</v>
      </c>
      <c r="H261">
        <v>89.226960110041261</v>
      </c>
    </row>
    <row r="262" spans="1:8">
      <c r="A262">
        <v>1</v>
      </c>
      <c r="B262" t="s">
        <v>30</v>
      </c>
      <c r="C262">
        <v>2016</v>
      </c>
      <c r="D262" t="s">
        <v>11</v>
      </c>
      <c r="E262" t="s">
        <v>139</v>
      </c>
      <c r="F262" t="s">
        <v>13</v>
      </c>
      <c r="G262" t="str">
        <f>VLOOKUP(A262,[1]Kreise!$A$1:$C$53,3,FALSE)</f>
        <v>K031</v>
      </c>
      <c r="H262">
        <v>91.682661548304552</v>
      </c>
    </row>
    <row r="263" spans="1:8">
      <c r="A263">
        <v>2</v>
      </c>
      <c r="B263" t="s">
        <v>31</v>
      </c>
      <c r="C263">
        <v>2016</v>
      </c>
      <c r="D263" t="s">
        <v>11</v>
      </c>
      <c r="E263" t="s">
        <v>139</v>
      </c>
      <c r="F263" t="s">
        <v>13</v>
      </c>
      <c r="G263" t="str">
        <f>VLOOKUP(A263,[1]Kreise!$A$1:$C$53,3,FALSE)</f>
        <v>K032</v>
      </c>
      <c r="H263">
        <v>89.390142021720962</v>
      </c>
    </row>
    <row r="264" spans="1:8">
      <c r="A264">
        <v>3</v>
      </c>
      <c r="B264" t="s">
        <v>32</v>
      </c>
      <c r="C264">
        <v>2016</v>
      </c>
      <c r="D264" t="s">
        <v>11</v>
      </c>
      <c r="E264" t="s">
        <v>139</v>
      </c>
      <c r="F264" t="s">
        <v>13</v>
      </c>
      <c r="G264" t="str">
        <f>VLOOKUP(A264,[1]Kreise!$A$1:$C$53,3,FALSE)</f>
        <v>K033</v>
      </c>
      <c r="H264">
        <v>93.190512624330523</v>
      </c>
    </row>
    <row r="265" spans="1:8">
      <c r="A265">
        <v>4</v>
      </c>
      <c r="B265" t="s">
        <v>33</v>
      </c>
      <c r="C265">
        <v>2016</v>
      </c>
      <c r="D265" t="s">
        <v>11</v>
      </c>
      <c r="E265" t="s">
        <v>139</v>
      </c>
      <c r="F265" t="s">
        <v>13</v>
      </c>
      <c r="G265" t="str">
        <f>VLOOKUP(A265,[1]Kreise!$A$1:$C$53,3,FALSE)</f>
        <v>K034</v>
      </c>
      <c r="H265">
        <v>90.786240786240796</v>
      </c>
    </row>
    <row r="266" spans="1:8">
      <c r="A266">
        <v>0</v>
      </c>
      <c r="B266" t="s">
        <v>34</v>
      </c>
      <c r="C266">
        <v>2016</v>
      </c>
      <c r="D266" t="s">
        <v>11</v>
      </c>
      <c r="E266" t="s">
        <v>139</v>
      </c>
      <c r="F266" t="s">
        <v>13</v>
      </c>
      <c r="G266" t="str">
        <f>VLOOKUP(A266,[1]Kreise!$A$1:$C$53,3,FALSE)</f>
        <v>K030</v>
      </c>
      <c r="H266">
        <v>91.429955787051057</v>
      </c>
    </row>
    <row r="267" spans="1:8">
      <c r="A267">
        <v>1</v>
      </c>
      <c r="B267" t="s">
        <v>30</v>
      </c>
      <c r="C267">
        <v>2015</v>
      </c>
      <c r="D267" t="s">
        <v>11</v>
      </c>
      <c r="E267" t="s">
        <v>139</v>
      </c>
      <c r="F267" t="s">
        <v>13</v>
      </c>
      <c r="G267" t="str">
        <f>VLOOKUP(A267,[1]Kreise!$A$1:$C$53,3,FALSE)</f>
        <v>K031</v>
      </c>
      <c r="H267">
        <v>94.859813084112147</v>
      </c>
    </row>
    <row r="268" spans="1:8">
      <c r="A268">
        <v>2</v>
      </c>
      <c r="B268" t="s">
        <v>31</v>
      </c>
      <c r="C268">
        <v>2015</v>
      </c>
      <c r="D268" t="s">
        <v>11</v>
      </c>
      <c r="E268" t="s">
        <v>139</v>
      </c>
      <c r="F268" t="s">
        <v>13</v>
      </c>
      <c r="G268" t="str">
        <f>VLOOKUP(A268,[1]Kreise!$A$1:$C$53,3,FALSE)</f>
        <v>K032</v>
      </c>
      <c r="H268">
        <v>90.763390974272468</v>
      </c>
    </row>
    <row r="269" spans="1:8">
      <c r="A269">
        <v>3</v>
      </c>
      <c r="B269" t="s">
        <v>32</v>
      </c>
      <c r="C269">
        <v>2015</v>
      </c>
      <c r="D269" t="s">
        <v>11</v>
      </c>
      <c r="E269" t="s">
        <v>139</v>
      </c>
      <c r="F269" t="s">
        <v>13</v>
      </c>
      <c r="G269" t="str">
        <f>VLOOKUP(A269,[1]Kreise!$A$1:$C$53,3,FALSE)</f>
        <v>K033</v>
      </c>
      <c r="H269">
        <v>94.876395534290268</v>
      </c>
    </row>
    <row r="270" spans="1:8">
      <c r="A270">
        <v>4</v>
      </c>
      <c r="B270" t="s">
        <v>33</v>
      </c>
      <c r="C270">
        <v>2015</v>
      </c>
      <c r="D270" t="s">
        <v>11</v>
      </c>
      <c r="E270" t="s">
        <v>139</v>
      </c>
      <c r="F270" t="s">
        <v>13</v>
      </c>
      <c r="G270" t="str">
        <f>VLOOKUP(A270,[1]Kreise!$A$1:$C$53,3,FALSE)</f>
        <v>K034</v>
      </c>
      <c r="H270">
        <v>93.10500225326723</v>
      </c>
    </row>
    <row r="271" spans="1:8">
      <c r="A271">
        <v>0</v>
      </c>
      <c r="B271" t="s">
        <v>34</v>
      </c>
      <c r="C271">
        <v>2015</v>
      </c>
      <c r="D271" t="s">
        <v>11</v>
      </c>
      <c r="E271" t="s">
        <v>139</v>
      </c>
      <c r="F271" t="s">
        <v>13</v>
      </c>
      <c r="G271" t="str">
        <f>VLOOKUP(A271,[1]Kreise!$A$1:$C$53,3,FALSE)</f>
        <v>K030</v>
      </c>
      <c r="H271">
        <v>93.48861150431091</v>
      </c>
    </row>
    <row r="272" spans="1:8">
      <c r="A272">
        <v>1</v>
      </c>
      <c r="B272" t="s">
        <v>145</v>
      </c>
      <c r="C272">
        <v>2014</v>
      </c>
      <c r="D272" t="s">
        <v>11</v>
      </c>
      <c r="E272" t="s">
        <v>139</v>
      </c>
      <c r="F272" t="s">
        <v>13</v>
      </c>
      <c r="G272" t="str">
        <f>VLOOKUP(A272,[1]Kreise!$A$1:$C$53,3,FALSE)</f>
        <v>K031</v>
      </c>
      <c r="H272">
        <v>96.561604584527217</v>
      </c>
    </row>
    <row r="273" spans="1:8">
      <c r="A273">
        <v>2</v>
      </c>
      <c r="B273" t="s">
        <v>146</v>
      </c>
      <c r="C273">
        <v>2014</v>
      </c>
      <c r="D273" t="s">
        <v>11</v>
      </c>
      <c r="E273" t="s">
        <v>139</v>
      </c>
      <c r="F273" t="s">
        <v>13</v>
      </c>
      <c r="G273" t="str">
        <f>VLOOKUP(A273,[1]Kreise!$A$1:$C$53,3,FALSE)</f>
        <v>K032</v>
      </c>
      <c r="H273">
        <v>92.284139620330691</v>
      </c>
    </row>
    <row r="274" spans="1:8">
      <c r="A274">
        <v>3</v>
      </c>
      <c r="B274" t="s">
        <v>147</v>
      </c>
      <c r="C274">
        <v>2014</v>
      </c>
      <c r="D274" t="s">
        <v>11</v>
      </c>
      <c r="E274" t="s">
        <v>139</v>
      </c>
      <c r="F274" t="s">
        <v>13</v>
      </c>
      <c r="G274" t="str">
        <f>VLOOKUP(A274,[1]Kreise!$A$1:$C$53,3,FALSE)</f>
        <v>K033</v>
      </c>
      <c r="H274">
        <v>96.141479099678463</v>
      </c>
    </row>
    <row r="275" spans="1:8">
      <c r="A275">
        <v>4</v>
      </c>
      <c r="B275" t="s">
        <v>148</v>
      </c>
      <c r="C275">
        <v>2014</v>
      </c>
      <c r="D275" t="s">
        <v>11</v>
      </c>
      <c r="E275" t="s">
        <v>139</v>
      </c>
      <c r="F275" t="s">
        <v>13</v>
      </c>
      <c r="G275" t="str">
        <f>VLOOKUP(A275,[1]Kreise!$A$1:$C$53,3,FALSE)</f>
        <v>K034</v>
      </c>
      <c r="H275">
        <v>94.944341372912803</v>
      </c>
    </row>
    <row r="276" spans="1:8">
      <c r="A276">
        <v>0</v>
      </c>
      <c r="B276" t="s">
        <v>34</v>
      </c>
      <c r="C276">
        <v>2014</v>
      </c>
      <c r="D276" t="s">
        <v>11</v>
      </c>
      <c r="E276" t="s">
        <v>139</v>
      </c>
      <c r="F276" t="s">
        <v>13</v>
      </c>
      <c r="G276" t="str">
        <f>VLOOKUP(A276,[1]Kreise!$A$1:$C$53,3,FALSE)</f>
        <v>K030</v>
      </c>
      <c r="H276">
        <v>95.050485052464865</v>
      </c>
    </row>
    <row r="277" spans="1:8">
      <c r="A277">
        <v>1</v>
      </c>
      <c r="B277" t="s">
        <v>30</v>
      </c>
      <c r="C277">
        <v>2013</v>
      </c>
      <c r="D277" t="s">
        <v>11</v>
      </c>
      <c r="E277" t="s">
        <v>139</v>
      </c>
      <c r="F277" t="s">
        <v>13</v>
      </c>
      <c r="G277" t="str">
        <f>VLOOKUP(A277,[1]Kreise!$A$1:$C$53,3,FALSE)</f>
        <v>K031</v>
      </c>
      <c r="H277" t="s">
        <v>35</v>
      </c>
    </row>
    <row r="278" spans="1:8">
      <c r="A278">
        <v>2</v>
      </c>
      <c r="B278" t="s">
        <v>31</v>
      </c>
      <c r="C278">
        <v>2013</v>
      </c>
      <c r="D278" t="s">
        <v>11</v>
      </c>
      <c r="E278" t="s">
        <v>139</v>
      </c>
      <c r="F278" t="s">
        <v>13</v>
      </c>
      <c r="G278" t="str">
        <f>VLOOKUP(A278,[1]Kreise!$A$1:$C$53,3,FALSE)</f>
        <v>K032</v>
      </c>
      <c r="H278" t="s">
        <v>35</v>
      </c>
    </row>
    <row r="279" spans="1:8">
      <c r="A279">
        <v>3</v>
      </c>
      <c r="B279" t="s">
        <v>32</v>
      </c>
      <c r="C279">
        <v>2013</v>
      </c>
      <c r="D279" t="s">
        <v>11</v>
      </c>
      <c r="E279" t="s">
        <v>139</v>
      </c>
      <c r="F279" t="s">
        <v>13</v>
      </c>
      <c r="G279" t="str">
        <f>VLOOKUP(A279,[1]Kreise!$A$1:$C$53,3,FALSE)</f>
        <v>K033</v>
      </c>
      <c r="H279" t="s">
        <v>35</v>
      </c>
    </row>
    <row r="280" spans="1:8">
      <c r="A280">
        <v>4</v>
      </c>
      <c r="B280" t="s">
        <v>33</v>
      </c>
      <c r="C280">
        <v>2013</v>
      </c>
      <c r="D280" t="s">
        <v>11</v>
      </c>
      <c r="E280" t="s">
        <v>139</v>
      </c>
      <c r="F280" t="s">
        <v>13</v>
      </c>
      <c r="G280" t="str">
        <f>VLOOKUP(A280,[1]Kreise!$A$1:$C$53,3,FALSE)</f>
        <v>K034</v>
      </c>
      <c r="H280" t="s">
        <v>35</v>
      </c>
    </row>
    <row r="281" spans="1:8">
      <c r="A281">
        <v>0</v>
      </c>
      <c r="B281" t="s">
        <v>34</v>
      </c>
      <c r="C281">
        <v>2013</v>
      </c>
      <c r="D281" t="s">
        <v>11</v>
      </c>
      <c r="E281" t="s">
        <v>139</v>
      </c>
      <c r="F281" t="s">
        <v>13</v>
      </c>
      <c r="G281" t="str">
        <f>VLOOKUP(A281,[1]Kreise!$A$1:$C$53,3,FALSE)</f>
        <v>K030</v>
      </c>
      <c r="H281" t="s">
        <v>35</v>
      </c>
    </row>
    <row r="282" spans="1:8">
      <c r="A282">
        <v>1</v>
      </c>
      <c r="B282" t="s">
        <v>145</v>
      </c>
      <c r="C282">
        <v>2012</v>
      </c>
      <c r="D282" t="s">
        <v>11</v>
      </c>
      <c r="E282" t="s">
        <v>139</v>
      </c>
      <c r="F282" t="s">
        <v>13</v>
      </c>
      <c r="G282" t="str">
        <f>VLOOKUP(A282,[1]Kreise!$A$1:$C$53,3,FALSE)</f>
        <v>K031</v>
      </c>
      <c r="H282" t="s">
        <v>35</v>
      </c>
    </row>
    <row r="283" spans="1:8">
      <c r="A283">
        <v>2</v>
      </c>
      <c r="B283" t="s">
        <v>146</v>
      </c>
      <c r="C283">
        <v>2012</v>
      </c>
      <c r="D283" t="s">
        <v>11</v>
      </c>
      <c r="E283" t="s">
        <v>139</v>
      </c>
      <c r="F283" t="s">
        <v>13</v>
      </c>
      <c r="G283" t="str">
        <f>VLOOKUP(A283,[1]Kreise!$A$1:$C$53,3,FALSE)</f>
        <v>K032</v>
      </c>
      <c r="H283" t="s">
        <v>35</v>
      </c>
    </row>
    <row r="284" spans="1:8">
      <c r="A284">
        <v>3</v>
      </c>
      <c r="B284" t="s">
        <v>147</v>
      </c>
      <c r="C284">
        <v>2012</v>
      </c>
      <c r="D284" t="s">
        <v>11</v>
      </c>
      <c r="E284" t="s">
        <v>139</v>
      </c>
      <c r="F284" t="s">
        <v>13</v>
      </c>
      <c r="G284" t="str">
        <f>VLOOKUP(A284,[1]Kreise!$A$1:$C$53,3,FALSE)</f>
        <v>K033</v>
      </c>
      <c r="H284" t="s">
        <v>35</v>
      </c>
    </row>
    <row r="285" spans="1:8">
      <c r="A285">
        <v>4</v>
      </c>
      <c r="B285" t="s">
        <v>148</v>
      </c>
      <c r="C285">
        <v>2012</v>
      </c>
      <c r="D285" t="s">
        <v>11</v>
      </c>
      <c r="E285" t="s">
        <v>139</v>
      </c>
      <c r="F285" t="s">
        <v>13</v>
      </c>
      <c r="G285" t="str">
        <f>VLOOKUP(A285,[1]Kreise!$A$1:$C$53,3,FALSE)</f>
        <v>K034</v>
      </c>
      <c r="H285" t="s">
        <v>35</v>
      </c>
    </row>
    <row r="286" spans="1:8">
      <c r="A286">
        <v>0</v>
      </c>
      <c r="B286" t="s">
        <v>34</v>
      </c>
      <c r="C286">
        <v>2012</v>
      </c>
      <c r="D286" t="s">
        <v>11</v>
      </c>
      <c r="E286" t="s">
        <v>139</v>
      </c>
      <c r="F286" t="s">
        <v>13</v>
      </c>
      <c r="G286" t="str">
        <f>VLOOKUP(A286,[1]Kreise!$A$1:$C$53,3,FALSE)</f>
        <v>K030</v>
      </c>
      <c r="H286" t="s">
        <v>35</v>
      </c>
    </row>
    <row r="287" spans="1:8">
      <c r="A287">
        <v>1</v>
      </c>
      <c r="B287" t="s">
        <v>30</v>
      </c>
      <c r="C287">
        <v>2011</v>
      </c>
      <c r="D287" t="s">
        <v>11</v>
      </c>
      <c r="E287" t="s">
        <v>139</v>
      </c>
      <c r="F287" t="s">
        <v>13</v>
      </c>
      <c r="G287" t="str">
        <f>VLOOKUP(A287,[1]Kreise!$A$1:$C$53,3,FALSE)</f>
        <v>K031</v>
      </c>
      <c r="H287" t="s">
        <v>35</v>
      </c>
    </row>
    <row r="288" spans="1:8">
      <c r="A288">
        <v>2</v>
      </c>
      <c r="B288" t="s">
        <v>31</v>
      </c>
      <c r="C288">
        <v>2011</v>
      </c>
      <c r="D288" t="s">
        <v>11</v>
      </c>
      <c r="E288" t="s">
        <v>139</v>
      </c>
      <c r="F288" t="s">
        <v>13</v>
      </c>
      <c r="G288" t="str">
        <f>VLOOKUP(A288,[1]Kreise!$A$1:$C$53,3,FALSE)</f>
        <v>K032</v>
      </c>
      <c r="H288" t="s">
        <v>35</v>
      </c>
    </row>
    <row r="289" spans="1:8">
      <c r="A289">
        <v>3</v>
      </c>
      <c r="B289" t="s">
        <v>32</v>
      </c>
      <c r="C289">
        <v>2011</v>
      </c>
      <c r="D289" t="s">
        <v>11</v>
      </c>
      <c r="E289" t="s">
        <v>139</v>
      </c>
      <c r="F289" t="s">
        <v>13</v>
      </c>
      <c r="G289" t="str">
        <f>VLOOKUP(A289,[1]Kreise!$A$1:$C$53,3,FALSE)</f>
        <v>K033</v>
      </c>
      <c r="H289" t="s">
        <v>35</v>
      </c>
    </row>
    <row r="290" spans="1:8">
      <c r="A290">
        <v>4</v>
      </c>
      <c r="B290" t="s">
        <v>33</v>
      </c>
      <c r="C290">
        <v>2011</v>
      </c>
      <c r="D290" t="s">
        <v>11</v>
      </c>
      <c r="E290" t="s">
        <v>139</v>
      </c>
      <c r="F290" t="s">
        <v>13</v>
      </c>
      <c r="G290" t="str">
        <f>VLOOKUP(A290,[1]Kreise!$A$1:$C$53,3,FALSE)</f>
        <v>K034</v>
      </c>
      <c r="H290" t="s">
        <v>35</v>
      </c>
    </row>
    <row r="291" spans="1:8">
      <c r="A291">
        <v>0</v>
      </c>
      <c r="B291" t="s">
        <v>34</v>
      </c>
      <c r="C291">
        <v>2011</v>
      </c>
      <c r="D291" t="s">
        <v>11</v>
      </c>
      <c r="E291" t="s">
        <v>139</v>
      </c>
      <c r="F291" t="s">
        <v>13</v>
      </c>
      <c r="G291" t="str">
        <f>VLOOKUP(A291,[1]Kreise!$A$1:$C$53,3,FALSE)</f>
        <v>K030</v>
      </c>
      <c r="H291" t="s">
        <v>35</v>
      </c>
    </row>
    <row r="292" spans="1:8">
      <c r="A292">
        <v>1</v>
      </c>
      <c r="B292" t="s">
        <v>145</v>
      </c>
      <c r="C292">
        <v>2010</v>
      </c>
      <c r="D292" t="s">
        <v>11</v>
      </c>
      <c r="E292" t="s">
        <v>139</v>
      </c>
      <c r="F292" t="s">
        <v>13</v>
      </c>
      <c r="G292" t="str">
        <f>VLOOKUP(A292,[1]Kreise!$A$1:$C$53,3,FALSE)</f>
        <v>K031</v>
      </c>
      <c r="H292" t="s">
        <v>35</v>
      </c>
    </row>
    <row r="293" spans="1:8">
      <c r="A293">
        <v>2</v>
      </c>
      <c r="B293" t="s">
        <v>146</v>
      </c>
      <c r="C293">
        <v>2010</v>
      </c>
      <c r="D293" t="s">
        <v>11</v>
      </c>
      <c r="E293" t="s">
        <v>139</v>
      </c>
      <c r="F293" t="s">
        <v>13</v>
      </c>
      <c r="G293" t="str">
        <f>VLOOKUP(A293,[1]Kreise!$A$1:$C$53,3,FALSE)</f>
        <v>K032</v>
      </c>
      <c r="H293" t="s">
        <v>35</v>
      </c>
    </row>
    <row r="294" spans="1:8">
      <c r="A294">
        <v>3</v>
      </c>
      <c r="B294" t="s">
        <v>147</v>
      </c>
      <c r="C294">
        <v>2010</v>
      </c>
      <c r="D294" t="s">
        <v>11</v>
      </c>
      <c r="E294" t="s">
        <v>139</v>
      </c>
      <c r="F294" t="s">
        <v>13</v>
      </c>
      <c r="G294" t="str">
        <f>VLOOKUP(A294,[1]Kreise!$A$1:$C$53,3,FALSE)</f>
        <v>K033</v>
      </c>
      <c r="H294" t="s">
        <v>35</v>
      </c>
    </row>
    <row r="295" spans="1:8">
      <c r="A295">
        <v>4</v>
      </c>
      <c r="B295" t="s">
        <v>148</v>
      </c>
      <c r="C295">
        <v>2010</v>
      </c>
      <c r="D295" t="s">
        <v>11</v>
      </c>
      <c r="E295" t="s">
        <v>139</v>
      </c>
      <c r="F295" t="s">
        <v>13</v>
      </c>
      <c r="G295" t="str">
        <f>VLOOKUP(A295,[1]Kreise!$A$1:$C$53,3,FALSE)</f>
        <v>K034</v>
      </c>
      <c r="H295" t="s">
        <v>35</v>
      </c>
    </row>
    <row r="296" spans="1:8">
      <c r="A296">
        <v>0</v>
      </c>
      <c r="B296" t="s">
        <v>34</v>
      </c>
      <c r="C296">
        <v>2010</v>
      </c>
      <c r="D296" t="s">
        <v>11</v>
      </c>
      <c r="E296" t="s">
        <v>139</v>
      </c>
      <c r="F296" t="s">
        <v>13</v>
      </c>
      <c r="G296" t="str">
        <f>VLOOKUP(A296,[1]Kreise!$A$1:$C$53,3,FALSE)</f>
        <v>K030</v>
      </c>
      <c r="H296" t="s">
        <v>35</v>
      </c>
    </row>
    <row r="297" spans="1:8">
      <c r="A297">
        <v>1</v>
      </c>
      <c r="B297" t="s">
        <v>145</v>
      </c>
      <c r="C297">
        <v>2005</v>
      </c>
      <c r="D297" t="s">
        <v>11</v>
      </c>
      <c r="E297" t="s">
        <v>139</v>
      </c>
      <c r="F297" t="s">
        <v>13</v>
      </c>
      <c r="G297" t="str">
        <f>VLOOKUP(A297,[1]Kreise!$A$1:$C$53,3,FALSE)</f>
        <v>K031</v>
      </c>
      <c r="H297" t="s">
        <v>35</v>
      </c>
    </row>
    <row r="298" spans="1:8">
      <c r="A298">
        <v>2</v>
      </c>
      <c r="B298" t="s">
        <v>146</v>
      </c>
      <c r="C298">
        <v>2005</v>
      </c>
      <c r="D298" t="s">
        <v>11</v>
      </c>
      <c r="E298" t="s">
        <v>139</v>
      </c>
      <c r="F298" t="s">
        <v>13</v>
      </c>
      <c r="G298" t="str">
        <f>VLOOKUP(A298,[1]Kreise!$A$1:$C$53,3,FALSE)</f>
        <v>K032</v>
      </c>
      <c r="H298" t="s">
        <v>35</v>
      </c>
    </row>
    <row r="299" spans="1:8">
      <c r="A299">
        <v>3</v>
      </c>
      <c r="B299" t="s">
        <v>147</v>
      </c>
      <c r="C299">
        <v>2005</v>
      </c>
      <c r="D299" t="s">
        <v>11</v>
      </c>
      <c r="E299" t="s">
        <v>139</v>
      </c>
      <c r="F299" t="s">
        <v>13</v>
      </c>
      <c r="G299" t="str">
        <f>VLOOKUP(A299,[1]Kreise!$A$1:$C$53,3,FALSE)</f>
        <v>K033</v>
      </c>
      <c r="H299" t="s">
        <v>35</v>
      </c>
    </row>
    <row r="300" spans="1:8">
      <c r="A300">
        <v>4</v>
      </c>
      <c r="B300" t="s">
        <v>148</v>
      </c>
      <c r="C300">
        <v>2005</v>
      </c>
      <c r="D300" t="s">
        <v>11</v>
      </c>
      <c r="E300" t="s">
        <v>139</v>
      </c>
      <c r="F300" t="s">
        <v>13</v>
      </c>
      <c r="G300" t="str">
        <f>VLOOKUP(A300,[1]Kreise!$A$1:$C$53,3,FALSE)</f>
        <v>K034</v>
      </c>
      <c r="H300" t="s">
        <v>35</v>
      </c>
    </row>
    <row r="301" spans="1:8">
      <c r="A301">
        <v>0</v>
      </c>
      <c r="B301" t="s">
        <v>34</v>
      </c>
      <c r="C301">
        <v>2005</v>
      </c>
      <c r="D301" t="s">
        <v>11</v>
      </c>
      <c r="E301" t="s">
        <v>139</v>
      </c>
      <c r="F301" t="s">
        <v>13</v>
      </c>
      <c r="G301" t="str">
        <f>VLOOKUP(A301,[1]Kreise!$A$1:$C$53,3,FALSE)</f>
        <v>K030</v>
      </c>
      <c r="H301" t="s">
        <v>35</v>
      </c>
    </row>
    <row r="302" spans="1:8">
      <c r="A302">
        <v>1</v>
      </c>
      <c r="B302" t="s">
        <v>30</v>
      </c>
      <c r="C302">
        <v>2020</v>
      </c>
      <c r="D302" t="s">
        <v>12</v>
      </c>
      <c r="E302" t="s">
        <v>139</v>
      </c>
      <c r="F302" t="s">
        <v>13</v>
      </c>
      <c r="G302" t="str">
        <f>VLOOKUP(A302,[1]Kreise!$A$1:$C$53,3,FALSE)</f>
        <v>K031</v>
      </c>
      <c r="H302">
        <v>13.256851497769279</v>
      </c>
    </row>
    <row r="303" spans="1:8">
      <c r="A303">
        <v>2</v>
      </c>
      <c r="B303" t="s">
        <v>31</v>
      </c>
      <c r="C303">
        <v>2020</v>
      </c>
      <c r="D303" t="s">
        <v>12</v>
      </c>
      <c r="E303" t="s">
        <v>139</v>
      </c>
      <c r="F303" t="s">
        <v>13</v>
      </c>
      <c r="G303" t="str">
        <f>VLOOKUP(A303,[1]Kreise!$A$1:$C$53,3,FALSE)</f>
        <v>K032</v>
      </c>
      <c r="H303">
        <v>19.067659436710908</v>
      </c>
    </row>
    <row r="304" spans="1:8">
      <c r="A304">
        <v>3</v>
      </c>
      <c r="B304" t="s">
        <v>32</v>
      </c>
      <c r="C304">
        <v>2020</v>
      </c>
      <c r="D304" t="s">
        <v>12</v>
      </c>
      <c r="E304" t="s">
        <v>139</v>
      </c>
      <c r="F304" t="s">
        <v>13</v>
      </c>
      <c r="G304" t="str">
        <f>VLOOKUP(A304,[1]Kreise!$A$1:$C$53,3,FALSE)</f>
        <v>K033</v>
      </c>
      <c r="H304">
        <v>11.846889952153109</v>
      </c>
    </row>
    <row r="305" spans="1:8">
      <c r="A305">
        <v>4</v>
      </c>
      <c r="B305" t="s">
        <v>33</v>
      </c>
      <c r="C305">
        <v>2020</v>
      </c>
      <c r="D305" t="s">
        <v>12</v>
      </c>
      <c r="E305" t="s">
        <v>139</v>
      </c>
      <c r="F305" t="s">
        <v>13</v>
      </c>
      <c r="G305" t="str">
        <f>VLOOKUP(A305,[1]Kreise!$A$1:$C$53,3,FALSE)</f>
        <v>K034</v>
      </c>
      <c r="H305">
        <v>16.139688532326566</v>
      </c>
    </row>
    <row r="306" spans="1:8">
      <c r="A306">
        <v>0</v>
      </c>
      <c r="B306" t="s">
        <v>34</v>
      </c>
      <c r="C306">
        <v>2020</v>
      </c>
      <c r="D306" t="s">
        <v>12</v>
      </c>
      <c r="E306" t="s">
        <v>139</v>
      </c>
      <c r="F306" t="s">
        <v>13</v>
      </c>
      <c r="G306" t="str">
        <f>VLOOKUP(A306,[1]Kreise!$A$1:$C$53,3,FALSE)</f>
        <v>K030</v>
      </c>
      <c r="H306">
        <v>15.164224630971185</v>
      </c>
    </row>
    <row r="307" spans="1:8">
      <c r="A307">
        <v>1</v>
      </c>
      <c r="B307" t="s">
        <v>30</v>
      </c>
      <c r="C307">
        <v>2019</v>
      </c>
      <c r="D307" t="s">
        <v>12</v>
      </c>
      <c r="E307" t="s">
        <v>139</v>
      </c>
      <c r="F307" t="s">
        <v>13</v>
      </c>
      <c r="G307" t="str">
        <f>VLOOKUP(A307,[1]Kreise!$A$1:$C$53,3,FALSE)</f>
        <v>K031</v>
      </c>
      <c r="H307">
        <v>12.029611351017889</v>
      </c>
    </row>
    <row r="308" spans="1:8">
      <c r="A308">
        <v>2</v>
      </c>
      <c r="B308" t="s">
        <v>31</v>
      </c>
      <c r="C308">
        <v>2019</v>
      </c>
      <c r="D308" t="s">
        <v>12</v>
      </c>
      <c r="E308" t="s">
        <v>139</v>
      </c>
      <c r="F308" t="s">
        <v>13</v>
      </c>
      <c r="G308" t="str">
        <f>VLOOKUP(A308,[1]Kreise!$A$1:$C$53,3,FALSE)</f>
        <v>K032</v>
      </c>
      <c r="H308">
        <v>19.817997977755308</v>
      </c>
    </row>
    <row r="309" spans="1:8">
      <c r="A309">
        <v>3</v>
      </c>
      <c r="B309" t="s">
        <v>32</v>
      </c>
      <c r="C309">
        <v>2019</v>
      </c>
      <c r="D309" t="s">
        <v>12</v>
      </c>
      <c r="E309" t="s">
        <v>139</v>
      </c>
      <c r="F309" t="s">
        <v>13</v>
      </c>
      <c r="G309" t="str">
        <f>VLOOKUP(A309,[1]Kreise!$A$1:$C$53,3,FALSE)</f>
        <v>K033</v>
      </c>
      <c r="H309">
        <v>10.425492724258611</v>
      </c>
    </row>
    <row r="310" spans="1:8">
      <c r="A310">
        <v>4</v>
      </c>
      <c r="B310" t="s">
        <v>33</v>
      </c>
      <c r="C310">
        <v>2019</v>
      </c>
      <c r="D310" t="s">
        <v>12</v>
      </c>
      <c r="E310" t="s">
        <v>139</v>
      </c>
      <c r="F310" t="s">
        <v>13</v>
      </c>
      <c r="G310" t="str">
        <f>VLOOKUP(A310,[1]Kreise!$A$1:$C$53,3,FALSE)</f>
        <v>K034</v>
      </c>
      <c r="H310">
        <v>14.52894438138479</v>
      </c>
    </row>
    <row r="311" spans="1:8">
      <c r="A311">
        <v>0</v>
      </c>
      <c r="B311" t="s">
        <v>34</v>
      </c>
      <c r="C311">
        <v>2019</v>
      </c>
      <c r="D311" t="s">
        <v>12</v>
      </c>
      <c r="E311" t="s">
        <v>139</v>
      </c>
      <c r="F311" t="s">
        <v>13</v>
      </c>
      <c r="G311" t="str">
        <f>VLOOKUP(A311,[1]Kreise!$A$1:$C$53,3,FALSE)</f>
        <v>K030</v>
      </c>
      <c r="H311">
        <v>13.963987889732831</v>
      </c>
    </row>
    <row r="312" spans="1:8">
      <c r="A312">
        <v>1</v>
      </c>
      <c r="B312" t="s">
        <v>30</v>
      </c>
      <c r="C312">
        <v>2018</v>
      </c>
      <c r="D312" t="s">
        <v>12</v>
      </c>
      <c r="E312" t="s">
        <v>139</v>
      </c>
      <c r="F312" t="s">
        <v>13</v>
      </c>
      <c r="G312" t="str">
        <f>VLOOKUP(A312,[1]Kreise!$A$1:$C$53,3,FALSE)</f>
        <v>K031</v>
      </c>
      <c r="H312">
        <v>12.375</v>
      </c>
    </row>
    <row r="313" spans="1:8">
      <c r="A313">
        <v>2</v>
      </c>
      <c r="B313" t="s">
        <v>31</v>
      </c>
      <c r="C313">
        <v>2018</v>
      </c>
      <c r="D313" t="s">
        <v>12</v>
      </c>
      <c r="E313" t="s">
        <v>139</v>
      </c>
      <c r="F313" t="s">
        <v>13</v>
      </c>
      <c r="G313" t="str">
        <f>VLOOKUP(A313,[1]Kreise!$A$1:$C$53,3,FALSE)</f>
        <v>K032</v>
      </c>
      <c r="H313">
        <v>14.280689412592332</v>
      </c>
    </row>
    <row r="314" spans="1:8">
      <c r="A314">
        <v>3</v>
      </c>
      <c r="B314" t="s">
        <v>32</v>
      </c>
      <c r="C314">
        <v>2018</v>
      </c>
      <c r="D314" t="s">
        <v>12</v>
      </c>
      <c r="E314" t="s">
        <v>139</v>
      </c>
      <c r="F314" t="s">
        <v>13</v>
      </c>
      <c r="G314" t="str">
        <f>VLOOKUP(A314,[1]Kreise!$A$1:$C$53,3,FALSE)</f>
        <v>K033</v>
      </c>
      <c r="H314">
        <v>9.8502615911961033</v>
      </c>
    </row>
    <row r="315" spans="1:8">
      <c r="A315">
        <v>4</v>
      </c>
      <c r="B315" t="s">
        <v>33</v>
      </c>
      <c r="C315">
        <v>2018</v>
      </c>
      <c r="D315" t="s">
        <v>12</v>
      </c>
      <c r="E315" t="s">
        <v>139</v>
      </c>
      <c r="F315" t="s">
        <v>13</v>
      </c>
      <c r="G315" t="str">
        <f>VLOOKUP(A315,[1]Kreise!$A$1:$C$53,3,FALSE)</f>
        <v>K034</v>
      </c>
      <c r="H315">
        <v>12.178093166990958</v>
      </c>
    </row>
    <row r="316" spans="1:8">
      <c r="A316">
        <v>0</v>
      </c>
      <c r="B316" t="s">
        <v>34</v>
      </c>
      <c r="C316">
        <v>2018</v>
      </c>
      <c r="D316" t="s">
        <v>12</v>
      </c>
      <c r="E316" t="s">
        <v>139</v>
      </c>
      <c r="F316" t="s">
        <v>13</v>
      </c>
      <c r="G316" t="str">
        <f>VLOOKUP(A316,[1]Kreise!$A$1:$C$53,3,FALSE)</f>
        <v>K030</v>
      </c>
      <c r="H316">
        <v>11.825028040378145</v>
      </c>
    </row>
    <row r="317" spans="1:8">
      <c r="A317">
        <v>1</v>
      </c>
      <c r="B317" t="s">
        <v>30</v>
      </c>
      <c r="C317">
        <v>2017</v>
      </c>
      <c r="D317" t="s">
        <v>12</v>
      </c>
      <c r="E317" t="s">
        <v>139</v>
      </c>
      <c r="F317" t="s">
        <v>13</v>
      </c>
      <c r="G317" t="str">
        <f>VLOOKUP(A317,[1]Kreise!$A$1:$C$53,3,FALSE)</f>
        <v>K031</v>
      </c>
      <c r="H317">
        <v>9.9415204678362574</v>
      </c>
    </row>
    <row r="318" spans="1:8">
      <c r="A318">
        <v>2</v>
      </c>
      <c r="B318" t="s">
        <v>31</v>
      </c>
      <c r="C318">
        <v>2017</v>
      </c>
      <c r="D318" t="s">
        <v>12</v>
      </c>
      <c r="E318" t="s">
        <v>139</v>
      </c>
      <c r="F318" t="s">
        <v>13</v>
      </c>
      <c r="G318" t="str">
        <f>VLOOKUP(A318,[1]Kreise!$A$1:$C$53,3,FALSE)</f>
        <v>K032</v>
      </c>
      <c r="H318">
        <v>14.37784522003035</v>
      </c>
    </row>
    <row r="319" spans="1:8">
      <c r="A319">
        <v>3</v>
      </c>
      <c r="B319" t="s">
        <v>32</v>
      </c>
      <c r="C319">
        <v>2017</v>
      </c>
      <c r="D319" t="s">
        <v>12</v>
      </c>
      <c r="E319" t="s">
        <v>139</v>
      </c>
      <c r="F319" t="s">
        <v>13</v>
      </c>
      <c r="G319" t="str">
        <f>VLOOKUP(A319,[1]Kreise!$A$1:$C$53,3,FALSE)</f>
        <v>K033</v>
      </c>
      <c r="H319">
        <v>8.3364004416635993</v>
      </c>
    </row>
    <row r="320" spans="1:8">
      <c r="A320">
        <v>4</v>
      </c>
      <c r="B320" t="s">
        <v>33</v>
      </c>
      <c r="C320">
        <v>2017</v>
      </c>
      <c r="D320" t="s">
        <v>12</v>
      </c>
      <c r="E320" t="s">
        <v>139</v>
      </c>
      <c r="F320" t="s">
        <v>13</v>
      </c>
      <c r="G320" t="str">
        <f>VLOOKUP(A320,[1]Kreise!$A$1:$C$53,3,FALSE)</f>
        <v>K034</v>
      </c>
      <c r="H320">
        <v>11.387730792138177</v>
      </c>
    </row>
    <row r="321" spans="1:8">
      <c r="A321">
        <v>0</v>
      </c>
      <c r="B321" t="s">
        <v>34</v>
      </c>
      <c r="C321">
        <v>2017</v>
      </c>
      <c r="D321" t="s">
        <v>12</v>
      </c>
      <c r="E321" t="s">
        <v>139</v>
      </c>
      <c r="F321" t="s">
        <v>13</v>
      </c>
      <c r="G321" t="str">
        <f>VLOOKUP(A321,[1]Kreise!$A$1:$C$53,3,FALSE)</f>
        <v>K030</v>
      </c>
      <c r="H321">
        <v>10.773039889958733</v>
      </c>
    </row>
    <row r="322" spans="1:8">
      <c r="A322">
        <v>1</v>
      </c>
      <c r="B322" t="s">
        <v>30</v>
      </c>
      <c r="C322">
        <v>2016</v>
      </c>
      <c r="D322" t="s">
        <v>12</v>
      </c>
      <c r="E322" t="s">
        <v>139</v>
      </c>
      <c r="F322" t="s">
        <v>13</v>
      </c>
      <c r="G322" t="str">
        <f>VLOOKUP(A322,[1]Kreise!$A$1:$C$53,3,FALSE)</f>
        <v>K031</v>
      </c>
      <c r="H322">
        <v>8.3173384516954574</v>
      </c>
    </row>
    <row r="323" spans="1:8">
      <c r="A323">
        <v>2</v>
      </c>
      <c r="B323" t="s">
        <v>31</v>
      </c>
      <c r="C323">
        <v>2016</v>
      </c>
      <c r="D323" t="s">
        <v>12</v>
      </c>
      <c r="E323" t="s">
        <v>139</v>
      </c>
      <c r="F323" t="s">
        <v>13</v>
      </c>
      <c r="G323" t="str">
        <f>VLOOKUP(A323,[1]Kreise!$A$1:$C$53,3,FALSE)</f>
        <v>K032</v>
      </c>
      <c r="H323">
        <v>10.609857978279031</v>
      </c>
    </row>
    <row r="324" spans="1:8">
      <c r="A324">
        <v>3</v>
      </c>
      <c r="B324" t="s">
        <v>32</v>
      </c>
      <c r="C324">
        <v>2016</v>
      </c>
      <c r="D324" t="s">
        <v>12</v>
      </c>
      <c r="E324" t="s">
        <v>139</v>
      </c>
      <c r="F324" t="s">
        <v>13</v>
      </c>
      <c r="G324" t="str">
        <f>VLOOKUP(A324,[1]Kreise!$A$1:$C$53,3,FALSE)</f>
        <v>K033</v>
      </c>
      <c r="H324">
        <v>6.8094873756694723</v>
      </c>
    </row>
    <row r="325" spans="1:8">
      <c r="A325">
        <v>4</v>
      </c>
      <c r="B325" t="s">
        <v>33</v>
      </c>
      <c r="C325">
        <v>2016</v>
      </c>
      <c r="D325" t="s">
        <v>12</v>
      </c>
      <c r="E325" t="s">
        <v>139</v>
      </c>
      <c r="F325" t="s">
        <v>13</v>
      </c>
      <c r="G325" t="str">
        <f>VLOOKUP(A325,[1]Kreise!$A$1:$C$53,3,FALSE)</f>
        <v>K034</v>
      </c>
      <c r="H325">
        <v>9.2137592137592144</v>
      </c>
    </row>
    <row r="326" spans="1:8">
      <c r="A326">
        <v>0</v>
      </c>
      <c r="B326" t="s">
        <v>34</v>
      </c>
      <c r="C326">
        <v>2016</v>
      </c>
      <c r="D326" t="s">
        <v>12</v>
      </c>
      <c r="E326" t="s">
        <v>139</v>
      </c>
      <c r="F326" t="s">
        <v>13</v>
      </c>
      <c r="G326" t="str">
        <f>VLOOKUP(A326,[1]Kreise!$A$1:$C$53,3,FALSE)</f>
        <v>K030</v>
      </c>
      <c r="H326">
        <v>8.5700442129489431</v>
      </c>
    </row>
    <row r="327" spans="1:8">
      <c r="A327">
        <v>1</v>
      </c>
      <c r="B327" t="s">
        <v>30</v>
      </c>
      <c r="C327">
        <v>2015</v>
      </c>
      <c r="D327" t="s">
        <v>12</v>
      </c>
      <c r="E327" t="s">
        <v>139</v>
      </c>
      <c r="F327" t="s">
        <v>13</v>
      </c>
      <c r="G327" t="str">
        <f>VLOOKUP(A327,[1]Kreise!$A$1:$C$53,3,FALSE)</f>
        <v>K031</v>
      </c>
      <c r="H327">
        <v>5.1401869158878499</v>
      </c>
    </row>
    <row r="328" spans="1:8">
      <c r="A328">
        <v>2</v>
      </c>
      <c r="B328" t="s">
        <v>31</v>
      </c>
      <c r="C328">
        <v>2015</v>
      </c>
      <c r="D328" t="s">
        <v>12</v>
      </c>
      <c r="E328" t="s">
        <v>139</v>
      </c>
      <c r="F328" t="s">
        <v>13</v>
      </c>
      <c r="G328" t="str">
        <f>VLOOKUP(A328,[1]Kreise!$A$1:$C$53,3,FALSE)</f>
        <v>K032</v>
      </c>
      <c r="H328">
        <v>9.2366090257275406</v>
      </c>
    </row>
    <row r="329" spans="1:8">
      <c r="A329">
        <v>3</v>
      </c>
      <c r="B329" t="s">
        <v>32</v>
      </c>
      <c r="C329">
        <v>2015</v>
      </c>
      <c r="D329" t="s">
        <v>12</v>
      </c>
      <c r="E329" t="s">
        <v>139</v>
      </c>
      <c r="F329" t="s">
        <v>13</v>
      </c>
      <c r="G329" t="str">
        <f>VLOOKUP(A329,[1]Kreise!$A$1:$C$53,3,FALSE)</f>
        <v>K033</v>
      </c>
      <c r="H329">
        <v>5.1236044657097288</v>
      </c>
    </row>
    <row r="330" spans="1:8">
      <c r="A330">
        <v>4</v>
      </c>
      <c r="B330" t="s">
        <v>33</v>
      </c>
      <c r="C330">
        <v>2015</v>
      </c>
      <c r="D330" t="s">
        <v>12</v>
      </c>
      <c r="E330" t="s">
        <v>139</v>
      </c>
      <c r="F330" t="s">
        <v>13</v>
      </c>
      <c r="G330" t="str">
        <f>VLOOKUP(A330,[1]Kreise!$A$1:$C$53,3,FALSE)</f>
        <v>K034</v>
      </c>
      <c r="H330">
        <v>6.8949977467327628</v>
      </c>
    </row>
    <row r="331" spans="1:8">
      <c r="A331">
        <v>0</v>
      </c>
      <c r="B331" t="s">
        <v>34</v>
      </c>
      <c r="C331">
        <v>2015</v>
      </c>
      <c r="D331" t="s">
        <v>12</v>
      </c>
      <c r="E331" t="s">
        <v>139</v>
      </c>
      <c r="F331" t="s">
        <v>13</v>
      </c>
      <c r="G331" t="str">
        <f>VLOOKUP(A331,[1]Kreise!$A$1:$C$53,3,FALSE)</f>
        <v>K030</v>
      </c>
      <c r="H331">
        <v>6.5113884956891006</v>
      </c>
    </row>
    <row r="332" spans="1:8">
      <c r="A332">
        <v>1</v>
      </c>
      <c r="B332" t="s">
        <v>145</v>
      </c>
      <c r="C332">
        <v>2014</v>
      </c>
      <c r="D332" t="s">
        <v>12</v>
      </c>
      <c r="E332" t="s">
        <v>139</v>
      </c>
      <c r="F332" t="s">
        <v>13</v>
      </c>
      <c r="G332" t="str">
        <f>VLOOKUP(A332,[1]Kreise!$A$1:$C$53,3,FALSE)</f>
        <v>K031</v>
      </c>
      <c r="H332">
        <v>3.4383954154727796</v>
      </c>
    </row>
    <row r="333" spans="1:8">
      <c r="A333">
        <v>2</v>
      </c>
      <c r="B333" t="s">
        <v>146</v>
      </c>
      <c r="C333">
        <v>2014</v>
      </c>
      <c r="D333" t="s">
        <v>12</v>
      </c>
      <c r="E333" t="s">
        <v>139</v>
      </c>
      <c r="F333" t="s">
        <v>13</v>
      </c>
      <c r="G333" t="str">
        <f>VLOOKUP(A333,[1]Kreise!$A$1:$C$53,3,FALSE)</f>
        <v>K032</v>
      </c>
      <c r="H333">
        <v>7.7158603796693201</v>
      </c>
    </row>
    <row r="334" spans="1:8">
      <c r="A334">
        <v>3</v>
      </c>
      <c r="B334" t="s">
        <v>147</v>
      </c>
      <c r="C334">
        <v>2014</v>
      </c>
      <c r="D334" t="s">
        <v>12</v>
      </c>
      <c r="E334" t="s">
        <v>139</v>
      </c>
      <c r="F334" t="s">
        <v>13</v>
      </c>
      <c r="G334" t="str">
        <f>VLOOKUP(A334,[1]Kreise!$A$1:$C$53,3,FALSE)</f>
        <v>K033</v>
      </c>
      <c r="H334">
        <v>3.8585209003215439</v>
      </c>
    </row>
    <row r="335" spans="1:8">
      <c r="A335">
        <v>4</v>
      </c>
      <c r="B335" t="s">
        <v>148</v>
      </c>
      <c r="C335">
        <v>2014</v>
      </c>
      <c r="D335" t="s">
        <v>12</v>
      </c>
      <c r="E335" t="s">
        <v>139</v>
      </c>
      <c r="F335" t="s">
        <v>13</v>
      </c>
      <c r="G335" t="str">
        <f>VLOOKUP(A335,[1]Kreise!$A$1:$C$53,3,FALSE)</f>
        <v>K034</v>
      </c>
      <c r="H335">
        <v>5.0556586270871984</v>
      </c>
    </row>
    <row r="336" spans="1:8">
      <c r="A336">
        <v>0</v>
      </c>
      <c r="B336" t="s">
        <v>34</v>
      </c>
      <c r="C336">
        <v>2014</v>
      </c>
      <c r="D336" t="s">
        <v>12</v>
      </c>
      <c r="E336" t="s">
        <v>139</v>
      </c>
      <c r="F336" t="s">
        <v>13</v>
      </c>
      <c r="G336" t="str">
        <f>VLOOKUP(A336,[1]Kreise!$A$1:$C$53,3,FALSE)</f>
        <v>K030</v>
      </c>
      <c r="H336">
        <v>4.9495149475351417</v>
      </c>
    </row>
    <row r="337" spans="1:8">
      <c r="A337">
        <v>1</v>
      </c>
      <c r="B337" t="s">
        <v>30</v>
      </c>
      <c r="C337">
        <v>2013</v>
      </c>
      <c r="D337" t="s">
        <v>12</v>
      </c>
      <c r="E337" t="s">
        <v>139</v>
      </c>
      <c r="F337" t="s">
        <v>13</v>
      </c>
      <c r="G337" t="str">
        <f>VLOOKUP(A337,[1]Kreise!$A$1:$C$53,3,FALSE)</f>
        <v>K031</v>
      </c>
      <c r="H337" t="s">
        <v>35</v>
      </c>
    </row>
    <row r="338" spans="1:8">
      <c r="A338">
        <v>2</v>
      </c>
      <c r="B338" t="s">
        <v>31</v>
      </c>
      <c r="C338">
        <v>2013</v>
      </c>
      <c r="D338" t="s">
        <v>12</v>
      </c>
      <c r="E338" t="s">
        <v>139</v>
      </c>
      <c r="F338" t="s">
        <v>13</v>
      </c>
      <c r="G338" t="str">
        <f>VLOOKUP(A338,[1]Kreise!$A$1:$C$53,3,FALSE)</f>
        <v>K032</v>
      </c>
      <c r="H338" t="s">
        <v>35</v>
      </c>
    </row>
    <row r="339" spans="1:8">
      <c r="A339">
        <v>3</v>
      </c>
      <c r="B339" t="s">
        <v>32</v>
      </c>
      <c r="C339">
        <v>2013</v>
      </c>
      <c r="D339" t="s">
        <v>12</v>
      </c>
      <c r="E339" t="s">
        <v>139</v>
      </c>
      <c r="F339" t="s">
        <v>13</v>
      </c>
      <c r="G339" t="str">
        <f>VLOOKUP(A339,[1]Kreise!$A$1:$C$53,3,FALSE)</f>
        <v>K033</v>
      </c>
      <c r="H339" t="s">
        <v>35</v>
      </c>
    </row>
    <row r="340" spans="1:8">
      <c r="A340">
        <v>4</v>
      </c>
      <c r="B340" t="s">
        <v>33</v>
      </c>
      <c r="C340">
        <v>2013</v>
      </c>
      <c r="D340" t="s">
        <v>12</v>
      </c>
      <c r="E340" t="s">
        <v>139</v>
      </c>
      <c r="F340" t="s">
        <v>13</v>
      </c>
      <c r="G340" t="str">
        <f>VLOOKUP(A340,[1]Kreise!$A$1:$C$53,3,FALSE)</f>
        <v>K034</v>
      </c>
      <c r="H340" t="s">
        <v>35</v>
      </c>
    </row>
    <row r="341" spans="1:8">
      <c r="A341">
        <v>0</v>
      </c>
      <c r="B341" t="s">
        <v>34</v>
      </c>
      <c r="C341">
        <v>2013</v>
      </c>
      <c r="D341" t="s">
        <v>12</v>
      </c>
      <c r="E341" t="s">
        <v>139</v>
      </c>
      <c r="F341" t="s">
        <v>13</v>
      </c>
      <c r="G341" t="str">
        <f>VLOOKUP(A341,[1]Kreise!$A$1:$C$53,3,FALSE)</f>
        <v>K030</v>
      </c>
      <c r="H341" t="s">
        <v>35</v>
      </c>
    </row>
    <row r="342" spans="1:8">
      <c r="A342">
        <v>1</v>
      </c>
      <c r="B342" t="s">
        <v>145</v>
      </c>
      <c r="C342">
        <v>2012</v>
      </c>
      <c r="D342" t="s">
        <v>12</v>
      </c>
      <c r="E342" t="s">
        <v>139</v>
      </c>
      <c r="F342" t="s">
        <v>13</v>
      </c>
      <c r="G342" t="str">
        <f>VLOOKUP(A342,[1]Kreise!$A$1:$C$53,3,FALSE)</f>
        <v>K031</v>
      </c>
      <c r="H342" t="s">
        <v>35</v>
      </c>
    </row>
    <row r="343" spans="1:8">
      <c r="A343">
        <v>2</v>
      </c>
      <c r="B343" t="s">
        <v>146</v>
      </c>
      <c r="C343">
        <v>2012</v>
      </c>
      <c r="D343" t="s">
        <v>12</v>
      </c>
      <c r="E343" t="s">
        <v>139</v>
      </c>
      <c r="F343" t="s">
        <v>13</v>
      </c>
      <c r="G343" t="str">
        <f>VLOOKUP(A343,[1]Kreise!$A$1:$C$53,3,FALSE)</f>
        <v>K032</v>
      </c>
      <c r="H343" t="s">
        <v>35</v>
      </c>
    </row>
    <row r="344" spans="1:8">
      <c r="A344">
        <v>3</v>
      </c>
      <c r="B344" t="s">
        <v>147</v>
      </c>
      <c r="C344">
        <v>2012</v>
      </c>
      <c r="D344" t="s">
        <v>12</v>
      </c>
      <c r="E344" t="s">
        <v>139</v>
      </c>
      <c r="F344" t="s">
        <v>13</v>
      </c>
      <c r="G344" t="str">
        <f>VLOOKUP(A344,[1]Kreise!$A$1:$C$53,3,FALSE)</f>
        <v>K033</v>
      </c>
      <c r="H344" t="s">
        <v>35</v>
      </c>
    </row>
    <row r="345" spans="1:8">
      <c r="A345">
        <v>4</v>
      </c>
      <c r="B345" t="s">
        <v>148</v>
      </c>
      <c r="C345">
        <v>2012</v>
      </c>
      <c r="D345" t="s">
        <v>12</v>
      </c>
      <c r="E345" t="s">
        <v>139</v>
      </c>
      <c r="F345" t="s">
        <v>13</v>
      </c>
      <c r="G345" t="str">
        <f>VLOOKUP(A345,[1]Kreise!$A$1:$C$53,3,FALSE)</f>
        <v>K034</v>
      </c>
      <c r="H345" t="s">
        <v>35</v>
      </c>
    </row>
    <row r="346" spans="1:8">
      <c r="A346">
        <v>0</v>
      </c>
      <c r="B346" t="s">
        <v>34</v>
      </c>
      <c r="C346">
        <v>2012</v>
      </c>
      <c r="D346" t="s">
        <v>12</v>
      </c>
      <c r="E346" t="s">
        <v>139</v>
      </c>
      <c r="F346" t="s">
        <v>13</v>
      </c>
      <c r="G346" t="str">
        <f>VLOOKUP(A346,[1]Kreise!$A$1:$C$53,3,FALSE)</f>
        <v>K030</v>
      </c>
      <c r="H346" t="s">
        <v>35</v>
      </c>
    </row>
    <row r="347" spans="1:8">
      <c r="A347">
        <v>1</v>
      </c>
      <c r="B347" t="s">
        <v>30</v>
      </c>
      <c r="C347">
        <v>2011</v>
      </c>
      <c r="D347" t="s">
        <v>12</v>
      </c>
      <c r="E347" t="s">
        <v>139</v>
      </c>
      <c r="F347" t="s">
        <v>13</v>
      </c>
      <c r="G347" t="str">
        <f>VLOOKUP(A347,[1]Kreise!$A$1:$C$53,3,FALSE)</f>
        <v>K031</v>
      </c>
      <c r="H347" t="s">
        <v>35</v>
      </c>
    </row>
    <row r="348" spans="1:8">
      <c r="A348">
        <v>2</v>
      </c>
      <c r="B348" t="s">
        <v>31</v>
      </c>
      <c r="C348">
        <v>2011</v>
      </c>
      <c r="D348" t="s">
        <v>12</v>
      </c>
      <c r="E348" t="s">
        <v>139</v>
      </c>
      <c r="F348" t="s">
        <v>13</v>
      </c>
      <c r="G348" t="str">
        <f>VLOOKUP(A348,[1]Kreise!$A$1:$C$53,3,FALSE)</f>
        <v>K032</v>
      </c>
      <c r="H348" t="s">
        <v>35</v>
      </c>
    </row>
    <row r="349" spans="1:8">
      <c r="A349">
        <v>3</v>
      </c>
      <c r="B349" t="s">
        <v>32</v>
      </c>
      <c r="C349">
        <v>2011</v>
      </c>
      <c r="D349" t="s">
        <v>12</v>
      </c>
      <c r="E349" t="s">
        <v>139</v>
      </c>
      <c r="F349" t="s">
        <v>13</v>
      </c>
      <c r="G349" t="str">
        <f>VLOOKUP(A349,[1]Kreise!$A$1:$C$53,3,FALSE)</f>
        <v>K033</v>
      </c>
      <c r="H349" t="s">
        <v>35</v>
      </c>
    </row>
    <row r="350" spans="1:8">
      <c r="A350">
        <v>4</v>
      </c>
      <c r="B350" t="s">
        <v>33</v>
      </c>
      <c r="C350">
        <v>2011</v>
      </c>
      <c r="D350" t="s">
        <v>12</v>
      </c>
      <c r="E350" t="s">
        <v>139</v>
      </c>
      <c r="F350" t="s">
        <v>13</v>
      </c>
      <c r="G350" t="str">
        <f>VLOOKUP(A350,[1]Kreise!$A$1:$C$53,3,FALSE)</f>
        <v>K034</v>
      </c>
      <c r="H350" t="s">
        <v>35</v>
      </c>
    </row>
    <row r="351" spans="1:8">
      <c r="A351">
        <v>0</v>
      </c>
      <c r="B351" t="s">
        <v>34</v>
      </c>
      <c r="C351">
        <v>2011</v>
      </c>
      <c r="D351" t="s">
        <v>12</v>
      </c>
      <c r="E351" t="s">
        <v>139</v>
      </c>
      <c r="F351" t="s">
        <v>13</v>
      </c>
      <c r="G351" t="str">
        <f>VLOOKUP(A351,[1]Kreise!$A$1:$C$53,3,FALSE)</f>
        <v>K030</v>
      </c>
      <c r="H351" t="s">
        <v>35</v>
      </c>
    </row>
    <row r="352" spans="1:8">
      <c r="A352">
        <v>1</v>
      </c>
      <c r="B352" t="s">
        <v>145</v>
      </c>
      <c r="C352">
        <v>2010</v>
      </c>
      <c r="D352" t="s">
        <v>12</v>
      </c>
      <c r="E352" t="s">
        <v>139</v>
      </c>
      <c r="F352" t="s">
        <v>13</v>
      </c>
      <c r="G352" t="str">
        <f>VLOOKUP(A352,[1]Kreise!$A$1:$C$53,3,FALSE)</f>
        <v>K031</v>
      </c>
      <c r="H352" t="s">
        <v>35</v>
      </c>
    </row>
    <row r="353" spans="1:8">
      <c r="A353">
        <v>2</v>
      </c>
      <c r="B353" t="s">
        <v>146</v>
      </c>
      <c r="C353">
        <v>2010</v>
      </c>
      <c r="D353" t="s">
        <v>12</v>
      </c>
      <c r="E353" t="s">
        <v>139</v>
      </c>
      <c r="F353" t="s">
        <v>13</v>
      </c>
      <c r="G353" t="str">
        <f>VLOOKUP(A353,[1]Kreise!$A$1:$C$53,3,FALSE)</f>
        <v>K032</v>
      </c>
      <c r="H353" t="s">
        <v>35</v>
      </c>
    </row>
    <row r="354" spans="1:8">
      <c r="A354">
        <v>3</v>
      </c>
      <c r="B354" t="s">
        <v>147</v>
      </c>
      <c r="C354">
        <v>2010</v>
      </c>
      <c r="D354" t="s">
        <v>12</v>
      </c>
      <c r="E354" t="s">
        <v>139</v>
      </c>
      <c r="F354" t="s">
        <v>13</v>
      </c>
      <c r="G354" t="str">
        <f>VLOOKUP(A354,[1]Kreise!$A$1:$C$53,3,FALSE)</f>
        <v>K033</v>
      </c>
      <c r="H354" t="s">
        <v>35</v>
      </c>
    </row>
    <row r="355" spans="1:8">
      <c r="A355">
        <v>4</v>
      </c>
      <c r="B355" t="s">
        <v>148</v>
      </c>
      <c r="C355">
        <v>2010</v>
      </c>
      <c r="D355" t="s">
        <v>12</v>
      </c>
      <c r="E355" t="s">
        <v>139</v>
      </c>
      <c r="F355" t="s">
        <v>13</v>
      </c>
      <c r="G355" t="str">
        <f>VLOOKUP(A355,[1]Kreise!$A$1:$C$53,3,FALSE)</f>
        <v>K034</v>
      </c>
      <c r="H355" t="s">
        <v>35</v>
      </c>
    </row>
    <row r="356" spans="1:8">
      <c r="A356">
        <v>0</v>
      </c>
      <c r="B356" t="s">
        <v>34</v>
      </c>
      <c r="C356">
        <v>2010</v>
      </c>
      <c r="D356" t="s">
        <v>12</v>
      </c>
      <c r="E356" t="s">
        <v>139</v>
      </c>
      <c r="F356" t="s">
        <v>13</v>
      </c>
      <c r="G356" t="str">
        <f>VLOOKUP(A356,[1]Kreise!$A$1:$C$53,3,FALSE)</f>
        <v>K030</v>
      </c>
      <c r="H356" t="s">
        <v>35</v>
      </c>
    </row>
    <row r="357" spans="1:8">
      <c r="A357">
        <v>1</v>
      </c>
      <c r="B357" t="s">
        <v>145</v>
      </c>
      <c r="C357">
        <v>2005</v>
      </c>
      <c r="D357" t="s">
        <v>12</v>
      </c>
      <c r="E357" t="s">
        <v>139</v>
      </c>
      <c r="F357" t="s">
        <v>13</v>
      </c>
      <c r="G357" t="str">
        <f>VLOOKUP(A357,[1]Kreise!$A$1:$C$53,3,FALSE)</f>
        <v>K031</v>
      </c>
      <c r="H357" t="s">
        <v>35</v>
      </c>
    </row>
    <row r="358" spans="1:8">
      <c r="A358">
        <v>2</v>
      </c>
      <c r="B358" t="s">
        <v>146</v>
      </c>
      <c r="C358">
        <v>2005</v>
      </c>
      <c r="D358" t="s">
        <v>12</v>
      </c>
      <c r="E358" t="s">
        <v>139</v>
      </c>
      <c r="F358" t="s">
        <v>13</v>
      </c>
      <c r="G358" t="str">
        <f>VLOOKUP(A358,[1]Kreise!$A$1:$C$53,3,FALSE)</f>
        <v>K032</v>
      </c>
      <c r="H358" t="s">
        <v>35</v>
      </c>
    </row>
    <row r="359" spans="1:8">
      <c r="A359">
        <v>3</v>
      </c>
      <c r="B359" t="s">
        <v>147</v>
      </c>
      <c r="C359">
        <v>2005</v>
      </c>
      <c r="D359" t="s">
        <v>12</v>
      </c>
      <c r="E359" t="s">
        <v>139</v>
      </c>
      <c r="F359" t="s">
        <v>13</v>
      </c>
      <c r="G359" t="str">
        <f>VLOOKUP(A359,[1]Kreise!$A$1:$C$53,3,FALSE)</f>
        <v>K033</v>
      </c>
      <c r="H359" t="s">
        <v>35</v>
      </c>
    </row>
    <row r="360" spans="1:8">
      <c r="A360">
        <v>4</v>
      </c>
      <c r="B360" t="s">
        <v>148</v>
      </c>
      <c r="C360">
        <v>2005</v>
      </c>
      <c r="D360" t="s">
        <v>12</v>
      </c>
      <c r="E360" t="s">
        <v>139</v>
      </c>
      <c r="F360" t="s">
        <v>13</v>
      </c>
      <c r="G360" t="str">
        <f>VLOOKUP(A360,[1]Kreise!$A$1:$C$53,3,FALSE)</f>
        <v>K034</v>
      </c>
      <c r="H360" t="s">
        <v>35</v>
      </c>
    </row>
    <row r="361" spans="1:8">
      <c r="A361">
        <v>0</v>
      </c>
      <c r="B361" t="s">
        <v>34</v>
      </c>
      <c r="C361">
        <v>2005</v>
      </c>
      <c r="D361" t="s">
        <v>12</v>
      </c>
      <c r="E361" t="s">
        <v>139</v>
      </c>
      <c r="F361" t="s">
        <v>13</v>
      </c>
      <c r="G361" t="str">
        <f>VLOOKUP(A361,[1]Kreise!$A$1:$C$53,3,FALSE)</f>
        <v>K030</v>
      </c>
      <c r="H361" t="s">
        <v>35</v>
      </c>
    </row>
    <row r="362" spans="1:8">
      <c r="A362">
        <v>1</v>
      </c>
      <c r="B362" t="s">
        <v>30</v>
      </c>
      <c r="C362">
        <v>2020</v>
      </c>
      <c r="D362" t="s">
        <v>11</v>
      </c>
      <c r="E362" t="s">
        <v>7</v>
      </c>
      <c r="F362" t="s">
        <v>13</v>
      </c>
      <c r="G362" t="str">
        <f>VLOOKUP(A362,[1]Kreise!$A$1:$C$53,3,FALSE)</f>
        <v>K031</v>
      </c>
      <c r="H362">
        <v>94.041496719276466</v>
      </c>
    </row>
    <row r="363" spans="1:8">
      <c r="A363">
        <v>2</v>
      </c>
      <c r="B363" t="s">
        <v>31</v>
      </c>
      <c r="C363">
        <v>2020</v>
      </c>
      <c r="D363" t="s">
        <v>11</v>
      </c>
      <c r="E363" t="s">
        <v>7</v>
      </c>
      <c r="F363" t="s">
        <v>13</v>
      </c>
      <c r="G363" t="str">
        <f>VLOOKUP(A363,[1]Kreise!$A$1:$C$53,3,FALSE)</f>
        <v>K032</v>
      </c>
      <c r="H363">
        <v>94.71100748558105</v>
      </c>
    </row>
    <row r="364" spans="1:8">
      <c r="A364">
        <v>3</v>
      </c>
      <c r="B364" t="s">
        <v>32</v>
      </c>
      <c r="C364">
        <v>2020</v>
      </c>
      <c r="D364" t="s">
        <v>11</v>
      </c>
      <c r="E364" t="s">
        <v>7</v>
      </c>
      <c r="F364" t="s">
        <v>13</v>
      </c>
      <c r="G364" t="str">
        <f>VLOOKUP(A364,[1]Kreise!$A$1:$C$53,3,FALSE)</f>
        <v>K033</v>
      </c>
      <c r="H364">
        <v>96.323188629692567</v>
      </c>
    </row>
    <row r="365" spans="1:8">
      <c r="A365">
        <v>4</v>
      </c>
      <c r="B365" t="s">
        <v>33</v>
      </c>
      <c r="C365">
        <v>2020</v>
      </c>
      <c r="D365" t="s">
        <v>11</v>
      </c>
      <c r="E365" t="s">
        <v>7</v>
      </c>
      <c r="F365" t="s">
        <v>13</v>
      </c>
      <c r="G365" t="str">
        <f>VLOOKUP(A365,[1]Kreise!$A$1:$C$53,3,FALSE)</f>
        <v>K034</v>
      </c>
      <c r="H365">
        <v>95.349108287679215</v>
      </c>
    </row>
    <row r="366" spans="1:8">
      <c r="A366">
        <v>0</v>
      </c>
      <c r="B366" t="s">
        <v>34</v>
      </c>
      <c r="C366">
        <v>2020</v>
      </c>
      <c r="D366" t="s">
        <v>11</v>
      </c>
      <c r="E366" t="s">
        <v>7</v>
      </c>
      <c r="F366" t="s">
        <v>13</v>
      </c>
      <c r="G366" t="str">
        <f>VLOOKUP(A366,[1]Kreise!$A$1:$C$53,3,FALSE)</f>
        <v>K030</v>
      </c>
      <c r="H366">
        <v>95.131761442441061</v>
      </c>
    </row>
    <row r="367" spans="1:8">
      <c r="A367">
        <v>1</v>
      </c>
      <c r="B367" t="s">
        <v>30</v>
      </c>
      <c r="C367">
        <v>2019</v>
      </c>
      <c r="D367" t="s">
        <v>11</v>
      </c>
      <c r="E367" t="s">
        <v>7</v>
      </c>
      <c r="F367" t="s">
        <v>13</v>
      </c>
      <c r="G367" t="str">
        <f>VLOOKUP(A367,[1]Kreise!$A$1:$C$53,3,FALSE)</f>
        <v>K031</v>
      </c>
      <c r="H367">
        <v>95.336787564766837</v>
      </c>
    </row>
    <row r="368" spans="1:8">
      <c r="A368">
        <v>2</v>
      </c>
      <c r="B368" t="s">
        <v>31</v>
      </c>
      <c r="C368">
        <v>2019</v>
      </c>
      <c r="D368" t="s">
        <v>11</v>
      </c>
      <c r="E368" t="s">
        <v>7</v>
      </c>
      <c r="F368" t="s">
        <v>13</v>
      </c>
      <c r="G368" t="str">
        <f>VLOOKUP(A368,[1]Kreise!$A$1:$C$53,3,FALSE)</f>
        <v>K032</v>
      </c>
      <c r="H368">
        <v>95.243800167724942</v>
      </c>
    </row>
    <row r="369" spans="1:8">
      <c r="A369">
        <v>3</v>
      </c>
      <c r="B369" t="s">
        <v>32</v>
      </c>
      <c r="C369">
        <v>2019</v>
      </c>
      <c r="D369" t="s">
        <v>11</v>
      </c>
      <c r="E369" t="s">
        <v>7</v>
      </c>
      <c r="F369" t="s">
        <v>13</v>
      </c>
      <c r="G369" t="str">
        <f>VLOOKUP(A369,[1]Kreise!$A$1:$C$53,3,FALSE)</f>
        <v>K033</v>
      </c>
      <c r="H369">
        <v>97.139360562949363</v>
      </c>
    </row>
    <row r="370" spans="1:8">
      <c r="A370">
        <v>4</v>
      </c>
      <c r="B370" t="s">
        <v>33</v>
      </c>
      <c r="C370">
        <v>2019</v>
      </c>
      <c r="D370" t="s">
        <v>11</v>
      </c>
      <c r="E370" t="s">
        <v>7</v>
      </c>
      <c r="F370" t="s">
        <v>13</v>
      </c>
      <c r="G370" t="str">
        <f>VLOOKUP(A370,[1]Kreise!$A$1:$C$53,3,FALSE)</f>
        <v>K034</v>
      </c>
      <c r="H370">
        <v>96.484736355226644</v>
      </c>
    </row>
    <row r="371" spans="1:8">
      <c r="A371">
        <v>0</v>
      </c>
      <c r="B371" t="s">
        <v>34</v>
      </c>
      <c r="C371">
        <v>2019</v>
      </c>
      <c r="D371" t="s">
        <v>11</v>
      </c>
      <c r="E371" t="s">
        <v>7</v>
      </c>
      <c r="F371" t="s">
        <v>13</v>
      </c>
      <c r="G371" t="str">
        <f>VLOOKUP(A371,[1]Kreise!$A$1:$C$53,3,FALSE)</f>
        <v>K030</v>
      </c>
      <c r="H371">
        <v>96.055477359332613</v>
      </c>
    </row>
    <row r="372" spans="1:8">
      <c r="A372">
        <v>1</v>
      </c>
      <c r="B372" t="s">
        <v>30</v>
      </c>
      <c r="C372">
        <v>2018</v>
      </c>
      <c r="D372" t="s">
        <v>11</v>
      </c>
      <c r="E372" t="s">
        <v>7</v>
      </c>
      <c r="F372" t="s">
        <v>13</v>
      </c>
      <c r="G372" t="str">
        <f>VLOOKUP(A372,[1]Kreise!$A$1:$C$53,3,FALSE)</f>
        <v>K031</v>
      </c>
      <c r="H372">
        <v>94.567685589519641</v>
      </c>
    </row>
    <row r="373" spans="1:8">
      <c r="A373">
        <v>2</v>
      </c>
      <c r="B373" t="s">
        <v>31</v>
      </c>
      <c r="C373">
        <v>2018</v>
      </c>
      <c r="D373" t="s">
        <v>11</v>
      </c>
      <c r="E373" t="s">
        <v>7</v>
      </c>
      <c r="F373" t="s">
        <v>13</v>
      </c>
      <c r="G373" t="str">
        <f>VLOOKUP(A373,[1]Kreise!$A$1:$C$53,3,FALSE)</f>
        <v>K032</v>
      </c>
      <c r="H373">
        <v>95.817720294935327</v>
      </c>
    </row>
    <row r="374" spans="1:8">
      <c r="A374">
        <v>3</v>
      </c>
      <c r="B374" t="s">
        <v>32</v>
      </c>
      <c r="C374">
        <v>2018</v>
      </c>
      <c r="D374" t="s">
        <v>11</v>
      </c>
      <c r="E374" t="s">
        <v>7</v>
      </c>
      <c r="F374" t="s">
        <v>13</v>
      </c>
      <c r="G374" t="str">
        <f>VLOOKUP(A374,[1]Kreise!$A$1:$C$53,3,FALSE)</f>
        <v>K033</v>
      </c>
      <c r="H374">
        <v>96.716149347728305</v>
      </c>
    </row>
    <row r="375" spans="1:8">
      <c r="A375">
        <v>4</v>
      </c>
      <c r="B375" t="s">
        <v>33</v>
      </c>
      <c r="C375">
        <v>2018</v>
      </c>
      <c r="D375" t="s">
        <v>11</v>
      </c>
      <c r="E375" t="s">
        <v>7</v>
      </c>
      <c r="F375" t="s">
        <v>13</v>
      </c>
      <c r="G375" t="str">
        <f>VLOOKUP(A375,[1]Kreise!$A$1:$C$53,3,FALSE)</f>
        <v>K034</v>
      </c>
      <c r="H375">
        <v>96.823159492572913</v>
      </c>
    </row>
    <row r="376" spans="1:8">
      <c r="A376">
        <v>0</v>
      </c>
      <c r="B376" t="s">
        <v>34</v>
      </c>
      <c r="C376">
        <v>2018</v>
      </c>
      <c r="D376" t="s">
        <v>11</v>
      </c>
      <c r="E376" t="s">
        <v>7</v>
      </c>
      <c r="F376" t="s">
        <v>13</v>
      </c>
      <c r="G376" t="str">
        <f>VLOOKUP(A376,[1]Kreise!$A$1:$C$53,3,FALSE)</f>
        <v>K030</v>
      </c>
      <c r="H376">
        <v>96.497156239545006</v>
      </c>
    </row>
    <row r="377" spans="1:8">
      <c r="A377">
        <v>1</v>
      </c>
      <c r="B377" t="s">
        <v>30</v>
      </c>
      <c r="C377">
        <v>2017</v>
      </c>
      <c r="D377" t="s">
        <v>11</v>
      </c>
      <c r="E377" t="s">
        <v>7</v>
      </c>
      <c r="F377" t="s">
        <v>13</v>
      </c>
      <c r="G377" t="str">
        <f>VLOOKUP(A377,[1]Kreise!$A$1:$C$53,3,FALSE)</f>
        <v>K031</v>
      </c>
      <c r="H377">
        <v>95.570517363571938</v>
      </c>
    </row>
    <row r="378" spans="1:8">
      <c r="A378">
        <v>2</v>
      </c>
      <c r="B378" t="s">
        <v>31</v>
      </c>
      <c r="C378">
        <v>2017</v>
      </c>
      <c r="D378" t="s">
        <v>11</v>
      </c>
      <c r="E378" t="s">
        <v>7</v>
      </c>
      <c r="F378" t="s">
        <v>13</v>
      </c>
      <c r="G378" t="str">
        <f>VLOOKUP(A378,[1]Kreise!$A$1:$C$53,3,FALSE)</f>
        <v>K032</v>
      </c>
      <c r="H378">
        <v>95.411297121522338</v>
      </c>
    </row>
    <row r="379" spans="1:8">
      <c r="A379">
        <v>3</v>
      </c>
      <c r="B379" t="s">
        <v>32</v>
      </c>
      <c r="C379">
        <v>2017</v>
      </c>
      <c r="D379" t="s">
        <v>11</v>
      </c>
      <c r="E379" t="s">
        <v>7</v>
      </c>
      <c r="F379" t="s">
        <v>13</v>
      </c>
      <c r="G379" t="str">
        <f>VLOOKUP(A379,[1]Kreise!$A$1:$C$53,3,FALSE)</f>
        <v>K033</v>
      </c>
      <c r="H379">
        <v>97.563098346388159</v>
      </c>
    </row>
    <row r="380" spans="1:8">
      <c r="A380">
        <v>4</v>
      </c>
      <c r="B380" t="s">
        <v>33</v>
      </c>
      <c r="C380">
        <v>2017</v>
      </c>
      <c r="D380" t="s">
        <v>11</v>
      </c>
      <c r="E380" t="s">
        <v>7</v>
      </c>
      <c r="F380" t="s">
        <v>13</v>
      </c>
      <c r="G380" t="str">
        <f>VLOOKUP(A380,[1]Kreise!$A$1:$C$53,3,FALSE)</f>
        <v>K034</v>
      </c>
      <c r="H380">
        <v>97.005464480874309</v>
      </c>
    </row>
    <row r="381" spans="1:8">
      <c r="A381">
        <v>0</v>
      </c>
      <c r="B381" t="s">
        <v>34</v>
      </c>
      <c r="C381">
        <v>2017</v>
      </c>
      <c r="D381" t="s">
        <v>11</v>
      </c>
      <c r="E381" t="s">
        <v>7</v>
      </c>
      <c r="F381" t="s">
        <v>13</v>
      </c>
      <c r="G381" t="str">
        <f>VLOOKUP(A381,[1]Kreise!$A$1:$C$53,3,FALSE)</f>
        <v>K030</v>
      </c>
      <c r="H381">
        <v>96.422260011336732</v>
      </c>
    </row>
    <row r="382" spans="1:8">
      <c r="A382">
        <v>1</v>
      </c>
      <c r="B382" t="s">
        <v>30</v>
      </c>
      <c r="C382">
        <v>2016</v>
      </c>
      <c r="D382" t="s">
        <v>11</v>
      </c>
      <c r="E382" t="s">
        <v>7</v>
      </c>
      <c r="F382" t="s">
        <v>13</v>
      </c>
      <c r="G382" t="str">
        <f>VLOOKUP(A382,[1]Kreise!$A$1:$C$53,3,FALSE)</f>
        <v>K031</v>
      </c>
      <c r="H382">
        <v>94.723926380368098</v>
      </c>
    </row>
    <row r="383" spans="1:8">
      <c r="A383">
        <v>2</v>
      </c>
      <c r="B383" t="s">
        <v>31</v>
      </c>
      <c r="C383">
        <v>2016</v>
      </c>
      <c r="D383" t="s">
        <v>11</v>
      </c>
      <c r="E383" t="s">
        <v>7</v>
      </c>
      <c r="F383" t="s">
        <v>13</v>
      </c>
      <c r="G383" t="str">
        <f>VLOOKUP(A383,[1]Kreise!$A$1:$C$53,3,FALSE)</f>
        <v>K032</v>
      </c>
      <c r="H383">
        <v>96.418426577744839</v>
      </c>
    </row>
    <row r="384" spans="1:8">
      <c r="A384">
        <v>3</v>
      </c>
      <c r="B384" t="s">
        <v>32</v>
      </c>
      <c r="C384">
        <v>2016</v>
      </c>
      <c r="D384" t="s">
        <v>11</v>
      </c>
      <c r="E384" t="s">
        <v>7</v>
      </c>
      <c r="F384" t="s">
        <v>13</v>
      </c>
      <c r="G384" t="str">
        <f>VLOOKUP(A384,[1]Kreise!$A$1:$C$53,3,FALSE)</f>
        <v>K033</v>
      </c>
      <c r="H384">
        <v>97.746090156393734</v>
      </c>
    </row>
    <row r="385" spans="1:8">
      <c r="A385">
        <v>4</v>
      </c>
      <c r="B385" t="s">
        <v>33</v>
      </c>
      <c r="C385">
        <v>2016</v>
      </c>
      <c r="D385" t="s">
        <v>11</v>
      </c>
      <c r="E385" t="s">
        <v>7</v>
      </c>
      <c r="F385" t="s">
        <v>13</v>
      </c>
      <c r="G385" t="str">
        <f>VLOOKUP(A385,[1]Kreise!$A$1:$C$53,3,FALSE)</f>
        <v>K034</v>
      </c>
      <c r="H385">
        <v>97.445091887046161</v>
      </c>
    </row>
    <row r="386" spans="1:8">
      <c r="A386">
        <v>0</v>
      </c>
      <c r="B386" t="s">
        <v>34</v>
      </c>
      <c r="C386">
        <v>2016</v>
      </c>
      <c r="D386" t="s">
        <v>11</v>
      </c>
      <c r="E386" t="s">
        <v>7</v>
      </c>
      <c r="F386" t="s">
        <v>13</v>
      </c>
      <c r="G386" t="str">
        <f>VLOOKUP(A386,[1]Kreise!$A$1:$C$53,3,FALSE)</f>
        <v>K030</v>
      </c>
      <c r="H386">
        <v>96.980990153172868</v>
      </c>
    </row>
    <row r="387" spans="1:8">
      <c r="A387">
        <v>1</v>
      </c>
      <c r="B387" t="s">
        <v>30</v>
      </c>
      <c r="C387">
        <v>2015</v>
      </c>
      <c r="D387" t="s">
        <v>11</v>
      </c>
      <c r="E387" t="s">
        <v>7</v>
      </c>
      <c r="F387" t="s">
        <v>13</v>
      </c>
      <c r="G387" t="str">
        <f>VLOOKUP(A387,[1]Kreise!$A$1:$C$53,3,FALSE)</f>
        <v>K031</v>
      </c>
      <c r="H387">
        <v>93.906810035842298</v>
      </c>
    </row>
    <row r="388" spans="1:8">
      <c r="A388">
        <v>2</v>
      </c>
      <c r="B388" t="s">
        <v>31</v>
      </c>
      <c r="C388">
        <v>2015</v>
      </c>
      <c r="D388" t="s">
        <v>11</v>
      </c>
      <c r="E388" t="s">
        <v>7</v>
      </c>
      <c r="F388" t="s">
        <v>13</v>
      </c>
      <c r="G388" t="str">
        <f>VLOOKUP(A388,[1]Kreise!$A$1:$C$53,3,FALSE)</f>
        <v>K032</v>
      </c>
      <c r="H388">
        <v>96.465081906638744</v>
      </c>
    </row>
    <row r="389" spans="1:8">
      <c r="A389">
        <v>3</v>
      </c>
      <c r="B389" t="s">
        <v>32</v>
      </c>
      <c r="C389">
        <v>2015</v>
      </c>
      <c r="D389" t="s">
        <v>11</v>
      </c>
      <c r="E389" t="s">
        <v>7</v>
      </c>
      <c r="F389" t="s">
        <v>13</v>
      </c>
      <c r="G389" t="str">
        <f>VLOOKUP(A389,[1]Kreise!$A$1:$C$53,3,FALSE)</f>
        <v>K033</v>
      </c>
      <c r="H389">
        <v>98.547469302186286</v>
      </c>
    </row>
    <row r="390" spans="1:8">
      <c r="A390">
        <v>4</v>
      </c>
      <c r="B390" t="s">
        <v>33</v>
      </c>
      <c r="C390">
        <v>2015</v>
      </c>
      <c r="D390" t="s">
        <v>11</v>
      </c>
      <c r="E390" t="s">
        <v>7</v>
      </c>
      <c r="F390" t="s">
        <v>13</v>
      </c>
      <c r="G390" t="str">
        <f>VLOOKUP(A390,[1]Kreise!$A$1:$C$53,3,FALSE)</f>
        <v>K034</v>
      </c>
      <c r="H390">
        <v>97.836458448907138</v>
      </c>
    </row>
    <row r="391" spans="1:8">
      <c r="A391">
        <v>0</v>
      </c>
      <c r="B391" t="s">
        <v>34</v>
      </c>
      <c r="C391">
        <v>2015</v>
      </c>
      <c r="D391" t="s">
        <v>11</v>
      </c>
      <c r="E391" t="s">
        <v>7</v>
      </c>
      <c r="F391" t="s">
        <v>13</v>
      </c>
      <c r="G391" t="str">
        <f>VLOOKUP(A391,[1]Kreise!$A$1:$C$53,3,FALSE)</f>
        <v>K030</v>
      </c>
      <c r="H391">
        <v>97.529772031303168</v>
      </c>
    </row>
    <row r="392" spans="1:8">
      <c r="A392">
        <v>1</v>
      </c>
      <c r="B392" t="s">
        <v>145</v>
      </c>
      <c r="C392">
        <v>2014</v>
      </c>
      <c r="D392" t="s">
        <v>11</v>
      </c>
      <c r="E392" t="s">
        <v>7</v>
      </c>
      <c r="F392" t="s">
        <v>13</v>
      </c>
      <c r="G392" t="str">
        <f>VLOOKUP(A392,[1]Kreise!$A$1:$C$53,3,FALSE)</f>
        <v>K031</v>
      </c>
      <c r="H392">
        <v>97.195308516063221</v>
      </c>
    </row>
    <row r="393" spans="1:8">
      <c r="A393">
        <v>2</v>
      </c>
      <c r="B393" t="s">
        <v>146</v>
      </c>
      <c r="C393">
        <v>2014</v>
      </c>
      <c r="D393" t="s">
        <v>11</v>
      </c>
      <c r="E393" t="s">
        <v>7</v>
      </c>
      <c r="F393" t="s">
        <v>13</v>
      </c>
      <c r="G393" t="str">
        <f>VLOOKUP(A393,[1]Kreise!$A$1:$C$53,3,FALSE)</f>
        <v>K032</v>
      </c>
      <c r="H393">
        <v>96.6276923076923</v>
      </c>
    </row>
    <row r="394" spans="1:8">
      <c r="A394">
        <v>3</v>
      </c>
      <c r="B394" t="s">
        <v>147</v>
      </c>
      <c r="C394">
        <v>2014</v>
      </c>
      <c r="D394" t="s">
        <v>11</v>
      </c>
      <c r="E394" t="s">
        <v>7</v>
      </c>
      <c r="F394" t="s">
        <v>13</v>
      </c>
      <c r="G394" t="str">
        <f>VLOOKUP(A394,[1]Kreise!$A$1:$C$53,3,FALSE)</f>
        <v>K033</v>
      </c>
      <c r="H394">
        <v>98.278905560458966</v>
      </c>
    </row>
    <row r="395" spans="1:8">
      <c r="A395">
        <v>4</v>
      </c>
      <c r="B395" t="s">
        <v>148</v>
      </c>
      <c r="C395">
        <v>2014</v>
      </c>
      <c r="D395" t="s">
        <v>11</v>
      </c>
      <c r="E395" t="s">
        <v>7</v>
      </c>
      <c r="F395" t="s">
        <v>13</v>
      </c>
      <c r="G395" t="str">
        <f>VLOOKUP(A395,[1]Kreise!$A$1:$C$53,3,FALSE)</f>
        <v>K034</v>
      </c>
      <c r="H395">
        <v>97.60907888937858</v>
      </c>
    </row>
    <row r="396" spans="1:8">
      <c r="A396">
        <v>0</v>
      </c>
      <c r="B396" t="s">
        <v>34</v>
      </c>
      <c r="C396">
        <v>2014</v>
      </c>
      <c r="D396" t="s">
        <v>11</v>
      </c>
      <c r="E396" t="s">
        <v>7</v>
      </c>
      <c r="F396" t="s">
        <v>13</v>
      </c>
      <c r="G396" t="str">
        <f>VLOOKUP(A396,[1]Kreise!$A$1:$C$53,3,FALSE)</f>
        <v>K030</v>
      </c>
      <c r="H396">
        <v>97.41315842313098</v>
      </c>
    </row>
    <row r="397" spans="1:8">
      <c r="A397">
        <v>1</v>
      </c>
      <c r="B397" t="s">
        <v>30</v>
      </c>
      <c r="C397">
        <v>2013</v>
      </c>
      <c r="D397" t="s">
        <v>11</v>
      </c>
      <c r="E397" t="s">
        <v>7</v>
      </c>
      <c r="F397" t="s">
        <v>13</v>
      </c>
      <c r="G397" t="str">
        <f>VLOOKUP(A397,[1]Kreise!$A$1:$C$53,3,FALSE)</f>
        <v>K031</v>
      </c>
      <c r="H397">
        <v>97.336365112879648</v>
      </c>
    </row>
    <row r="398" spans="1:8">
      <c r="A398">
        <v>2</v>
      </c>
      <c r="B398" t="s">
        <v>31</v>
      </c>
      <c r="C398">
        <v>2013</v>
      </c>
      <c r="D398" t="s">
        <v>11</v>
      </c>
      <c r="E398" t="s">
        <v>7</v>
      </c>
      <c r="F398" t="s">
        <v>13</v>
      </c>
      <c r="G398" t="str">
        <f>VLOOKUP(A398,[1]Kreise!$A$1:$C$53,3,FALSE)</f>
        <v>K032</v>
      </c>
      <c r="H398">
        <v>95.770179767359892</v>
      </c>
    </row>
    <row r="399" spans="1:8">
      <c r="A399">
        <v>3</v>
      </c>
      <c r="B399" t="s">
        <v>32</v>
      </c>
      <c r="C399">
        <v>2013</v>
      </c>
      <c r="D399" t="s">
        <v>11</v>
      </c>
      <c r="E399" t="s">
        <v>7</v>
      </c>
      <c r="F399" t="s">
        <v>13</v>
      </c>
      <c r="G399" t="str">
        <f>VLOOKUP(A399,[1]Kreise!$A$1:$C$53,3,FALSE)</f>
        <v>K033</v>
      </c>
      <c r="H399">
        <v>98.66909498458952</v>
      </c>
    </row>
    <row r="400" spans="1:8">
      <c r="A400">
        <v>4</v>
      </c>
      <c r="B400" t="s">
        <v>33</v>
      </c>
      <c r="C400">
        <v>2013</v>
      </c>
      <c r="D400" t="s">
        <v>11</v>
      </c>
      <c r="E400" t="s">
        <v>7</v>
      </c>
      <c r="F400" t="s">
        <v>13</v>
      </c>
      <c r="G400" t="str">
        <f>VLOOKUP(A400,[1]Kreise!$A$1:$C$53,3,FALSE)</f>
        <v>K034</v>
      </c>
      <c r="H400">
        <v>97.672680687520014</v>
      </c>
    </row>
    <row r="401" spans="1:8">
      <c r="A401">
        <v>0</v>
      </c>
      <c r="B401" t="s">
        <v>34</v>
      </c>
      <c r="C401">
        <v>2013</v>
      </c>
      <c r="D401" t="s">
        <v>11</v>
      </c>
      <c r="E401" t="s">
        <v>7</v>
      </c>
      <c r="F401" t="s">
        <v>13</v>
      </c>
      <c r="G401" t="str">
        <f>VLOOKUP(A401,[1]Kreise!$A$1:$C$53,3,FALSE)</f>
        <v>K030</v>
      </c>
      <c r="H401">
        <v>97.314984120873831</v>
      </c>
    </row>
    <row r="402" spans="1:8">
      <c r="A402">
        <v>1</v>
      </c>
      <c r="B402" t="s">
        <v>145</v>
      </c>
      <c r="C402">
        <v>2012</v>
      </c>
      <c r="D402" t="s">
        <v>11</v>
      </c>
      <c r="E402" t="s">
        <v>7</v>
      </c>
      <c r="F402" t="s">
        <v>13</v>
      </c>
      <c r="G402" t="str">
        <f>VLOOKUP(A402,[1]Kreise!$A$1:$C$53,3,FALSE)</f>
        <v>K031</v>
      </c>
      <c r="H402">
        <v>97.165030091859364</v>
      </c>
    </row>
    <row r="403" spans="1:8">
      <c r="A403">
        <v>2</v>
      </c>
      <c r="B403" t="s">
        <v>146</v>
      </c>
      <c r="C403">
        <v>2012</v>
      </c>
      <c r="D403" t="s">
        <v>11</v>
      </c>
      <c r="E403" t="s">
        <v>7</v>
      </c>
      <c r="F403" t="s">
        <v>13</v>
      </c>
      <c r="G403" t="str">
        <f>VLOOKUP(A403,[1]Kreise!$A$1:$C$53,3,FALSE)</f>
        <v>K032</v>
      </c>
      <c r="H403">
        <v>95.382870107770842</v>
      </c>
    </row>
    <row r="404" spans="1:8">
      <c r="A404">
        <v>3</v>
      </c>
      <c r="B404" t="s">
        <v>147</v>
      </c>
      <c r="C404">
        <v>2012</v>
      </c>
      <c r="D404" t="s">
        <v>11</v>
      </c>
      <c r="E404" t="s">
        <v>7</v>
      </c>
      <c r="F404" t="s">
        <v>13</v>
      </c>
      <c r="G404" t="str">
        <f>VLOOKUP(A404,[1]Kreise!$A$1:$C$53,3,FALSE)</f>
        <v>K033</v>
      </c>
      <c r="H404">
        <v>98.426996504436687</v>
      </c>
    </row>
    <row r="405" spans="1:8">
      <c r="A405">
        <v>4</v>
      </c>
      <c r="B405" t="s">
        <v>148</v>
      </c>
      <c r="C405">
        <v>2012</v>
      </c>
      <c r="D405" t="s">
        <v>11</v>
      </c>
      <c r="E405" t="s">
        <v>7</v>
      </c>
      <c r="F405" t="s">
        <v>13</v>
      </c>
      <c r="G405" t="str">
        <f>VLOOKUP(A405,[1]Kreise!$A$1:$C$53,3,FALSE)</f>
        <v>K034</v>
      </c>
      <c r="H405">
        <v>97.879487717824901</v>
      </c>
    </row>
    <row r="406" spans="1:8">
      <c r="A406">
        <v>0</v>
      </c>
      <c r="B406" t="s">
        <v>34</v>
      </c>
      <c r="C406">
        <v>2012</v>
      </c>
      <c r="D406" t="s">
        <v>11</v>
      </c>
      <c r="E406" t="s">
        <v>7</v>
      </c>
      <c r="F406" t="s">
        <v>13</v>
      </c>
      <c r="G406" t="str">
        <f>VLOOKUP(A406,[1]Kreise!$A$1:$C$53,3,FALSE)</f>
        <v>K030</v>
      </c>
      <c r="H406">
        <v>97.180070420340883</v>
      </c>
    </row>
    <row r="407" spans="1:8">
      <c r="A407">
        <v>1</v>
      </c>
      <c r="B407" t="s">
        <v>30</v>
      </c>
      <c r="C407">
        <v>2011</v>
      </c>
      <c r="D407" t="s">
        <v>11</v>
      </c>
      <c r="E407" t="s">
        <v>7</v>
      </c>
      <c r="F407" t="s">
        <v>13</v>
      </c>
      <c r="G407" t="str">
        <f>VLOOKUP(A407,[1]Kreise!$A$1:$C$53,3,FALSE)</f>
        <v>K031</v>
      </c>
      <c r="H407">
        <v>94.222689075630257</v>
      </c>
    </row>
    <row r="408" spans="1:8">
      <c r="A408">
        <v>2</v>
      </c>
      <c r="B408" t="s">
        <v>31</v>
      </c>
      <c r="C408">
        <v>2011</v>
      </c>
      <c r="D408" t="s">
        <v>11</v>
      </c>
      <c r="E408" t="s">
        <v>7</v>
      </c>
      <c r="F408" t="s">
        <v>13</v>
      </c>
      <c r="G408" t="str">
        <f>VLOOKUP(A408,[1]Kreise!$A$1:$C$53,3,FALSE)</f>
        <v>K032</v>
      </c>
      <c r="H408">
        <v>95.173766205469008</v>
      </c>
    </row>
    <row r="409" spans="1:8">
      <c r="A409">
        <v>3</v>
      </c>
      <c r="B409" t="s">
        <v>32</v>
      </c>
      <c r="C409">
        <v>2011</v>
      </c>
      <c r="D409" t="s">
        <v>11</v>
      </c>
      <c r="E409" t="s">
        <v>7</v>
      </c>
      <c r="F409" t="s">
        <v>13</v>
      </c>
      <c r="G409" t="str">
        <f>VLOOKUP(A409,[1]Kreise!$A$1:$C$53,3,FALSE)</f>
        <v>K033</v>
      </c>
      <c r="H409">
        <v>98.211972013474991</v>
      </c>
    </row>
    <row r="410" spans="1:8">
      <c r="A410">
        <v>4</v>
      </c>
      <c r="B410" t="s">
        <v>33</v>
      </c>
      <c r="C410">
        <v>2011</v>
      </c>
      <c r="D410" t="s">
        <v>11</v>
      </c>
      <c r="E410" t="s">
        <v>7</v>
      </c>
      <c r="F410" t="s">
        <v>13</v>
      </c>
      <c r="G410" t="str">
        <f>VLOOKUP(A410,[1]Kreise!$A$1:$C$53,3,FALSE)</f>
        <v>K034</v>
      </c>
      <c r="H410">
        <v>97.569513902780557</v>
      </c>
    </row>
    <row r="411" spans="1:8">
      <c r="A411">
        <v>0</v>
      </c>
      <c r="B411" t="s">
        <v>34</v>
      </c>
      <c r="C411">
        <v>2011</v>
      </c>
      <c r="D411" t="s">
        <v>11</v>
      </c>
      <c r="E411" t="s">
        <v>7</v>
      </c>
      <c r="F411" t="s">
        <v>13</v>
      </c>
      <c r="G411" t="str">
        <f>VLOOKUP(A411,[1]Kreise!$A$1:$C$53,3,FALSE)</f>
        <v>K030</v>
      </c>
      <c r="H411">
        <v>96.981435680443397</v>
      </c>
    </row>
    <row r="412" spans="1:8">
      <c r="A412">
        <v>1</v>
      </c>
      <c r="B412" t="s">
        <v>145</v>
      </c>
      <c r="C412">
        <v>2010</v>
      </c>
      <c r="D412" t="s">
        <v>11</v>
      </c>
      <c r="E412" t="s">
        <v>7</v>
      </c>
      <c r="F412" t="s">
        <v>13</v>
      </c>
      <c r="G412" t="str">
        <f>VLOOKUP(A412,[1]Kreise!$A$1:$C$53,3,FALSE)</f>
        <v>K031</v>
      </c>
      <c r="H412">
        <v>97.029702970297024</v>
      </c>
    </row>
    <row r="413" spans="1:8">
      <c r="A413">
        <v>2</v>
      </c>
      <c r="B413" t="s">
        <v>146</v>
      </c>
      <c r="C413">
        <v>2010</v>
      </c>
      <c r="D413" t="s">
        <v>11</v>
      </c>
      <c r="E413" t="s">
        <v>7</v>
      </c>
      <c r="F413" t="s">
        <v>13</v>
      </c>
      <c r="G413" t="str">
        <f>VLOOKUP(A413,[1]Kreise!$A$1:$C$53,3,FALSE)</f>
        <v>K032</v>
      </c>
      <c r="H413">
        <v>95.661811272957564</v>
      </c>
    </row>
    <row r="414" spans="1:8">
      <c r="A414">
        <v>3</v>
      </c>
      <c r="B414" t="s">
        <v>147</v>
      </c>
      <c r="C414">
        <v>2010</v>
      </c>
      <c r="D414" t="s">
        <v>11</v>
      </c>
      <c r="E414" t="s">
        <v>7</v>
      </c>
      <c r="F414" t="s">
        <v>13</v>
      </c>
      <c r="G414" t="str">
        <f>VLOOKUP(A414,[1]Kreise!$A$1:$C$53,3,FALSE)</f>
        <v>K033</v>
      </c>
      <c r="H414">
        <v>98.307422266800401</v>
      </c>
    </row>
    <row r="415" spans="1:8">
      <c r="A415">
        <v>4</v>
      </c>
      <c r="B415" t="s">
        <v>148</v>
      </c>
      <c r="C415">
        <v>2010</v>
      </c>
      <c r="D415" t="s">
        <v>11</v>
      </c>
      <c r="E415" t="s">
        <v>7</v>
      </c>
      <c r="F415" t="s">
        <v>13</v>
      </c>
      <c r="G415" t="str">
        <f>VLOOKUP(A415,[1]Kreise!$A$1:$C$53,3,FALSE)</f>
        <v>K034</v>
      </c>
      <c r="H415">
        <v>97.813688212927758</v>
      </c>
    </row>
    <row r="416" spans="1:8">
      <c r="A416">
        <v>0</v>
      </c>
      <c r="B416" t="s">
        <v>34</v>
      </c>
      <c r="C416">
        <v>2010</v>
      </c>
      <c r="D416" t="s">
        <v>11</v>
      </c>
      <c r="E416" t="s">
        <v>7</v>
      </c>
      <c r="F416" t="s">
        <v>13</v>
      </c>
      <c r="G416" t="str">
        <f>VLOOKUP(A416,[1]Kreise!$A$1:$C$53,3,FALSE)</f>
        <v>K030</v>
      </c>
      <c r="H416">
        <v>97.186073059360737</v>
      </c>
    </row>
    <row r="417" spans="1:8">
      <c r="A417">
        <v>1</v>
      </c>
      <c r="B417" t="s">
        <v>145</v>
      </c>
      <c r="C417">
        <v>2005</v>
      </c>
      <c r="D417" t="s">
        <v>11</v>
      </c>
      <c r="E417" t="s">
        <v>7</v>
      </c>
      <c r="F417" t="s">
        <v>13</v>
      </c>
      <c r="G417" t="str">
        <f>VLOOKUP(A417,[1]Kreise!$A$1:$C$53,3,FALSE)</f>
        <v>K031</v>
      </c>
      <c r="H417">
        <v>96.894803548795949</v>
      </c>
    </row>
    <row r="418" spans="1:8">
      <c r="A418">
        <v>2</v>
      </c>
      <c r="B418" t="s">
        <v>146</v>
      </c>
      <c r="C418">
        <v>2005</v>
      </c>
      <c r="D418" t="s">
        <v>11</v>
      </c>
      <c r="E418" t="s">
        <v>7</v>
      </c>
      <c r="F418" t="s">
        <v>13</v>
      </c>
      <c r="G418" t="str">
        <f>VLOOKUP(A418,[1]Kreise!$A$1:$C$53,3,FALSE)</f>
        <v>K032</v>
      </c>
      <c r="H418">
        <v>94.035594035594045</v>
      </c>
    </row>
    <row r="419" spans="1:8">
      <c r="A419">
        <v>3</v>
      </c>
      <c r="B419" t="s">
        <v>147</v>
      </c>
      <c r="C419">
        <v>2005</v>
      </c>
      <c r="D419" t="s">
        <v>11</v>
      </c>
      <c r="E419" t="s">
        <v>7</v>
      </c>
      <c r="F419" t="s">
        <v>13</v>
      </c>
      <c r="G419" t="str">
        <f>VLOOKUP(A419,[1]Kreise!$A$1:$C$53,3,FALSE)</f>
        <v>K033</v>
      </c>
      <c r="H419">
        <v>98.081991215226935</v>
      </c>
    </row>
    <row r="420" spans="1:8">
      <c r="A420">
        <v>4</v>
      </c>
      <c r="B420" t="s">
        <v>148</v>
      </c>
      <c r="C420">
        <v>2005</v>
      </c>
      <c r="D420" t="s">
        <v>11</v>
      </c>
      <c r="E420" t="s">
        <v>7</v>
      </c>
      <c r="F420" t="s">
        <v>13</v>
      </c>
      <c r="G420" t="str">
        <f>VLOOKUP(A420,[1]Kreise!$A$1:$C$53,3,FALSE)</f>
        <v>K034</v>
      </c>
      <c r="H420">
        <v>97.395491354782223</v>
      </c>
    </row>
    <row r="421" spans="1:8">
      <c r="A421">
        <v>0</v>
      </c>
      <c r="B421" t="s">
        <v>34</v>
      </c>
      <c r="C421">
        <v>2005</v>
      </c>
      <c r="D421" t="s">
        <v>11</v>
      </c>
      <c r="E421" t="s">
        <v>7</v>
      </c>
      <c r="F421" t="s">
        <v>13</v>
      </c>
      <c r="G421" t="str">
        <f>VLOOKUP(A421,[1]Kreise!$A$1:$C$53,3,FALSE)</f>
        <v>K030</v>
      </c>
      <c r="H421">
        <v>96.53222643482809</v>
      </c>
    </row>
    <row r="422" spans="1:8">
      <c r="A422">
        <v>1</v>
      </c>
      <c r="B422" t="s">
        <v>30</v>
      </c>
      <c r="C422">
        <v>2020</v>
      </c>
      <c r="D422" t="s">
        <v>12</v>
      </c>
      <c r="E422" t="s">
        <v>7</v>
      </c>
      <c r="F422" t="s">
        <v>13</v>
      </c>
      <c r="G422" t="str">
        <f>VLOOKUP(A422,[1]Kreise!$A$1:$C$53,3,FALSE)</f>
        <v>K031</v>
      </c>
      <c r="H422">
        <v>5.9585032807235327</v>
      </c>
    </row>
    <row r="423" spans="1:8">
      <c r="A423">
        <v>2</v>
      </c>
      <c r="B423" t="s">
        <v>31</v>
      </c>
      <c r="C423">
        <v>2020</v>
      </c>
      <c r="D423" t="s">
        <v>12</v>
      </c>
      <c r="E423" t="s">
        <v>7</v>
      </c>
      <c r="F423" t="s">
        <v>13</v>
      </c>
      <c r="G423" t="str">
        <f>VLOOKUP(A423,[1]Kreise!$A$1:$C$53,3,FALSE)</f>
        <v>K032</v>
      </c>
      <c r="H423">
        <v>5.2889925144189469</v>
      </c>
    </row>
    <row r="424" spans="1:8">
      <c r="A424">
        <v>3</v>
      </c>
      <c r="B424" t="s">
        <v>32</v>
      </c>
      <c r="C424">
        <v>2020</v>
      </c>
      <c r="D424" t="s">
        <v>12</v>
      </c>
      <c r="E424" t="s">
        <v>7</v>
      </c>
      <c r="F424" t="s">
        <v>13</v>
      </c>
      <c r="G424" t="str">
        <f>VLOOKUP(A424,[1]Kreise!$A$1:$C$53,3,FALSE)</f>
        <v>K033</v>
      </c>
      <c r="H424">
        <v>3.6768113703074303</v>
      </c>
    </row>
    <row r="425" spans="1:8">
      <c r="A425">
        <v>4</v>
      </c>
      <c r="B425" t="s">
        <v>33</v>
      </c>
      <c r="C425">
        <v>2020</v>
      </c>
      <c r="D425" t="s">
        <v>12</v>
      </c>
      <c r="E425" t="s">
        <v>7</v>
      </c>
      <c r="F425" t="s">
        <v>13</v>
      </c>
      <c r="G425" t="str">
        <f>VLOOKUP(A425,[1]Kreise!$A$1:$C$53,3,FALSE)</f>
        <v>K034</v>
      </c>
      <c r="H425">
        <v>4.6508917123207834</v>
      </c>
    </row>
    <row r="426" spans="1:8">
      <c r="A426">
        <v>0</v>
      </c>
      <c r="B426" t="s">
        <v>34</v>
      </c>
      <c r="C426">
        <v>2020</v>
      </c>
      <c r="D426" t="s">
        <v>12</v>
      </c>
      <c r="E426" t="s">
        <v>7</v>
      </c>
      <c r="F426" t="s">
        <v>13</v>
      </c>
      <c r="G426" t="str">
        <f>VLOOKUP(A426,[1]Kreise!$A$1:$C$53,3,FALSE)</f>
        <v>K030</v>
      </c>
      <c r="H426">
        <v>4.8682385575589464</v>
      </c>
    </row>
    <row r="427" spans="1:8">
      <c r="A427">
        <v>1</v>
      </c>
      <c r="B427" t="s">
        <v>30</v>
      </c>
      <c r="C427">
        <v>2019</v>
      </c>
      <c r="D427" t="s">
        <v>12</v>
      </c>
      <c r="E427" t="s">
        <v>7</v>
      </c>
      <c r="F427" t="s">
        <v>13</v>
      </c>
      <c r="G427" t="str">
        <f>VLOOKUP(A427,[1]Kreise!$A$1:$C$53,3,FALSE)</f>
        <v>K031</v>
      </c>
      <c r="H427">
        <v>4.6632124352331603</v>
      </c>
    </row>
    <row r="428" spans="1:8">
      <c r="A428">
        <v>2</v>
      </c>
      <c r="B428" t="s">
        <v>31</v>
      </c>
      <c r="C428">
        <v>2019</v>
      </c>
      <c r="D428" t="s">
        <v>12</v>
      </c>
      <c r="E428" t="s">
        <v>7</v>
      </c>
      <c r="F428" t="s">
        <v>13</v>
      </c>
      <c r="G428" t="str">
        <f>VLOOKUP(A428,[1]Kreise!$A$1:$C$53,3,FALSE)</f>
        <v>K032</v>
      </c>
      <c r="H428">
        <v>4.7561998322750689</v>
      </c>
    </row>
    <row r="429" spans="1:8">
      <c r="A429">
        <v>3</v>
      </c>
      <c r="B429" t="s">
        <v>32</v>
      </c>
      <c r="C429">
        <v>2019</v>
      </c>
      <c r="D429" t="s">
        <v>12</v>
      </c>
      <c r="E429" t="s">
        <v>7</v>
      </c>
      <c r="F429" t="s">
        <v>13</v>
      </c>
      <c r="G429" t="str">
        <f>VLOOKUP(A429,[1]Kreise!$A$1:$C$53,3,FALSE)</f>
        <v>K033</v>
      </c>
      <c r="H429">
        <v>2.8606394370506347</v>
      </c>
    </row>
    <row r="430" spans="1:8">
      <c r="A430">
        <v>4</v>
      </c>
      <c r="B430" t="s">
        <v>33</v>
      </c>
      <c r="C430">
        <v>2019</v>
      </c>
      <c r="D430" t="s">
        <v>12</v>
      </c>
      <c r="E430" t="s">
        <v>7</v>
      </c>
      <c r="F430" t="s">
        <v>13</v>
      </c>
      <c r="G430" t="str">
        <f>VLOOKUP(A430,[1]Kreise!$A$1:$C$53,3,FALSE)</f>
        <v>K034</v>
      </c>
      <c r="H430">
        <v>3.5152636447733578</v>
      </c>
    </row>
    <row r="431" spans="1:8">
      <c r="A431">
        <v>0</v>
      </c>
      <c r="B431" t="s">
        <v>34</v>
      </c>
      <c r="C431">
        <v>2019</v>
      </c>
      <c r="D431" t="s">
        <v>12</v>
      </c>
      <c r="E431" t="s">
        <v>7</v>
      </c>
      <c r="F431" t="s">
        <v>13</v>
      </c>
      <c r="G431" t="str">
        <f>VLOOKUP(A431,[1]Kreise!$A$1:$C$53,3,FALSE)</f>
        <v>K030</v>
      </c>
      <c r="H431">
        <v>3.9445226406673766</v>
      </c>
    </row>
    <row r="432" spans="1:8">
      <c r="A432">
        <v>1</v>
      </c>
      <c r="B432" t="s">
        <v>30</v>
      </c>
      <c r="C432">
        <v>2018</v>
      </c>
      <c r="D432" t="s">
        <v>12</v>
      </c>
      <c r="E432" t="s">
        <v>7</v>
      </c>
      <c r="F432" t="s">
        <v>13</v>
      </c>
      <c r="G432" t="str">
        <f>VLOOKUP(A432,[1]Kreise!$A$1:$C$53,3,FALSE)</f>
        <v>K031</v>
      </c>
      <c r="H432">
        <v>4</v>
      </c>
    </row>
    <row r="433" spans="1:8">
      <c r="A433">
        <v>2</v>
      </c>
      <c r="B433" t="s">
        <v>31</v>
      </c>
      <c r="C433">
        <v>2018</v>
      </c>
      <c r="D433" t="s">
        <v>12</v>
      </c>
      <c r="E433" t="s">
        <v>7</v>
      </c>
      <c r="F433" t="s">
        <v>13</v>
      </c>
      <c r="G433" t="str">
        <f>VLOOKUP(A433,[1]Kreise!$A$1:$C$53,3,FALSE)</f>
        <v>K032</v>
      </c>
      <c r="H433">
        <v>4.1822797050646683</v>
      </c>
    </row>
    <row r="434" spans="1:8">
      <c r="A434">
        <v>3</v>
      </c>
      <c r="B434" t="s">
        <v>32</v>
      </c>
      <c r="C434">
        <v>2018</v>
      </c>
      <c r="D434" t="s">
        <v>12</v>
      </c>
      <c r="E434" t="s">
        <v>7</v>
      </c>
      <c r="F434" t="s">
        <v>13</v>
      </c>
      <c r="G434" t="str">
        <f>VLOOKUP(A434,[1]Kreise!$A$1:$C$53,3,FALSE)</f>
        <v>K033</v>
      </c>
      <c r="H434">
        <v>2.6840605787974212</v>
      </c>
    </row>
    <row r="435" spans="1:8">
      <c r="A435">
        <v>4</v>
      </c>
      <c r="B435" t="s">
        <v>33</v>
      </c>
      <c r="C435">
        <v>2018</v>
      </c>
      <c r="D435" t="s">
        <v>12</v>
      </c>
      <c r="E435" t="s">
        <v>7</v>
      </c>
      <c r="F435" t="s">
        <v>13</v>
      </c>
      <c r="G435" t="str">
        <f>VLOOKUP(A435,[1]Kreise!$A$1:$C$53,3,FALSE)</f>
        <v>K034</v>
      </c>
      <c r="H435">
        <v>3.1768405074270847</v>
      </c>
    </row>
    <row r="436" spans="1:8">
      <c r="A436">
        <v>0</v>
      </c>
      <c r="B436" t="s">
        <v>34</v>
      </c>
      <c r="C436">
        <v>2018</v>
      </c>
      <c r="D436" t="s">
        <v>12</v>
      </c>
      <c r="E436" t="s">
        <v>7</v>
      </c>
      <c r="F436" t="s">
        <v>13</v>
      </c>
      <c r="G436" t="str">
        <f>VLOOKUP(A436,[1]Kreise!$A$1:$C$53,3,FALSE)</f>
        <v>K030</v>
      </c>
      <c r="H436">
        <v>3.5028437604550016</v>
      </c>
    </row>
    <row r="437" spans="1:8">
      <c r="A437">
        <v>1</v>
      </c>
      <c r="B437" t="s">
        <v>30</v>
      </c>
      <c r="C437">
        <v>2017</v>
      </c>
      <c r="D437" t="s">
        <v>12</v>
      </c>
      <c r="E437" t="s">
        <v>7</v>
      </c>
      <c r="F437" t="s">
        <v>13</v>
      </c>
      <c r="G437" t="str">
        <f>VLOOKUP(A437,[1]Kreise!$A$1:$C$53,3,FALSE)</f>
        <v>K031</v>
      </c>
      <c r="H437">
        <v>4.4294826364280651</v>
      </c>
    </row>
    <row r="438" spans="1:8">
      <c r="A438">
        <v>2</v>
      </c>
      <c r="B438" t="s">
        <v>31</v>
      </c>
      <c r="C438">
        <v>2017</v>
      </c>
      <c r="D438" t="s">
        <v>12</v>
      </c>
      <c r="E438" t="s">
        <v>7</v>
      </c>
      <c r="F438" t="s">
        <v>13</v>
      </c>
      <c r="G438" t="str">
        <f>VLOOKUP(A438,[1]Kreise!$A$1:$C$53,3,FALSE)</f>
        <v>K032</v>
      </c>
      <c r="H438">
        <v>4.5887028784776591</v>
      </c>
    </row>
    <row r="439" spans="1:8">
      <c r="A439">
        <v>3</v>
      </c>
      <c r="B439" t="s">
        <v>32</v>
      </c>
      <c r="C439">
        <v>2017</v>
      </c>
      <c r="D439" t="s">
        <v>12</v>
      </c>
      <c r="E439" t="s">
        <v>7</v>
      </c>
      <c r="F439" t="s">
        <v>13</v>
      </c>
      <c r="G439" t="str">
        <f>VLOOKUP(A439,[1]Kreise!$A$1:$C$53,3,FALSE)</f>
        <v>K033</v>
      </c>
      <c r="H439">
        <v>2.4369016536118364</v>
      </c>
    </row>
    <row r="440" spans="1:8">
      <c r="A440">
        <v>4</v>
      </c>
      <c r="B440" t="s">
        <v>33</v>
      </c>
      <c r="C440">
        <v>2017</v>
      </c>
      <c r="D440" t="s">
        <v>12</v>
      </c>
      <c r="E440" t="s">
        <v>7</v>
      </c>
      <c r="F440" t="s">
        <v>13</v>
      </c>
      <c r="G440" t="str">
        <f>VLOOKUP(A440,[1]Kreise!$A$1:$C$53,3,FALSE)</f>
        <v>K034</v>
      </c>
      <c r="H440">
        <v>2.9945355191256828</v>
      </c>
    </row>
    <row r="441" spans="1:8">
      <c r="A441">
        <v>0</v>
      </c>
      <c r="B441" t="s">
        <v>34</v>
      </c>
      <c r="C441">
        <v>2017</v>
      </c>
      <c r="D441" t="s">
        <v>12</v>
      </c>
      <c r="E441" t="s">
        <v>7</v>
      </c>
      <c r="F441" t="s">
        <v>13</v>
      </c>
      <c r="G441" t="str">
        <f>VLOOKUP(A441,[1]Kreise!$A$1:$C$53,3,FALSE)</f>
        <v>K030</v>
      </c>
      <c r="H441">
        <v>3.5777399886632657</v>
      </c>
    </row>
    <row r="442" spans="1:8">
      <c r="A442">
        <v>1</v>
      </c>
      <c r="B442" t="s">
        <v>30</v>
      </c>
      <c r="C442">
        <v>2016</v>
      </c>
      <c r="D442" t="s">
        <v>12</v>
      </c>
      <c r="E442" t="s">
        <v>7</v>
      </c>
      <c r="F442" t="s">
        <v>13</v>
      </c>
      <c r="G442" t="str">
        <f>VLOOKUP(A442,[1]Kreise!$A$1:$C$53,3,FALSE)</f>
        <v>K031</v>
      </c>
      <c r="H442">
        <v>3.8212094653812443</v>
      </c>
    </row>
    <row r="443" spans="1:8">
      <c r="A443">
        <v>2</v>
      </c>
      <c r="B443" t="s">
        <v>31</v>
      </c>
      <c r="C443">
        <v>2016</v>
      </c>
      <c r="D443" t="s">
        <v>12</v>
      </c>
      <c r="E443" t="s">
        <v>7</v>
      </c>
      <c r="F443" t="s">
        <v>13</v>
      </c>
      <c r="G443" t="str">
        <f>VLOOKUP(A443,[1]Kreise!$A$1:$C$53,3,FALSE)</f>
        <v>K032</v>
      </c>
      <c r="H443">
        <v>3.5815734222551563</v>
      </c>
    </row>
    <row r="444" spans="1:8">
      <c r="A444">
        <v>3</v>
      </c>
      <c r="B444" t="s">
        <v>32</v>
      </c>
      <c r="C444">
        <v>2016</v>
      </c>
      <c r="D444" t="s">
        <v>12</v>
      </c>
      <c r="E444" t="s">
        <v>7</v>
      </c>
      <c r="F444" t="s">
        <v>13</v>
      </c>
      <c r="G444" t="str">
        <f>VLOOKUP(A444,[1]Kreise!$A$1:$C$53,3,FALSE)</f>
        <v>K033</v>
      </c>
      <c r="H444">
        <v>2.2539098436062557</v>
      </c>
    </row>
    <row r="445" spans="1:8">
      <c r="A445">
        <v>4</v>
      </c>
      <c r="B445" t="s">
        <v>33</v>
      </c>
      <c r="C445">
        <v>2016</v>
      </c>
      <c r="D445" t="s">
        <v>12</v>
      </c>
      <c r="E445" t="s">
        <v>7</v>
      </c>
      <c r="F445" t="s">
        <v>13</v>
      </c>
      <c r="G445" t="str">
        <f>VLOOKUP(A445,[1]Kreise!$A$1:$C$53,3,FALSE)</f>
        <v>K034</v>
      </c>
      <c r="H445">
        <v>2.5549081129538322</v>
      </c>
    </row>
    <row r="446" spans="1:8">
      <c r="A446">
        <v>0</v>
      </c>
      <c r="B446" t="s">
        <v>34</v>
      </c>
      <c r="C446">
        <v>2016</v>
      </c>
      <c r="D446" t="s">
        <v>12</v>
      </c>
      <c r="E446" t="s">
        <v>7</v>
      </c>
      <c r="F446" t="s">
        <v>13</v>
      </c>
      <c r="G446" t="str">
        <f>VLOOKUP(A446,[1]Kreise!$A$1:$C$53,3,FALSE)</f>
        <v>K030</v>
      </c>
      <c r="H446">
        <v>3.0190098468271334</v>
      </c>
    </row>
    <row r="447" spans="1:8">
      <c r="A447">
        <v>1</v>
      </c>
      <c r="B447" t="s">
        <v>30</v>
      </c>
      <c r="C447">
        <v>2015</v>
      </c>
      <c r="D447" t="s">
        <v>12</v>
      </c>
      <c r="E447" t="s">
        <v>7</v>
      </c>
      <c r="F447" t="s">
        <v>13</v>
      </c>
      <c r="G447" t="str">
        <f>VLOOKUP(A447,[1]Kreise!$A$1:$C$53,3,FALSE)</f>
        <v>K031</v>
      </c>
      <c r="H447">
        <v>2.6344086021505375</v>
      </c>
    </row>
    <row r="448" spans="1:8">
      <c r="A448">
        <v>2</v>
      </c>
      <c r="B448" t="s">
        <v>31</v>
      </c>
      <c r="C448">
        <v>2015</v>
      </c>
      <c r="D448" t="s">
        <v>12</v>
      </c>
      <c r="E448" t="s">
        <v>7</v>
      </c>
      <c r="F448" t="s">
        <v>13</v>
      </c>
      <c r="G448" t="str">
        <f>VLOOKUP(A448,[1]Kreise!$A$1:$C$53,3,FALSE)</f>
        <v>K032</v>
      </c>
      <c r="H448">
        <v>3.5349180933612514</v>
      </c>
    </row>
    <row r="449" spans="1:8">
      <c r="A449">
        <v>3</v>
      </c>
      <c r="B449" t="s">
        <v>32</v>
      </c>
      <c r="C449">
        <v>2015</v>
      </c>
      <c r="D449" t="s">
        <v>12</v>
      </c>
      <c r="E449" t="s">
        <v>7</v>
      </c>
      <c r="F449" t="s">
        <v>13</v>
      </c>
      <c r="G449" t="str">
        <f>VLOOKUP(A449,[1]Kreise!$A$1:$C$53,3,FALSE)</f>
        <v>K033</v>
      </c>
      <c r="H449">
        <v>1.4525306978137167</v>
      </c>
    </row>
    <row r="450" spans="1:8">
      <c r="A450">
        <v>4</v>
      </c>
      <c r="B450" t="s">
        <v>33</v>
      </c>
      <c r="C450">
        <v>2015</v>
      </c>
      <c r="D450" t="s">
        <v>12</v>
      </c>
      <c r="E450" t="s">
        <v>7</v>
      </c>
      <c r="F450" t="s">
        <v>13</v>
      </c>
      <c r="G450" t="str">
        <f>VLOOKUP(A450,[1]Kreise!$A$1:$C$53,3,FALSE)</f>
        <v>K034</v>
      </c>
      <c r="H450">
        <v>2.1635415510928659</v>
      </c>
    </row>
    <row r="451" spans="1:8">
      <c r="A451">
        <v>0</v>
      </c>
      <c r="B451" t="s">
        <v>34</v>
      </c>
      <c r="C451">
        <v>2015</v>
      </c>
      <c r="D451" t="s">
        <v>12</v>
      </c>
      <c r="E451" t="s">
        <v>7</v>
      </c>
      <c r="F451" t="s">
        <v>13</v>
      </c>
      <c r="G451" t="str">
        <f>VLOOKUP(A451,[1]Kreise!$A$1:$C$53,3,FALSE)</f>
        <v>K030</v>
      </c>
      <c r="H451">
        <v>2.4702279686968356</v>
      </c>
    </row>
    <row r="452" spans="1:8">
      <c r="A452">
        <v>1</v>
      </c>
      <c r="B452" t="s">
        <v>145</v>
      </c>
      <c r="C452">
        <v>2014</v>
      </c>
      <c r="D452" t="s">
        <v>12</v>
      </c>
      <c r="E452" t="s">
        <v>7</v>
      </c>
      <c r="F452" t="s">
        <v>13</v>
      </c>
      <c r="G452" t="str">
        <f>VLOOKUP(A452,[1]Kreise!$A$1:$C$53,3,FALSE)</f>
        <v>K031</v>
      </c>
      <c r="H452">
        <v>2.8046914839367667</v>
      </c>
    </row>
    <row r="453" spans="1:8">
      <c r="A453">
        <v>2</v>
      </c>
      <c r="B453" t="s">
        <v>146</v>
      </c>
      <c r="C453">
        <v>2014</v>
      </c>
      <c r="D453" t="s">
        <v>12</v>
      </c>
      <c r="E453" t="s">
        <v>7</v>
      </c>
      <c r="F453" t="s">
        <v>13</v>
      </c>
      <c r="G453" t="str">
        <f>VLOOKUP(A453,[1]Kreise!$A$1:$C$53,3,FALSE)</f>
        <v>K032</v>
      </c>
      <c r="H453">
        <v>3.3723076923076927</v>
      </c>
    </row>
    <row r="454" spans="1:8">
      <c r="A454">
        <v>3</v>
      </c>
      <c r="B454" t="s">
        <v>147</v>
      </c>
      <c r="C454">
        <v>2014</v>
      </c>
      <c r="D454" t="s">
        <v>12</v>
      </c>
      <c r="E454" t="s">
        <v>7</v>
      </c>
      <c r="F454" t="s">
        <v>13</v>
      </c>
      <c r="G454" t="str">
        <f>VLOOKUP(A454,[1]Kreise!$A$1:$C$53,3,FALSE)</f>
        <v>K033</v>
      </c>
      <c r="H454">
        <v>1.7210944395410415</v>
      </c>
    </row>
    <row r="455" spans="1:8">
      <c r="A455">
        <v>4</v>
      </c>
      <c r="B455" t="s">
        <v>148</v>
      </c>
      <c r="C455">
        <v>2014</v>
      </c>
      <c r="D455" t="s">
        <v>12</v>
      </c>
      <c r="E455" t="s">
        <v>7</v>
      </c>
      <c r="F455" t="s">
        <v>13</v>
      </c>
      <c r="G455" t="str">
        <f>VLOOKUP(A455,[1]Kreise!$A$1:$C$53,3,FALSE)</f>
        <v>K034</v>
      </c>
      <c r="H455">
        <v>2.3909211106214192</v>
      </c>
    </row>
    <row r="456" spans="1:8">
      <c r="A456">
        <v>0</v>
      </c>
      <c r="B456" t="s">
        <v>34</v>
      </c>
      <c r="C456">
        <v>2014</v>
      </c>
      <c r="D456" t="s">
        <v>12</v>
      </c>
      <c r="E456" t="s">
        <v>7</v>
      </c>
      <c r="F456" t="s">
        <v>13</v>
      </c>
      <c r="G456" t="str">
        <f>VLOOKUP(A456,[1]Kreise!$A$1:$C$53,3,FALSE)</f>
        <v>K030</v>
      </c>
      <c r="H456">
        <v>2.5868415768690181</v>
      </c>
    </row>
    <row r="457" spans="1:8">
      <c r="A457">
        <v>1</v>
      </c>
      <c r="B457" t="s">
        <v>30</v>
      </c>
      <c r="C457">
        <v>2013</v>
      </c>
      <c r="D457" t="s">
        <v>12</v>
      </c>
      <c r="E457" t="s">
        <v>7</v>
      </c>
      <c r="F457" t="s">
        <v>13</v>
      </c>
      <c r="G457" t="str">
        <f>VLOOKUP(A457,[1]Kreise!$A$1:$C$53,3,FALSE)</f>
        <v>K031</v>
      </c>
      <c r="H457">
        <v>2.663634887120351</v>
      </c>
    </row>
    <row r="458" spans="1:8">
      <c r="A458">
        <v>2</v>
      </c>
      <c r="B458" t="s">
        <v>31</v>
      </c>
      <c r="C458">
        <v>2013</v>
      </c>
      <c r="D458" t="s">
        <v>12</v>
      </c>
      <c r="E458" t="s">
        <v>7</v>
      </c>
      <c r="F458" t="s">
        <v>13</v>
      </c>
      <c r="G458" t="str">
        <f>VLOOKUP(A458,[1]Kreise!$A$1:$C$53,3,FALSE)</f>
        <v>K032</v>
      </c>
      <c r="H458">
        <v>4.2298202326401126</v>
      </c>
    </row>
    <row r="459" spans="1:8">
      <c r="A459">
        <v>3</v>
      </c>
      <c r="B459" t="s">
        <v>32</v>
      </c>
      <c r="C459">
        <v>2013</v>
      </c>
      <c r="D459" t="s">
        <v>12</v>
      </c>
      <c r="E459" t="s">
        <v>7</v>
      </c>
      <c r="F459" t="s">
        <v>13</v>
      </c>
      <c r="G459" t="str">
        <f>VLOOKUP(A459,[1]Kreise!$A$1:$C$53,3,FALSE)</f>
        <v>K033</v>
      </c>
      <c r="H459">
        <v>1.3309050154104791</v>
      </c>
    </row>
    <row r="460" spans="1:8">
      <c r="A460">
        <v>4</v>
      </c>
      <c r="B460" t="s">
        <v>33</v>
      </c>
      <c r="C460">
        <v>2013</v>
      </c>
      <c r="D460" t="s">
        <v>12</v>
      </c>
      <c r="E460" t="s">
        <v>7</v>
      </c>
      <c r="F460" t="s">
        <v>13</v>
      </c>
      <c r="G460" t="str">
        <f>VLOOKUP(A460,[1]Kreise!$A$1:$C$53,3,FALSE)</f>
        <v>K034</v>
      </c>
      <c r="H460">
        <v>2.3273193124799829</v>
      </c>
    </row>
    <row r="461" spans="1:8">
      <c r="A461">
        <v>0</v>
      </c>
      <c r="B461" t="s">
        <v>34</v>
      </c>
      <c r="C461">
        <v>2013</v>
      </c>
      <c r="D461" t="s">
        <v>12</v>
      </c>
      <c r="E461" t="s">
        <v>7</v>
      </c>
      <c r="F461" t="s">
        <v>13</v>
      </c>
      <c r="G461" t="str">
        <f>VLOOKUP(A461,[1]Kreise!$A$1:$C$53,3,FALSE)</f>
        <v>K030</v>
      </c>
      <c r="H461">
        <v>2.6850158791261669</v>
      </c>
    </row>
    <row r="462" spans="1:8">
      <c r="A462">
        <v>1</v>
      </c>
      <c r="B462" t="s">
        <v>145</v>
      </c>
      <c r="C462">
        <v>2012</v>
      </c>
      <c r="D462" t="s">
        <v>12</v>
      </c>
      <c r="E462" t="s">
        <v>7</v>
      </c>
      <c r="F462" t="s">
        <v>13</v>
      </c>
      <c r="G462" t="str">
        <f>VLOOKUP(A462,[1]Kreise!$A$1:$C$53,3,FALSE)</f>
        <v>K031</v>
      </c>
      <c r="H462">
        <v>2.8349699081406396</v>
      </c>
    </row>
    <row r="463" spans="1:8">
      <c r="A463">
        <v>2</v>
      </c>
      <c r="B463" t="s">
        <v>146</v>
      </c>
      <c r="C463">
        <v>2012</v>
      </c>
      <c r="D463" t="s">
        <v>12</v>
      </c>
      <c r="E463" t="s">
        <v>7</v>
      </c>
      <c r="F463" t="s">
        <v>13</v>
      </c>
      <c r="G463" t="str">
        <f>VLOOKUP(A463,[1]Kreise!$A$1:$C$53,3,FALSE)</f>
        <v>K032</v>
      </c>
      <c r="H463">
        <v>4.6171298922291548</v>
      </c>
    </row>
    <row r="464" spans="1:8">
      <c r="A464">
        <v>3</v>
      </c>
      <c r="B464" t="s">
        <v>147</v>
      </c>
      <c r="C464">
        <v>2012</v>
      </c>
      <c r="D464" t="s">
        <v>12</v>
      </c>
      <c r="E464" t="s">
        <v>7</v>
      </c>
      <c r="F464" t="s">
        <v>13</v>
      </c>
      <c r="G464" t="str">
        <f>VLOOKUP(A464,[1]Kreise!$A$1:$C$53,3,FALSE)</f>
        <v>K033</v>
      </c>
      <c r="H464">
        <v>1.5730034955633236</v>
      </c>
    </row>
    <row r="465" spans="1:8">
      <c r="A465">
        <v>4</v>
      </c>
      <c r="B465" t="s">
        <v>148</v>
      </c>
      <c r="C465">
        <v>2012</v>
      </c>
      <c r="D465" t="s">
        <v>12</v>
      </c>
      <c r="E465" t="s">
        <v>7</v>
      </c>
      <c r="F465" t="s">
        <v>13</v>
      </c>
      <c r="G465" t="str">
        <f>VLOOKUP(A465,[1]Kreise!$A$1:$C$53,3,FALSE)</f>
        <v>K034</v>
      </c>
      <c r="H465">
        <v>2.1205122821750999</v>
      </c>
    </row>
    <row r="466" spans="1:8">
      <c r="A466">
        <v>0</v>
      </c>
      <c r="B466" t="s">
        <v>34</v>
      </c>
      <c r="C466">
        <v>2012</v>
      </c>
      <c r="D466" t="s">
        <v>12</v>
      </c>
      <c r="E466" t="s">
        <v>7</v>
      </c>
      <c r="F466" t="s">
        <v>13</v>
      </c>
      <c r="G466" t="str">
        <f>VLOOKUP(A466,[1]Kreise!$A$1:$C$53,3,FALSE)</f>
        <v>K030</v>
      </c>
      <c r="H466">
        <v>2.8199295796591155</v>
      </c>
    </row>
    <row r="467" spans="1:8">
      <c r="A467">
        <v>1</v>
      </c>
      <c r="B467" t="s">
        <v>30</v>
      </c>
      <c r="C467">
        <v>2011</v>
      </c>
      <c r="D467" t="s">
        <v>12</v>
      </c>
      <c r="E467" t="s">
        <v>7</v>
      </c>
      <c r="F467" t="s">
        <v>13</v>
      </c>
      <c r="G467" t="str">
        <f>VLOOKUP(A467,[1]Kreise!$A$1:$C$53,3,FALSE)</f>
        <v>K031</v>
      </c>
      <c r="H467">
        <v>2.8361344537815127</v>
      </c>
    </row>
    <row r="468" spans="1:8">
      <c r="A468">
        <v>2</v>
      </c>
      <c r="B468" t="s">
        <v>31</v>
      </c>
      <c r="C468">
        <v>2011</v>
      </c>
      <c r="D468" t="s">
        <v>12</v>
      </c>
      <c r="E468" t="s">
        <v>7</v>
      </c>
      <c r="F468" t="s">
        <v>13</v>
      </c>
      <c r="G468" t="str">
        <f>VLOOKUP(A468,[1]Kreise!$A$1:$C$53,3,FALSE)</f>
        <v>K032</v>
      </c>
      <c r="H468">
        <v>4.8262337945309941</v>
      </c>
    </row>
    <row r="469" spans="1:8">
      <c r="A469">
        <v>3</v>
      </c>
      <c r="B469" t="s">
        <v>32</v>
      </c>
      <c r="C469">
        <v>2011</v>
      </c>
      <c r="D469" t="s">
        <v>12</v>
      </c>
      <c r="E469" t="s">
        <v>7</v>
      </c>
      <c r="F469" t="s">
        <v>13</v>
      </c>
      <c r="G469" t="str">
        <f>VLOOKUP(A469,[1]Kreise!$A$1:$C$53,3,FALSE)</f>
        <v>K033</v>
      </c>
      <c r="H469">
        <v>1.7880279865250066</v>
      </c>
    </row>
    <row r="470" spans="1:8">
      <c r="A470">
        <v>4</v>
      </c>
      <c r="B470" t="s">
        <v>33</v>
      </c>
      <c r="C470">
        <v>2011</v>
      </c>
      <c r="D470" t="s">
        <v>12</v>
      </c>
      <c r="E470" t="s">
        <v>7</v>
      </c>
      <c r="F470" t="s">
        <v>13</v>
      </c>
      <c r="G470" t="str">
        <f>VLOOKUP(A470,[1]Kreise!$A$1:$C$53,3,FALSE)</f>
        <v>K034</v>
      </c>
      <c r="H470">
        <v>2.4304860972194442</v>
      </c>
    </row>
    <row r="471" spans="1:8">
      <c r="A471">
        <v>0</v>
      </c>
      <c r="B471" t="s">
        <v>34</v>
      </c>
      <c r="C471">
        <v>2011</v>
      </c>
      <c r="D471" t="s">
        <v>12</v>
      </c>
      <c r="E471" t="s">
        <v>7</v>
      </c>
      <c r="F471" t="s">
        <v>13</v>
      </c>
      <c r="G471" t="str">
        <f>VLOOKUP(A471,[1]Kreise!$A$1:$C$53,3,FALSE)</f>
        <v>K030</v>
      </c>
      <c r="H471">
        <v>3.0185643195566016</v>
      </c>
    </row>
    <row r="472" spans="1:8">
      <c r="A472">
        <v>1</v>
      </c>
      <c r="B472" t="s">
        <v>145</v>
      </c>
      <c r="C472">
        <v>2010</v>
      </c>
      <c r="D472" t="s">
        <v>12</v>
      </c>
      <c r="E472" t="s">
        <v>7</v>
      </c>
      <c r="F472" t="s">
        <v>13</v>
      </c>
      <c r="G472" t="str">
        <f>VLOOKUP(A472,[1]Kreise!$A$1:$C$53,3,FALSE)</f>
        <v>K031</v>
      </c>
      <c r="H472">
        <v>2.9702970297029703</v>
      </c>
    </row>
    <row r="473" spans="1:8">
      <c r="A473">
        <v>2</v>
      </c>
      <c r="B473" t="s">
        <v>146</v>
      </c>
      <c r="C473">
        <v>2010</v>
      </c>
      <c r="D473" t="s">
        <v>12</v>
      </c>
      <c r="E473" t="s">
        <v>7</v>
      </c>
      <c r="F473" t="s">
        <v>13</v>
      </c>
      <c r="G473" t="str">
        <f>VLOOKUP(A473,[1]Kreise!$A$1:$C$53,3,FALSE)</f>
        <v>K032</v>
      </c>
      <c r="H473">
        <v>4.3381887270424313</v>
      </c>
    </row>
    <row r="474" spans="1:8">
      <c r="A474">
        <v>3</v>
      </c>
      <c r="B474" t="s">
        <v>147</v>
      </c>
      <c r="C474">
        <v>2010</v>
      </c>
      <c r="D474" t="s">
        <v>12</v>
      </c>
      <c r="E474" t="s">
        <v>7</v>
      </c>
      <c r="F474" t="s">
        <v>13</v>
      </c>
      <c r="G474" t="str">
        <f>VLOOKUP(A474,[1]Kreise!$A$1:$C$53,3,FALSE)</f>
        <v>K033</v>
      </c>
      <c r="H474">
        <v>1.6925777331995988</v>
      </c>
    </row>
    <row r="475" spans="1:8">
      <c r="A475">
        <v>4</v>
      </c>
      <c r="B475" t="s">
        <v>148</v>
      </c>
      <c r="C475">
        <v>2010</v>
      </c>
      <c r="D475" t="s">
        <v>12</v>
      </c>
      <c r="E475" t="s">
        <v>7</v>
      </c>
      <c r="F475" t="s">
        <v>13</v>
      </c>
      <c r="G475" t="str">
        <f>VLOOKUP(A475,[1]Kreise!$A$1:$C$53,3,FALSE)</f>
        <v>K034</v>
      </c>
      <c r="H475">
        <v>2.1863117870722433</v>
      </c>
    </row>
    <row r="476" spans="1:8">
      <c r="A476">
        <v>0</v>
      </c>
      <c r="B476" t="s">
        <v>34</v>
      </c>
      <c r="C476">
        <v>2010</v>
      </c>
      <c r="D476" t="s">
        <v>12</v>
      </c>
      <c r="E476" t="s">
        <v>7</v>
      </c>
      <c r="F476" t="s">
        <v>13</v>
      </c>
      <c r="G476" t="str">
        <f>VLOOKUP(A476,[1]Kreise!$A$1:$C$53,3,FALSE)</f>
        <v>K030</v>
      </c>
      <c r="H476">
        <v>2.8139269406392695</v>
      </c>
    </row>
    <row r="477" spans="1:8">
      <c r="A477">
        <v>1</v>
      </c>
      <c r="B477" t="s">
        <v>145</v>
      </c>
      <c r="C477">
        <v>2005</v>
      </c>
      <c r="D477" t="s">
        <v>12</v>
      </c>
      <c r="E477" t="s">
        <v>7</v>
      </c>
      <c r="F477" t="s">
        <v>13</v>
      </c>
      <c r="G477" t="str">
        <f>VLOOKUP(A477,[1]Kreise!$A$1:$C$53,3,FALSE)</f>
        <v>K031</v>
      </c>
      <c r="H477">
        <v>3.1051964512040557</v>
      </c>
    </row>
    <row r="478" spans="1:8">
      <c r="A478">
        <v>2</v>
      </c>
      <c r="B478" t="s">
        <v>146</v>
      </c>
      <c r="C478">
        <v>2005</v>
      </c>
      <c r="D478" t="s">
        <v>12</v>
      </c>
      <c r="E478" t="s">
        <v>7</v>
      </c>
      <c r="F478" t="s">
        <v>13</v>
      </c>
      <c r="G478" t="str">
        <f>VLOOKUP(A478,[1]Kreise!$A$1:$C$53,3,FALSE)</f>
        <v>K032</v>
      </c>
      <c r="H478">
        <v>5.9644059644059642</v>
      </c>
    </row>
    <row r="479" spans="1:8">
      <c r="A479">
        <v>3</v>
      </c>
      <c r="B479" t="s">
        <v>147</v>
      </c>
      <c r="C479">
        <v>2005</v>
      </c>
      <c r="D479" t="s">
        <v>12</v>
      </c>
      <c r="E479" t="s">
        <v>7</v>
      </c>
      <c r="F479" t="s">
        <v>13</v>
      </c>
      <c r="G479" t="str">
        <f>VLOOKUP(A479,[1]Kreise!$A$1:$C$53,3,FALSE)</f>
        <v>K033</v>
      </c>
      <c r="H479">
        <v>1.91800878477306</v>
      </c>
    </row>
    <row r="480" spans="1:8">
      <c r="A480">
        <v>4</v>
      </c>
      <c r="B480" t="s">
        <v>148</v>
      </c>
      <c r="C480">
        <v>2005</v>
      </c>
      <c r="D480" t="s">
        <v>12</v>
      </c>
      <c r="E480" t="s">
        <v>7</v>
      </c>
      <c r="F480" t="s">
        <v>13</v>
      </c>
      <c r="G480" t="str">
        <f>VLOOKUP(A480,[1]Kreise!$A$1:$C$53,3,FALSE)</f>
        <v>K034</v>
      </c>
      <c r="H480">
        <v>2.6045086452177721</v>
      </c>
    </row>
    <row r="481" spans="1:8">
      <c r="A481">
        <v>0</v>
      </c>
      <c r="B481" t="s">
        <v>34</v>
      </c>
      <c r="C481">
        <v>2005</v>
      </c>
      <c r="D481" t="s">
        <v>12</v>
      </c>
      <c r="E481" t="s">
        <v>7</v>
      </c>
      <c r="F481" t="s">
        <v>13</v>
      </c>
      <c r="G481" t="str">
        <f>VLOOKUP(A481,[1]Kreise!$A$1:$C$53,3,FALSE)</f>
        <v>K030</v>
      </c>
      <c r="H481">
        <v>3.4677735651719179</v>
      </c>
    </row>
    <row r="482" spans="1:8">
      <c r="A482">
        <v>1</v>
      </c>
      <c r="B482" t="s">
        <v>30</v>
      </c>
      <c r="C482">
        <v>2020</v>
      </c>
      <c r="D482" t="s">
        <v>11</v>
      </c>
      <c r="E482" t="s">
        <v>115</v>
      </c>
      <c r="F482" t="s">
        <v>13</v>
      </c>
      <c r="G482" t="str">
        <f>VLOOKUP(A482,[1]Kreise!$A$1:$C$53,3,FALSE)</f>
        <v>K031</v>
      </c>
      <c r="H482">
        <v>91.637519872813982</v>
      </c>
    </row>
    <row r="483" spans="1:8">
      <c r="A483">
        <v>2</v>
      </c>
      <c r="B483" t="s">
        <v>31</v>
      </c>
      <c r="C483">
        <v>2020</v>
      </c>
      <c r="D483" t="s">
        <v>11</v>
      </c>
      <c r="E483" t="s">
        <v>115</v>
      </c>
      <c r="F483" t="s">
        <v>13</v>
      </c>
      <c r="G483" t="str">
        <f>VLOOKUP(A483,[1]Kreise!$A$1:$C$53,3,FALSE)</f>
        <v>K032</v>
      </c>
      <c r="H483">
        <v>85.860382392174301</v>
      </c>
    </row>
    <row r="484" spans="1:8">
      <c r="A484">
        <v>3</v>
      </c>
      <c r="B484" t="s">
        <v>32</v>
      </c>
      <c r="C484">
        <v>2020</v>
      </c>
      <c r="D484" t="s">
        <v>11</v>
      </c>
      <c r="E484" t="s">
        <v>115</v>
      </c>
      <c r="F484" t="s">
        <v>13</v>
      </c>
      <c r="G484" t="str">
        <f>VLOOKUP(A484,[1]Kreise!$A$1:$C$53,3,FALSE)</f>
        <v>K033</v>
      </c>
      <c r="H484">
        <v>91.845703125</v>
      </c>
    </row>
    <row r="485" spans="1:8">
      <c r="A485">
        <v>4</v>
      </c>
      <c r="B485" t="s">
        <v>33</v>
      </c>
      <c r="C485">
        <v>2020</v>
      </c>
      <c r="D485" t="s">
        <v>11</v>
      </c>
      <c r="E485" t="s">
        <v>115</v>
      </c>
      <c r="F485" t="s">
        <v>13</v>
      </c>
      <c r="G485" t="str">
        <f>VLOOKUP(A485,[1]Kreise!$A$1:$C$53,3,FALSE)</f>
        <v>K034</v>
      </c>
      <c r="H485">
        <v>92.777413000656594</v>
      </c>
    </row>
    <row r="486" spans="1:8">
      <c r="A486">
        <v>0</v>
      </c>
      <c r="B486" t="s">
        <v>34</v>
      </c>
      <c r="C486">
        <v>2020</v>
      </c>
      <c r="D486" t="s">
        <v>11</v>
      </c>
      <c r="E486" t="s">
        <v>115</v>
      </c>
      <c r="F486" t="s">
        <v>13</v>
      </c>
      <c r="G486" t="str">
        <f>VLOOKUP(A486,[1]Kreise!$A$1:$C$53,3,FALSE)</f>
        <v>K030</v>
      </c>
      <c r="H486">
        <v>89.903430949203113</v>
      </c>
    </row>
    <row r="487" spans="1:8">
      <c r="A487">
        <v>1</v>
      </c>
      <c r="B487" t="s">
        <v>30</v>
      </c>
      <c r="C487">
        <v>2019</v>
      </c>
      <c r="D487" t="s">
        <v>11</v>
      </c>
      <c r="E487" t="s">
        <v>115</v>
      </c>
      <c r="F487" t="s">
        <v>13</v>
      </c>
      <c r="G487" t="str">
        <f>VLOOKUP(A487,[1]Kreise!$A$1:$C$53,3,FALSE)</f>
        <v>K031</v>
      </c>
      <c r="H487">
        <v>93.372561164447205</v>
      </c>
    </row>
    <row r="488" spans="1:8">
      <c r="A488">
        <v>2</v>
      </c>
      <c r="B488" t="s">
        <v>31</v>
      </c>
      <c r="C488">
        <v>2019</v>
      </c>
      <c r="D488" t="s">
        <v>11</v>
      </c>
      <c r="E488" t="s">
        <v>115</v>
      </c>
      <c r="F488" t="s">
        <v>13</v>
      </c>
      <c r="G488" t="str">
        <f>VLOOKUP(A488,[1]Kreise!$A$1:$C$53,3,FALSE)</f>
        <v>K032</v>
      </c>
      <c r="H488">
        <v>88.086241386974891</v>
      </c>
    </row>
    <row r="489" spans="1:8">
      <c r="A489">
        <v>3</v>
      </c>
      <c r="B489" t="s">
        <v>32</v>
      </c>
      <c r="C489">
        <v>2019</v>
      </c>
      <c r="D489" t="s">
        <v>11</v>
      </c>
      <c r="E489" t="s">
        <v>115</v>
      </c>
      <c r="F489" t="s">
        <v>13</v>
      </c>
      <c r="G489" t="str">
        <f>VLOOKUP(A489,[1]Kreise!$A$1:$C$53,3,FALSE)</f>
        <v>K033</v>
      </c>
      <c r="H489">
        <v>93.51432880844645</v>
      </c>
    </row>
    <row r="490" spans="1:8">
      <c r="A490">
        <v>4</v>
      </c>
      <c r="B490" t="s">
        <v>33</v>
      </c>
      <c r="C490">
        <v>2019</v>
      </c>
      <c r="D490" t="s">
        <v>11</v>
      </c>
      <c r="E490" t="s">
        <v>115</v>
      </c>
      <c r="F490" t="s">
        <v>13</v>
      </c>
      <c r="G490" t="str">
        <f>VLOOKUP(A490,[1]Kreise!$A$1:$C$53,3,FALSE)</f>
        <v>K034</v>
      </c>
      <c r="H490">
        <v>93.706293706293707</v>
      </c>
    </row>
    <row r="491" spans="1:8">
      <c r="A491">
        <v>0</v>
      </c>
      <c r="B491" t="s">
        <v>34</v>
      </c>
      <c r="C491">
        <v>2019</v>
      </c>
      <c r="D491" t="s">
        <v>11</v>
      </c>
      <c r="E491" t="s">
        <v>115</v>
      </c>
      <c r="F491" t="s">
        <v>13</v>
      </c>
      <c r="G491" t="str">
        <f>VLOOKUP(A491,[1]Kreise!$A$1:$C$53,3,FALSE)</f>
        <v>K030</v>
      </c>
      <c r="H491">
        <v>91.603773584905653</v>
      </c>
    </row>
    <row r="492" spans="1:8">
      <c r="A492">
        <v>1</v>
      </c>
      <c r="B492" t="s">
        <v>30</v>
      </c>
      <c r="C492">
        <v>2018</v>
      </c>
      <c r="D492" t="s">
        <v>11</v>
      </c>
      <c r="E492" t="s">
        <v>115</v>
      </c>
      <c r="F492" t="s">
        <v>13</v>
      </c>
      <c r="G492" t="str">
        <f>VLOOKUP(A492,[1]Kreise!$A$1:$C$53,3,FALSE)</f>
        <v>K031</v>
      </c>
      <c r="H492">
        <v>92.991563919532766</v>
      </c>
    </row>
    <row r="493" spans="1:8">
      <c r="A493">
        <v>2</v>
      </c>
      <c r="B493" t="s">
        <v>31</v>
      </c>
      <c r="C493">
        <v>2018</v>
      </c>
      <c r="D493" t="s">
        <v>11</v>
      </c>
      <c r="E493" t="s">
        <v>115</v>
      </c>
      <c r="F493" t="s">
        <v>13</v>
      </c>
      <c r="G493" t="str">
        <f>VLOOKUP(A493,[1]Kreise!$A$1:$C$53,3,FALSE)</f>
        <v>K032</v>
      </c>
      <c r="H493">
        <v>89.930555555555557</v>
      </c>
    </row>
    <row r="494" spans="1:8">
      <c r="A494">
        <v>3</v>
      </c>
      <c r="B494" t="s">
        <v>32</v>
      </c>
      <c r="C494">
        <v>2018</v>
      </c>
      <c r="D494" t="s">
        <v>11</v>
      </c>
      <c r="E494" t="s">
        <v>115</v>
      </c>
      <c r="F494" t="s">
        <v>13</v>
      </c>
      <c r="G494" t="str">
        <f>VLOOKUP(A494,[1]Kreise!$A$1:$C$53,3,FALSE)</f>
        <v>K033</v>
      </c>
      <c r="H494">
        <v>93.895781637717121</v>
      </c>
    </row>
    <row r="495" spans="1:8">
      <c r="A495">
        <v>4</v>
      </c>
      <c r="B495" t="s">
        <v>33</v>
      </c>
      <c r="C495">
        <v>2018</v>
      </c>
      <c r="D495" t="s">
        <v>11</v>
      </c>
      <c r="E495" t="s">
        <v>115</v>
      </c>
      <c r="F495" t="s">
        <v>13</v>
      </c>
      <c r="G495" t="str">
        <f>VLOOKUP(A495,[1]Kreise!$A$1:$C$53,3,FALSE)</f>
        <v>K034</v>
      </c>
      <c r="H495">
        <v>94.44629198536748</v>
      </c>
    </row>
    <row r="496" spans="1:8">
      <c r="A496">
        <v>0</v>
      </c>
      <c r="B496" t="s">
        <v>34</v>
      </c>
      <c r="C496">
        <v>2018</v>
      </c>
      <c r="D496" t="s">
        <v>11</v>
      </c>
      <c r="E496" t="s">
        <v>115</v>
      </c>
      <c r="F496" t="s">
        <v>13</v>
      </c>
      <c r="G496" t="str">
        <f>VLOOKUP(A496,[1]Kreise!$A$1:$C$53,3,FALSE)</f>
        <v>K030</v>
      </c>
      <c r="H496">
        <v>92.425949774629743</v>
      </c>
    </row>
    <row r="497" spans="1:8">
      <c r="A497">
        <v>1</v>
      </c>
      <c r="B497" t="s">
        <v>30</v>
      </c>
      <c r="C497">
        <v>2017</v>
      </c>
      <c r="D497" t="s">
        <v>11</v>
      </c>
      <c r="E497" t="s">
        <v>115</v>
      </c>
      <c r="F497" t="s">
        <v>13</v>
      </c>
      <c r="G497" t="str">
        <f>VLOOKUP(A497,[1]Kreise!$A$1:$C$53,3,FALSE)</f>
        <v>K031</v>
      </c>
      <c r="H497">
        <v>94.806483625537538</v>
      </c>
    </row>
    <row r="498" spans="1:8">
      <c r="A498">
        <v>2</v>
      </c>
      <c r="B498" t="s">
        <v>31</v>
      </c>
      <c r="C498">
        <v>2017</v>
      </c>
      <c r="D498" t="s">
        <v>11</v>
      </c>
      <c r="E498" t="s">
        <v>115</v>
      </c>
      <c r="F498" t="s">
        <v>13</v>
      </c>
      <c r="G498" t="str">
        <f>VLOOKUP(A498,[1]Kreise!$A$1:$C$53,3,FALSE)</f>
        <v>K032</v>
      </c>
      <c r="H498">
        <v>91.013071895424829</v>
      </c>
    </row>
    <row r="499" spans="1:8">
      <c r="A499">
        <v>3</v>
      </c>
      <c r="B499" t="s">
        <v>32</v>
      </c>
      <c r="C499">
        <v>2017</v>
      </c>
      <c r="D499" t="s">
        <v>11</v>
      </c>
      <c r="E499" t="s">
        <v>115</v>
      </c>
      <c r="F499" t="s">
        <v>13</v>
      </c>
      <c r="G499" t="str">
        <f>VLOOKUP(A499,[1]Kreise!$A$1:$C$53,3,FALSE)</f>
        <v>K033</v>
      </c>
      <c r="H499">
        <v>95.328083989501309</v>
      </c>
    </row>
    <row r="500" spans="1:8">
      <c r="A500">
        <v>4</v>
      </c>
      <c r="B500" t="s">
        <v>33</v>
      </c>
      <c r="C500">
        <v>2017</v>
      </c>
      <c r="D500" t="s">
        <v>11</v>
      </c>
      <c r="E500" t="s">
        <v>115</v>
      </c>
      <c r="F500" t="s">
        <v>13</v>
      </c>
      <c r="G500" t="str">
        <f>VLOOKUP(A500,[1]Kreise!$A$1:$C$53,3,FALSE)</f>
        <v>K034</v>
      </c>
      <c r="H500">
        <v>95.584599081596608</v>
      </c>
    </row>
    <row r="501" spans="1:8">
      <c r="A501">
        <v>0</v>
      </c>
      <c r="B501" t="s">
        <v>34</v>
      </c>
      <c r="C501">
        <v>2017</v>
      </c>
      <c r="D501" t="s">
        <v>11</v>
      </c>
      <c r="E501" t="s">
        <v>115</v>
      </c>
      <c r="F501" t="s">
        <v>13</v>
      </c>
      <c r="G501" t="str">
        <f>VLOOKUP(A501,[1]Kreise!$A$1:$C$53,3,FALSE)</f>
        <v>K030</v>
      </c>
      <c r="H501">
        <v>93.722494395084283</v>
      </c>
    </row>
    <row r="502" spans="1:8">
      <c r="A502">
        <v>1</v>
      </c>
      <c r="B502" t="s">
        <v>30</v>
      </c>
      <c r="C502">
        <v>2016</v>
      </c>
      <c r="D502" t="s">
        <v>11</v>
      </c>
      <c r="E502" t="s">
        <v>115</v>
      </c>
      <c r="F502" t="s">
        <v>13</v>
      </c>
      <c r="G502" t="str">
        <f>VLOOKUP(A502,[1]Kreise!$A$1:$C$53,3,FALSE)</f>
        <v>K031</v>
      </c>
      <c r="H502">
        <v>96.05602653888684</v>
      </c>
    </row>
    <row r="503" spans="1:8">
      <c r="A503">
        <v>2</v>
      </c>
      <c r="B503" t="s">
        <v>31</v>
      </c>
      <c r="C503">
        <v>2016</v>
      </c>
      <c r="D503" t="s">
        <v>11</v>
      </c>
      <c r="E503" t="s">
        <v>115</v>
      </c>
      <c r="F503" t="s">
        <v>13</v>
      </c>
      <c r="G503" t="str">
        <f>VLOOKUP(A503,[1]Kreise!$A$1:$C$53,3,FALSE)</f>
        <v>K032</v>
      </c>
      <c r="H503">
        <v>92.442173211403983</v>
      </c>
    </row>
    <row r="504" spans="1:8">
      <c r="A504">
        <v>3</v>
      </c>
      <c r="B504" t="s">
        <v>32</v>
      </c>
      <c r="C504">
        <v>2016</v>
      </c>
      <c r="D504" t="s">
        <v>11</v>
      </c>
      <c r="E504" t="s">
        <v>115</v>
      </c>
      <c r="F504" t="s">
        <v>13</v>
      </c>
      <c r="G504" t="str">
        <f>VLOOKUP(A504,[1]Kreise!$A$1:$C$53,3,FALSE)</f>
        <v>K033</v>
      </c>
      <c r="H504">
        <v>97.280966767371595</v>
      </c>
    </row>
    <row r="505" spans="1:8">
      <c r="A505">
        <v>4</v>
      </c>
      <c r="B505" t="s">
        <v>33</v>
      </c>
      <c r="C505">
        <v>2016</v>
      </c>
      <c r="D505" t="s">
        <v>11</v>
      </c>
      <c r="E505" t="s">
        <v>115</v>
      </c>
      <c r="F505" t="s">
        <v>13</v>
      </c>
      <c r="G505" t="str">
        <f>VLOOKUP(A505,[1]Kreise!$A$1:$C$53,3,FALSE)</f>
        <v>K034</v>
      </c>
      <c r="H505">
        <v>95.620437956204384</v>
      </c>
    </row>
    <row r="506" spans="1:8">
      <c r="A506">
        <v>0</v>
      </c>
      <c r="B506" t="s">
        <v>34</v>
      </c>
      <c r="C506">
        <v>2016</v>
      </c>
      <c r="D506" t="s">
        <v>11</v>
      </c>
      <c r="E506" t="s">
        <v>115</v>
      </c>
      <c r="F506" t="s">
        <v>13</v>
      </c>
      <c r="G506" t="str">
        <f>VLOOKUP(A506,[1]Kreise!$A$1:$C$53,3,FALSE)</f>
        <v>K030</v>
      </c>
      <c r="H506">
        <v>94.88258957807092</v>
      </c>
    </row>
    <row r="507" spans="1:8">
      <c r="A507">
        <v>1</v>
      </c>
      <c r="B507" t="s">
        <v>30</v>
      </c>
      <c r="C507">
        <v>2015</v>
      </c>
      <c r="D507" t="s">
        <v>11</v>
      </c>
      <c r="E507" t="s">
        <v>115</v>
      </c>
      <c r="F507" t="s">
        <v>13</v>
      </c>
      <c r="G507" t="str">
        <f>VLOOKUP(A507,[1]Kreise!$A$1:$C$53,3,FALSE)</f>
        <v>K031</v>
      </c>
      <c r="H507">
        <v>95.644149132521221</v>
      </c>
    </row>
    <row r="508" spans="1:8">
      <c r="A508">
        <v>2</v>
      </c>
      <c r="B508" t="s">
        <v>31</v>
      </c>
      <c r="C508">
        <v>2015</v>
      </c>
      <c r="D508" t="s">
        <v>11</v>
      </c>
      <c r="E508" t="s">
        <v>115</v>
      </c>
      <c r="F508" t="s">
        <v>13</v>
      </c>
      <c r="G508" t="str">
        <f>VLOOKUP(A508,[1]Kreise!$A$1:$C$53,3,FALSE)</f>
        <v>K032</v>
      </c>
      <c r="H508">
        <v>91.67620137299771</v>
      </c>
    </row>
    <row r="509" spans="1:8">
      <c r="A509">
        <v>3</v>
      </c>
      <c r="B509" t="s">
        <v>32</v>
      </c>
      <c r="C509">
        <v>2015</v>
      </c>
      <c r="D509" t="s">
        <v>11</v>
      </c>
      <c r="E509" t="s">
        <v>115</v>
      </c>
      <c r="F509" t="s">
        <v>13</v>
      </c>
      <c r="G509" t="str">
        <f>VLOOKUP(A509,[1]Kreise!$A$1:$C$53,3,FALSE)</f>
        <v>K033</v>
      </c>
      <c r="H509">
        <v>97.085492227979273</v>
      </c>
    </row>
    <row r="510" spans="1:8">
      <c r="A510">
        <v>4</v>
      </c>
      <c r="B510" t="s">
        <v>33</v>
      </c>
      <c r="C510">
        <v>2015</v>
      </c>
      <c r="D510" t="s">
        <v>11</v>
      </c>
      <c r="E510" t="s">
        <v>115</v>
      </c>
      <c r="F510" t="s">
        <v>13</v>
      </c>
      <c r="G510" t="str">
        <f>VLOOKUP(A510,[1]Kreise!$A$1:$C$53,3,FALSE)</f>
        <v>K034</v>
      </c>
      <c r="H510">
        <v>97.319513938527521</v>
      </c>
    </row>
    <row r="511" spans="1:8">
      <c r="A511">
        <v>0</v>
      </c>
      <c r="B511" t="s">
        <v>34</v>
      </c>
      <c r="C511">
        <v>2015</v>
      </c>
      <c r="D511" t="s">
        <v>11</v>
      </c>
      <c r="E511" t="s">
        <v>115</v>
      </c>
      <c r="F511" t="s">
        <v>13</v>
      </c>
      <c r="G511" t="str">
        <f>VLOOKUP(A511,[1]Kreise!$A$1:$C$53,3,FALSE)</f>
        <v>K030</v>
      </c>
      <c r="H511">
        <v>94.984355740968994</v>
      </c>
    </row>
    <row r="512" spans="1:8">
      <c r="A512">
        <v>1</v>
      </c>
      <c r="B512" t="s">
        <v>145</v>
      </c>
      <c r="C512">
        <v>2014</v>
      </c>
      <c r="D512" t="s">
        <v>11</v>
      </c>
      <c r="E512" t="s">
        <v>115</v>
      </c>
      <c r="F512" t="s">
        <v>13</v>
      </c>
      <c r="G512" t="str">
        <f>VLOOKUP(A512,[1]Kreise!$A$1:$C$53,3,FALSE)</f>
        <v>K031</v>
      </c>
      <c r="H512">
        <v>96.278118609406945</v>
      </c>
    </row>
    <row r="513" spans="1:8">
      <c r="A513">
        <v>2</v>
      </c>
      <c r="B513" t="s">
        <v>146</v>
      </c>
      <c r="C513">
        <v>2014</v>
      </c>
      <c r="D513" t="s">
        <v>11</v>
      </c>
      <c r="E513" t="s">
        <v>115</v>
      </c>
      <c r="F513" t="s">
        <v>13</v>
      </c>
      <c r="G513" t="str">
        <f>VLOOKUP(A513,[1]Kreise!$A$1:$C$53,3,FALSE)</f>
        <v>K032</v>
      </c>
      <c r="H513">
        <v>92.628571428571433</v>
      </c>
    </row>
    <row r="514" spans="1:8">
      <c r="A514">
        <v>3</v>
      </c>
      <c r="B514" t="s">
        <v>147</v>
      </c>
      <c r="C514">
        <v>2014</v>
      </c>
      <c r="D514" t="s">
        <v>11</v>
      </c>
      <c r="E514" t="s">
        <v>115</v>
      </c>
      <c r="F514" t="s">
        <v>13</v>
      </c>
      <c r="G514" t="str">
        <f>VLOOKUP(A514,[1]Kreise!$A$1:$C$53,3,FALSE)</f>
        <v>K033</v>
      </c>
      <c r="H514">
        <v>96.958855098389989</v>
      </c>
    </row>
    <row r="515" spans="1:8">
      <c r="A515">
        <v>4</v>
      </c>
      <c r="B515" t="s">
        <v>148</v>
      </c>
      <c r="C515">
        <v>2014</v>
      </c>
      <c r="D515" t="s">
        <v>11</v>
      </c>
      <c r="E515" t="s">
        <v>115</v>
      </c>
      <c r="F515" t="s">
        <v>13</v>
      </c>
      <c r="G515" t="str">
        <f>VLOOKUP(A515,[1]Kreise!$A$1:$C$53,3,FALSE)</f>
        <v>K034</v>
      </c>
      <c r="H515">
        <v>97.566291318561568</v>
      </c>
    </row>
    <row r="516" spans="1:8">
      <c r="A516">
        <v>0</v>
      </c>
      <c r="B516" t="s">
        <v>34</v>
      </c>
      <c r="C516">
        <v>2014</v>
      </c>
      <c r="D516" t="s">
        <v>11</v>
      </c>
      <c r="E516" t="s">
        <v>115</v>
      </c>
      <c r="F516" t="s">
        <v>13</v>
      </c>
      <c r="G516" t="str">
        <f>VLOOKUP(A516,[1]Kreise!$A$1:$C$53,3,FALSE)</f>
        <v>K030</v>
      </c>
      <c r="H516">
        <v>95.415647921760396</v>
      </c>
    </row>
    <row r="517" spans="1:8">
      <c r="A517">
        <v>1</v>
      </c>
      <c r="B517" t="s">
        <v>30</v>
      </c>
      <c r="C517">
        <v>2013</v>
      </c>
      <c r="D517" t="s">
        <v>11</v>
      </c>
      <c r="E517" t="s">
        <v>115</v>
      </c>
      <c r="F517" t="s">
        <v>13</v>
      </c>
      <c r="G517" t="str">
        <f>VLOOKUP(A517,[1]Kreise!$A$1:$C$53,3,FALSE)</f>
        <v>K031</v>
      </c>
      <c r="H517">
        <v>96.851633215269587</v>
      </c>
    </row>
    <row r="518" spans="1:8">
      <c r="A518">
        <v>2</v>
      </c>
      <c r="B518" t="s">
        <v>31</v>
      </c>
      <c r="C518">
        <v>2013</v>
      </c>
      <c r="D518" t="s">
        <v>11</v>
      </c>
      <c r="E518" t="s">
        <v>115</v>
      </c>
      <c r="F518" t="s">
        <v>13</v>
      </c>
      <c r="G518" t="str">
        <f>VLOOKUP(A518,[1]Kreise!$A$1:$C$53,3,FALSE)</f>
        <v>K032</v>
      </c>
      <c r="H518">
        <v>92.695805221472568</v>
      </c>
    </row>
    <row r="519" spans="1:8">
      <c r="A519">
        <v>3</v>
      </c>
      <c r="B519" t="s">
        <v>32</v>
      </c>
      <c r="C519">
        <v>2013</v>
      </c>
      <c r="D519" t="s">
        <v>11</v>
      </c>
      <c r="E519" t="s">
        <v>115</v>
      </c>
      <c r="F519" t="s">
        <v>13</v>
      </c>
      <c r="G519" t="str">
        <f>VLOOKUP(A519,[1]Kreise!$A$1:$C$53,3,FALSE)</f>
        <v>K033</v>
      </c>
      <c r="H519">
        <v>98.303030303030297</v>
      </c>
    </row>
    <row r="520" spans="1:8">
      <c r="A520">
        <v>4</v>
      </c>
      <c r="B520" t="s">
        <v>33</v>
      </c>
      <c r="C520">
        <v>2013</v>
      </c>
      <c r="D520" t="s">
        <v>11</v>
      </c>
      <c r="E520" t="s">
        <v>115</v>
      </c>
      <c r="F520" t="s">
        <v>13</v>
      </c>
      <c r="G520" t="str">
        <f>VLOOKUP(A520,[1]Kreise!$A$1:$C$53,3,FALSE)</f>
        <v>K034</v>
      </c>
      <c r="H520">
        <v>98.19678557428459</v>
      </c>
    </row>
    <row r="521" spans="1:8">
      <c r="A521">
        <v>0</v>
      </c>
      <c r="B521" t="s">
        <v>34</v>
      </c>
      <c r="C521">
        <v>2013</v>
      </c>
      <c r="D521" t="s">
        <v>11</v>
      </c>
      <c r="E521" t="s">
        <v>115</v>
      </c>
      <c r="F521" t="s">
        <v>13</v>
      </c>
      <c r="G521" t="str">
        <f>VLOOKUP(A521,[1]Kreise!$A$1:$C$53,3,FALSE)</f>
        <v>K030</v>
      </c>
      <c r="H521">
        <v>95.828865537207804</v>
      </c>
    </row>
    <row r="522" spans="1:8">
      <c r="A522">
        <v>1</v>
      </c>
      <c r="B522" t="s">
        <v>145</v>
      </c>
      <c r="C522">
        <v>2012</v>
      </c>
      <c r="D522" t="s">
        <v>11</v>
      </c>
      <c r="E522" t="s">
        <v>115</v>
      </c>
      <c r="F522" t="s">
        <v>13</v>
      </c>
      <c r="G522" t="str">
        <f>VLOOKUP(A522,[1]Kreise!$A$1:$C$53,3,FALSE)</f>
        <v>K031</v>
      </c>
      <c r="H522">
        <v>94.611457742484404</v>
      </c>
    </row>
    <row r="523" spans="1:8">
      <c r="A523">
        <v>2</v>
      </c>
      <c r="B523" t="s">
        <v>146</v>
      </c>
      <c r="C523">
        <v>2012</v>
      </c>
      <c r="D523" t="s">
        <v>11</v>
      </c>
      <c r="E523" t="s">
        <v>115</v>
      </c>
      <c r="F523" t="s">
        <v>13</v>
      </c>
      <c r="G523" t="str">
        <f>VLOOKUP(A523,[1]Kreise!$A$1:$C$53,3,FALSE)</f>
        <v>K032</v>
      </c>
      <c r="H523">
        <v>91.507135398538111</v>
      </c>
    </row>
    <row r="524" spans="1:8">
      <c r="A524">
        <v>3</v>
      </c>
      <c r="B524" t="s">
        <v>147</v>
      </c>
      <c r="C524">
        <v>2012</v>
      </c>
      <c r="D524" t="s">
        <v>11</v>
      </c>
      <c r="E524" t="s">
        <v>115</v>
      </c>
      <c r="F524" t="s">
        <v>13</v>
      </c>
      <c r="G524" t="str">
        <f>VLOOKUP(A524,[1]Kreise!$A$1:$C$53,3,FALSE)</f>
        <v>K033</v>
      </c>
      <c r="H524">
        <v>98.720292504570381</v>
      </c>
    </row>
    <row r="525" spans="1:8">
      <c r="A525">
        <v>4</v>
      </c>
      <c r="B525" t="s">
        <v>148</v>
      </c>
      <c r="C525">
        <v>2012</v>
      </c>
      <c r="D525" t="s">
        <v>11</v>
      </c>
      <c r="E525" t="s">
        <v>115</v>
      </c>
      <c r="F525" t="s">
        <v>13</v>
      </c>
      <c r="G525" t="str">
        <f>VLOOKUP(A525,[1]Kreise!$A$1:$C$53,3,FALSE)</f>
        <v>K034</v>
      </c>
      <c r="H525">
        <v>98.545861297539147</v>
      </c>
    </row>
    <row r="526" spans="1:8">
      <c r="A526">
        <v>0</v>
      </c>
      <c r="B526" t="s">
        <v>34</v>
      </c>
      <c r="C526">
        <v>2012</v>
      </c>
      <c r="D526" t="s">
        <v>11</v>
      </c>
      <c r="E526" t="s">
        <v>115</v>
      </c>
      <c r="F526" t="s">
        <v>13</v>
      </c>
      <c r="G526" t="str">
        <f>VLOOKUP(A526,[1]Kreise!$A$1:$C$53,3,FALSE)</f>
        <v>K030</v>
      </c>
      <c r="H526">
        <v>94.663606369244008</v>
      </c>
    </row>
    <row r="527" spans="1:8">
      <c r="A527">
        <v>1</v>
      </c>
      <c r="B527" t="s">
        <v>30</v>
      </c>
      <c r="C527">
        <v>2011</v>
      </c>
      <c r="D527" t="s">
        <v>11</v>
      </c>
      <c r="E527" t="s">
        <v>115</v>
      </c>
      <c r="F527" t="s">
        <v>13</v>
      </c>
      <c r="G527" t="str">
        <f>VLOOKUP(A527,[1]Kreise!$A$1:$C$53,3,FALSE)</f>
        <v>K031</v>
      </c>
      <c r="H527">
        <v>94.8072383949646</v>
      </c>
    </row>
    <row r="528" spans="1:8">
      <c r="A528">
        <v>2</v>
      </c>
      <c r="B528" t="s">
        <v>31</v>
      </c>
      <c r="C528">
        <v>2011</v>
      </c>
      <c r="D528" t="s">
        <v>11</v>
      </c>
      <c r="E528" t="s">
        <v>115</v>
      </c>
      <c r="F528" t="s">
        <v>13</v>
      </c>
      <c r="G528" t="str">
        <f>VLOOKUP(A528,[1]Kreise!$A$1:$C$53,3,FALSE)</f>
        <v>K032</v>
      </c>
      <c r="H528">
        <v>89.962018448182306</v>
      </c>
    </row>
    <row r="529" spans="1:8">
      <c r="A529">
        <v>3</v>
      </c>
      <c r="B529" t="s">
        <v>32</v>
      </c>
      <c r="C529">
        <v>2011</v>
      </c>
      <c r="D529" t="s">
        <v>11</v>
      </c>
      <c r="E529" t="s">
        <v>115</v>
      </c>
      <c r="F529" t="s">
        <v>13</v>
      </c>
      <c r="G529" t="str">
        <f>VLOOKUP(A529,[1]Kreise!$A$1:$C$53,3,FALSE)</f>
        <v>K033</v>
      </c>
      <c r="H529">
        <v>99.739583333333343</v>
      </c>
    </row>
    <row r="530" spans="1:8">
      <c r="A530">
        <v>4</v>
      </c>
      <c r="B530" t="s">
        <v>33</v>
      </c>
      <c r="C530">
        <v>2011</v>
      </c>
      <c r="D530" t="s">
        <v>11</v>
      </c>
      <c r="E530" t="s">
        <v>115</v>
      </c>
      <c r="F530" t="s">
        <v>13</v>
      </c>
      <c r="G530" t="str">
        <f>VLOOKUP(A530,[1]Kreise!$A$1:$C$53,3,FALSE)</f>
        <v>K034</v>
      </c>
      <c r="H530">
        <v>98.557692307692307</v>
      </c>
    </row>
    <row r="531" spans="1:8">
      <c r="A531">
        <v>0</v>
      </c>
      <c r="B531" t="s">
        <v>34</v>
      </c>
      <c r="C531">
        <v>2011</v>
      </c>
      <c r="D531" t="s">
        <v>11</v>
      </c>
      <c r="E531" t="s">
        <v>115</v>
      </c>
      <c r="F531" t="s">
        <v>13</v>
      </c>
      <c r="G531" t="str">
        <f>VLOOKUP(A531,[1]Kreise!$A$1:$C$53,3,FALSE)</f>
        <v>K030</v>
      </c>
      <c r="H531">
        <v>94.489301574485268</v>
      </c>
    </row>
    <row r="532" spans="1:8">
      <c r="A532">
        <v>1</v>
      </c>
      <c r="B532" t="s">
        <v>145</v>
      </c>
      <c r="C532">
        <v>2010</v>
      </c>
      <c r="D532" t="s">
        <v>11</v>
      </c>
      <c r="E532" t="s">
        <v>115</v>
      </c>
      <c r="F532" t="s">
        <v>13</v>
      </c>
      <c r="G532" t="str">
        <f>VLOOKUP(A532,[1]Kreise!$A$1:$C$53,3,FALSE)</f>
        <v>K031</v>
      </c>
      <c r="H532">
        <v>95.104333868378816</v>
      </c>
    </row>
    <row r="533" spans="1:8">
      <c r="A533">
        <v>2</v>
      </c>
      <c r="B533" t="s">
        <v>146</v>
      </c>
      <c r="C533">
        <v>2010</v>
      </c>
      <c r="D533" t="s">
        <v>11</v>
      </c>
      <c r="E533" t="s">
        <v>115</v>
      </c>
      <c r="F533" t="s">
        <v>13</v>
      </c>
      <c r="G533" t="str">
        <f>VLOOKUP(A533,[1]Kreise!$A$1:$C$53,3,FALSE)</f>
        <v>K032</v>
      </c>
      <c r="H533">
        <v>91.787709497206706</v>
      </c>
    </row>
    <row r="534" spans="1:8">
      <c r="A534">
        <v>3</v>
      </c>
      <c r="B534" t="s">
        <v>147</v>
      </c>
      <c r="C534">
        <v>2010</v>
      </c>
      <c r="D534" t="s">
        <v>11</v>
      </c>
      <c r="E534" t="s">
        <v>115</v>
      </c>
      <c r="F534" t="s">
        <v>13</v>
      </c>
      <c r="G534" t="str">
        <f>VLOOKUP(A534,[1]Kreise!$A$1:$C$53,3,FALSE)</f>
        <v>K033</v>
      </c>
      <c r="H534">
        <v>99.430199430199423</v>
      </c>
    </row>
    <row r="535" spans="1:8">
      <c r="A535">
        <v>4</v>
      </c>
      <c r="B535" t="s">
        <v>148</v>
      </c>
      <c r="C535">
        <v>2010</v>
      </c>
      <c r="D535" t="s">
        <v>11</v>
      </c>
      <c r="E535" t="s">
        <v>115</v>
      </c>
      <c r="F535" t="s">
        <v>13</v>
      </c>
      <c r="G535" t="str">
        <f>VLOOKUP(A535,[1]Kreise!$A$1:$C$53,3,FALSE)</f>
        <v>K034</v>
      </c>
      <c r="H535">
        <v>98.354525056095738</v>
      </c>
    </row>
    <row r="536" spans="1:8">
      <c r="A536">
        <v>0</v>
      </c>
      <c r="B536" t="s">
        <v>34</v>
      </c>
      <c r="C536">
        <v>2010</v>
      </c>
      <c r="D536" t="s">
        <v>11</v>
      </c>
      <c r="E536" t="s">
        <v>115</v>
      </c>
      <c r="F536" t="s">
        <v>13</v>
      </c>
      <c r="G536" t="str">
        <f>VLOOKUP(A536,[1]Kreise!$A$1:$C$53,3,FALSE)</f>
        <v>K030</v>
      </c>
      <c r="H536">
        <v>95.088907705334464</v>
      </c>
    </row>
    <row r="537" spans="1:8">
      <c r="A537">
        <v>1</v>
      </c>
      <c r="B537" t="s">
        <v>145</v>
      </c>
      <c r="C537">
        <v>2005</v>
      </c>
      <c r="D537" t="s">
        <v>11</v>
      </c>
      <c r="E537" t="s">
        <v>115</v>
      </c>
      <c r="F537" t="s">
        <v>13</v>
      </c>
      <c r="G537" t="str">
        <f>VLOOKUP(A537,[1]Kreise!$A$1:$C$53,3,FALSE)</f>
        <v>K031</v>
      </c>
      <c r="H537">
        <v>93.974820143884898</v>
      </c>
    </row>
    <row r="538" spans="1:8">
      <c r="A538">
        <v>2</v>
      </c>
      <c r="B538" t="s">
        <v>146</v>
      </c>
      <c r="C538">
        <v>2005</v>
      </c>
      <c r="D538" t="s">
        <v>11</v>
      </c>
      <c r="E538" t="s">
        <v>115</v>
      </c>
      <c r="F538" t="s">
        <v>13</v>
      </c>
      <c r="G538" t="str">
        <f>VLOOKUP(A538,[1]Kreise!$A$1:$C$53,3,FALSE)</f>
        <v>K032</v>
      </c>
      <c r="H538">
        <v>91.464891041162232</v>
      </c>
    </row>
    <row r="539" spans="1:8">
      <c r="A539">
        <v>3</v>
      </c>
      <c r="B539" t="s">
        <v>147</v>
      </c>
      <c r="C539">
        <v>2005</v>
      </c>
      <c r="D539" t="s">
        <v>11</v>
      </c>
      <c r="E539" t="s">
        <v>115</v>
      </c>
      <c r="F539" t="s">
        <v>13</v>
      </c>
      <c r="G539" t="str">
        <f>VLOOKUP(A539,[1]Kreise!$A$1:$C$53,3,FALSE)</f>
        <v>K033</v>
      </c>
      <c r="H539">
        <v>100</v>
      </c>
    </row>
    <row r="540" spans="1:8">
      <c r="A540">
        <v>4</v>
      </c>
      <c r="B540" t="s">
        <v>148</v>
      </c>
      <c r="C540">
        <v>2005</v>
      </c>
      <c r="D540" t="s">
        <v>11</v>
      </c>
      <c r="E540" t="s">
        <v>115</v>
      </c>
      <c r="F540" t="s">
        <v>13</v>
      </c>
      <c r="G540" t="str">
        <f>VLOOKUP(A540,[1]Kreise!$A$1:$C$53,3,FALSE)</f>
        <v>K034</v>
      </c>
      <c r="H540">
        <v>96.677215189873422</v>
      </c>
    </row>
    <row r="541" spans="1:8">
      <c r="A541">
        <v>0</v>
      </c>
      <c r="B541" t="s">
        <v>34</v>
      </c>
      <c r="C541">
        <v>2005</v>
      </c>
      <c r="D541" t="s">
        <v>11</v>
      </c>
      <c r="E541" t="s">
        <v>115</v>
      </c>
      <c r="F541" t="s">
        <v>13</v>
      </c>
      <c r="G541" t="str">
        <f>VLOOKUP(A541,[1]Kreise!$A$1:$C$53,3,FALSE)</f>
        <v>K030</v>
      </c>
      <c r="H541">
        <v>94.244935543278089</v>
      </c>
    </row>
    <row r="542" spans="1:8">
      <c r="A542">
        <v>1</v>
      </c>
      <c r="B542" t="s">
        <v>30</v>
      </c>
      <c r="C542">
        <v>2020</v>
      </c>
      <c r="D542" t="s">
        <v>12</v>
      </c>
      <c r="E542" t="s">
        <v>115</v>
      </c>
      <c r="F542" t="s">
        <v>13</v>
      </c>
      <c r="G542" t="str">
        <f>VLOOKUP(A542,[1]Kreise!$A$1:$C$53,3,FALSE)</f>
        <v>K031</v>
      </c>
      <c r="H542">
        <v>8.362480127186009</v>
      </c>
    </row>
    <row r="543" spans="1:8">
      <c r="A543">
        <v>2</v>
      </c>
      <c r="B543" t="s">
        <v>31</v>
      </c>
      <c r="C543">
        <v>2020</v>
      </c>
      <c r="D543" t="s">
        <v>12</v>
      </c>
      <c r="E543" t="s">
        <v>115</v>
      </c>
      <c r="F543" t="s">
        <v>13</v>
      </c>
      <c r="G543" t="str">
        <f>VLOOKUP(A543,[1]Kreise!$A$1:$C$53,3,FALSE)</f>
        <v>K032</v>
      </c>
      <c r="H543">
        <v>14.1396176078257</v>
      </c>
    </row>
    <row r="544" spans="1:8">
      <c r="A544">
        <v>3</v>
      </c>
      <c r="B544" t="s">
        <v>32</v>
      </c>
      <c r="C544">
        <v>2020</v>
      </c>
      <c r="D544" t="s">
        <v>12</v>
      </c>
      <c r="E544" t="s">
        <v>115</v>
      </c>
      <c r="F544" t="s">
        <v>13</v>
      </c>
      <c r="G544" t="str">
        <f>VLOOKUP(A544,[1]Kreise!$A$1:$C$53,3,FALSE)</f>
        <v>K033</v>
      </c>
      <c r="H544">
        <v>8.154296875</v>
      </c>
    </row>
    <row r="545" spans="1:8">
      <c r="A545">
        <v>4</v>
      </c>
      <c r="B545" t="s">
        <v>33</v>
      </c>
      <c r="C545">
        <v>2020</v>
      </c>
      <c r="D545" t="s">
        <v>12</v>
      </c>
      <c r="E545" t="s">
        <v>115</v>
      </c>
      <c r="F545" t="s">
        <v>13</v>
      </c>
      <c r="G545" t="str">
        <f>VLOOKUP(A545,[1]Kreise!$A$1:$C$53,3,FALSE)</f>
        <v>K034</v>
      </c>
      <c r="H545">
        <v>7.2225869993434015</v>
      </c>
    </row>
    <row r="546" spans="1:8">
      <c r="A546">
        <v>0</v>
      </c>
      <c r="B546" t="s">
        <v>34</v>
      </c>
      <c r="C546">
        <v>2020</v>
      </c>
      <c r="D546" t="s">
        <v>12</v>
      </c>
      <c r="E546" t="s">
        <v>115</v>
      </c>
      <c r="F546" t="s">
        <v>13</v>
      </c>
      <c r="G546" t="str">
        <f>VLOOKUP(A546,[1]Kreise!$A$1:$C$53,3,FALSE)</f>
        <v>K030</v>
      </c>
      <c r="H546">
        <v>10.096569050796891</v>
      </c>
    </row>
    <row r="547" spans="1:8">
      <c r="A547">
        <v>1</v>
      </c>
      <c r="B547" t="s">
        <v>30</v>
      </c>
      <c r="C547">
        <v>2019</v>
      </c>
      <c r="D547" t="s">
        <v>12</v>
      </c>
      <c r="E547" t="s">
        <v>115</v>
      </c>
      <c r="F547" t="s">
        <v>13</v>
      </c>
      <c r="G547" t="str">
        <f>VLOOKUP(A547,[1]Kreise!$A$1:$C$53,3,FALSE)</f>
        <v>K031</v>
      </c>
      <c r="H547">
        <v>6.6274388355528027</v>
      </c>
    </row>
    <row r="548" spans="1:8">
      <c r="A548">
        <v>2</v>
      </c>
      <c r="B548" t="s">
        <v>31</v>
      </c>
      <c r="C548">
        <v>2019</v>
      </c>
      <c r="D548" t="s">
        <v>12</v>
      </c>
      <c r="E548" t="s">
        <v>115</v>
      </c>
      <c r="F548" t="s">
        <v>13</v>
      </c>
      <c r="G548" t="str">
        <f>VLOOKUP(A548,[1]Kreise!$A$1:$C$53,3,FALSE)</f>
        <v>K032</v>
      </c>
      <c r="H548">
        <v>11.913758613025117</v>
      </c>
    </row>
    <row r="549" spans="1:8">
      <c r="A549">
        <v>3</v>
      </c>
      <c r="B549" t="s">
        <v>32</v>
      </c>
      <c r="C549">
        <v>2019</v>
      </c>
      <c r="D549" t="s">
        <v>12</v>
      </c>
      <c r="E549" t="s">
        <v>115</v>
      </c>
      <c r="F549" t="s">
        <v>13</v>
      </c>
      <c r="G549" t="str">
        <f>VLOOKUP(A549,[1]Kreise!$A$1:$C$53,3,FALSE)</f>
        <v>K033</v>
      </c>
      <c r="H549">
        <v>6.4856711915535454</v>
      </c>
    </row>
    <row r="550" spans="1:8">
      <c r="A550">
        <v>4</v>
      </c>
      <c r="B550" t="s">
        <v>33</v>
      </c>
      <c r="C550">
        <v>2019</v>
      </c>
      <c r="D550" t="s">
        <v>12</v>
      </c>
      <c r="E550" t="s">
        <v>115</v>
      </c>
      <c r="F550" t="s">
        <v>13</v>
      </c>
      <c r="G550" t="str">
        <f>VLOOKUP(A550,[1]Kreise!$A$1:$C$53,3,FALSE)</f>
        <v>K034</v>
      </c>
      <c r="H550">
        <v>6.2937062937062942</v>
      </c>
    </row>
    <row r="551" spans="1:8">
      <c r="A551">
        <v>0</v>
      </c>
      <c r="B551" t="s">
        <v>34</v>
      </c>
      <c r="C551">
        <v>2019</v>
      </c>
      <c r="D551" t="s">
        <v>12</v>
      </c>
      <c r="E551" t="s">
        <v>115</v>
      </c>
      <c r="F551" t="s">
        <v>13</v>
      </c>
      <c r="G551" t="str">
        <f>VLOOKUP(A551,[1]Kreise!$A$1:$C$53,3,FALSE)</f>
        <v>K030</v>
      </c>
      <c r="H551">
        <v>8.3962264150943398</v>
      </c>
    </row>
    <row r="552" spans="1:8">
      <c r="A552">
        <v>1</v>
      </c>
      <c r="B552" t="s">
        <v>30</v>
      </c>
      <c r="C552">
        <v>2018</v>
      </c>
      <c r="D552" t="s">
        <v>12</v>
      </c>
      <c r="E552" t="s">
        <v>115</v>
      </c>
      <c r="F552" t="s">
        <v>13</v>
      </c>
      <c r="G552" t="str">
        <f>VLOOKUP(A552,[1]Kreise!$A$1:$C$53,3,FALSE)</f>
        <v>K031</v>
      </c>
      <c r="H552">
        <v>7.008436080467229</v>
      </c>
    </row>
    <row r="553" spans="1:8">
      <c r="A553">
        <v>2</v>
      </c>
      <c r="B553" t="s">
        <v>31</v>
      </c>
      <c r="C553">
        <v>2018</v>
      </c>
      <c r="D553" t="s">
        <v>12</v>
      </c>
      <c r="E553" t="s">
        <v>115</v>
      </c>
      <c r="F553" t="s">
        <v>13</v>
      </c>
      <c r="G553" t="str">
        <f>VLOOKUP(A553,[1]Kreise!$A$1:$C$53,3,FALSE)</f>
        <v>K032</v>
      </c>
      <c r="H553">
        <v>10.069444444444445</v>
      </c>
    </row>
    <row r="554" spans="1:8">
      <c r="A554">
        <v>3</v>
      </c>
      <c r="B554" t="s">
        <v>32</v>
      </c>
      <c r="C554">
        <v>2018</v>
      </c>
      <c r="D554" t="s">
        <v>12</v>
      </c>
      <c r="E554" t="s">
        <v>115</v>
      </c>
      <c r="F554" t="s">
        <v>13</v>
      </c>
      <c r="G554" t="str">
        <f>VLOOKUP(A554,[1]Kreise!$A$1:$C$53,3,FALSE)</f>
        <v>K033</v>
      </c>
      <c r="H554">
        <v>6.1042183622828778</v>
      </c>
    </row>
    <row r="555" spans="1:8">
      <c r="A555">
        <v>4</v>
      </c>
      <c r="B555" t="s">
        <v>33</v>
      </c>
      <c r="C555">
        <v>2018</v>
      </c>
      <c r="D555" t="s">
        <v>12</v>
      </c>
      <c r="E555" t="s">
        <v>115</v>
      </c>
      <c r="F555" t="s">
        <v>13</v>
      </c>
      <c r="G555" t="str">
        <f>VLOOKUP(A555,[1]Kreise!$A$1:$C$53,3,FALSE)</f>
        <v>K034</v>
      </c>
      <c r="H555">
        <v>5.5537080146325239</v>
      </c>
    </row>
    <row r="556" spans="1:8">
      <c r="A556">
        <v>0</v>
      </c>
      <c r="B556" t="s">
        <v>34</v>
      </c>
      <c r="C556">
        <v>2018</v>
      </c>
      <c r="D556" t="s">
        <v>12</v>
      </c>
      <c r="E556" t="s">
        <v>115</v>
      </c>
      <c r="F556" t="s">
        <v>13</v>
      </c>
      <c r="G556" t="str">
        <f>VLOOKUP(A556,[1]Kreise!$A$1:$C$53,3,FALSE)</f>
        <v>K030</v>
      </c>
      <c r="H556">
        <v>7.5740502253702502</v>
      </c>
    </row>
    <row r="557" spans="1:8">
      <c r="A557">
        <v>1</v>
      </c>
      <c r="B557" t="s">
        <v>30</v>
      </c>
      <c r="C557">
        <v>2017</v>
      </c>
      <c r="D557" t="s">
        <v>12</v>
      </c>
      <c r="E557" t="s">
        <v>115</v>
      </c>
      <c r="F557" t="s">
        <v>13</v>
      </c>
      <c r="G557" t="str">
        <f>VLOOKUP(A557,[1]Kreise!$A$1:$C$53,3,FALSE)</f>
        <v>K031</v>
      </c>
      <c r="H557">
        <v>5.1935163744624546</v>
      </c>
    </row>
    <row r="558" spans="1:8">
      <c r="A558">
        <v>2</v>
      </c>
      <c r="B558" t="s">
        <v>31</v>
      </c>
      <c r="C558">
        <v>2017</v>
      </c>
      <c r="D558" t="s">
        <v>12</v>
      </c>
      <c r="E558" t="s">
        <v>115</v>
      </c>
      <c r="F558" t="s">
        <v>13</v>
      </c>
      <c r="G558" t="str">
        <f>VLOOKUP(A558,[1]Kreise!$A$1:$C$53,3,FALSE)</f>
        <v>K032</v>
      </c>
      <c r="H558">
        <v>8.9869281045751634</v>
      </c>
    </row>
    <row r="559" spans="1:8">
      <c r="A559">
        <v>3</v>
      </c>
      <c r="B559" t="s">
        <v>32</v>
      </c>
      <c r="C559">
        <v>2017</v>
      </c>
      <c r="D559" t="s">
        <v>12</v>
      </c>
      <c r="E559" t="s">
        <v>115</v>
      </c>
      <c r="F559" t="s">
        <v>13</v>
      </c>
      <c r="G559" t="str">
        <f>VLOOKUP(A559,[1]Kreise!$A$1:$C$53,3,FALSE)</f>
        <v>K033</v>
      </c>
      <c r="H559">
        <v>4.6719160104986877</v>
      </c>
    </row>
    <row r="560" spans="1:8">
      <c r="A560">
        <v>4</v>
      </c>
      <c r="B560" t="s">
        <v>33</v>
      </c>
      <c r="C560">
        <v>2017</v>
      </c>
      <c r="D560" t="s">
        <v>12</v>
      </c>
      <c r="E560" t="s">
        <v>115</v>
      </c>
      <c r="F560" t="s">
        <v>13</v>
      </c>
      <c r="G560" t="str">
        <f>VLOOKUP(A560,[1]Kreise!$A$1:$C$53,3,FALSE)</f>
        <v>K034</v>
      </c>
      <c r="H560">
        <v>4.4154009184033907</v>
      </c>
    </row>
    <row r="561" spans="1:8">
      <c r="A561">
        <v>0</v>
      </c>
      <c r="B561" t="s">
        <v>34</v>
      </c>
      <c r="C561">
        <v>2017</v>
      </c>
      <c r="D561" t="s">
        <v>12</v>
      </c>
      <c r="E561" t="s">
        <v>115</v>
      </c>
      <c r="F561" t="s">
        <v>13</v>
      </c>
      <c r="G561" t="str">
        <f>VLOOKUP(A561,[1]Kreise!$A$1:$C$53,3,FALSE)</f>
        <v>K030</v>
      </c>
      <c r="H561">
        <v>6.277505604915719</v>
      </c>
    </row>
    <row r="562" spans="1:8">
      <c r="A562">
        <v>1</v>
      </c>
      <c r="B562" t="s">
        <v>30</v>
      </c>
      <c r="C562">
        <v>2016</v>
      </c>
      <c r="D562" t="s">
        <v>12</v>
      </c>
      <c r="E562" t="s">
        <v>115</v>
      </c>
      <c r="F562" t="s">
        <v>13</v>
      </c>
      <c r="G562" t="str">
        <f>VLOOKUP(A562,[1]Kreise!$A$1:$C$53,3,FALSE)</f>
        <v>K031</v>
      </c>
      <c r="H562">
        <v>3.9439734611131585</v>
      </c>
    </row>
    <row r="563" spans="1:8">
      <c r="A563">
        <v>2</v>
      </c>
      <c r="B563" t="s">
        <v>31</v>
      </c>
      <c r="C563">
        <v>2016</v>
      </c>
      <c r="D563" t="s">
        <v>12</v>
      </c>
      <c r="E563" t="s">
        <v>115</v>
      </c>
      <c r="F563" t="s">
        <v>13</v>
      </c>
      <c r="G563" t="str">
        <f>VLOOKUP(A563,[1]Kreise!$A$1:$C$53,3,FALSE)</f>
        <v>K032</v>
      </c>
      <c r="H563">
        <v>7.55782678859602</v>
      </c>
    </row>
    <row r="564" spans="1:8">
      <c r="A564">
        <v>3</v>
      </c>
      <c r="B564" t="s">
        <v>32</v>
      </c>
      <c r="C564">
        <v>2016</v>
      </c>
      <c r="D564" t="s">
        <v>12</v>
      </c>
      <c r="E564" t="s">
        <v>115</v>
      </c>
      <c r="F564" t="s">
        <v>13</v>
      </c>
      <c r="G564" t="str">
        <f>VLOOKUP(A564,[1]Kreise!$A$1:$C$53,3,FALSE)</f>
        <v>K033</v>
      </c>
      <c r="H564">
        <v>2.7190332326283988</v>
      </c>
    </row>
    <row r="565" spans="1:8">
      <c r="A565">
        <v>4</v>
      </c>
      <c r="B565" t="s">
        <v>33</v>
      </c>
      <c r="C565">
        <v>2016</v>
      </c>
      <c r="D565" t="s">
        <v>12</v>
      </c>
      <c r="E565" t="s">
        <v>115</v>
      </c>
      <c r="F565" t="s">
        <v>13</v>
      </c>
      <c r="G565" t="str">
        <f>VLOOKUP(A565,[1]Kreise!$A$1:$C$53,3,FALSE)</f>
        <v>K034</v>
      </c>
      <c r="H565">
        <v>4.3795620437956204</v>
      </c>
    </row>
    <row r="566" spans="1:8">
      <c r="A566">
        <v>0</v>
      </c>
      <c r="B566" t="s">
        <v>34</v>
      </c>
      <c r="C566">
        <v>2016</v>
      </c>
      <c r="D566" t="s">
        <v>12</v>
      </c>
      <c r="E566" t="s">
        <v>115</v>
      </c>
      <c r="F566" t="s">
        <v>13</v>
      </c>
      <c r="G566" t="str">
        <f>VLOOKUP(A566,[1]Kreise!$A$1:$C$53,3,FALSE)</f>
        <v>K030</v>
      </c>
      <c r="H566">
        <v>5.1174104219290859</v>
      </c>
    </row>
    <row r="567" spans="1:8">
      <c r="A567">
        <v>1</v>
      </c>
      <c r="B567" t="s">
        <v>30</v>
      </c>
      <c r="C567">
        <v>2015</v>
      </c>
      <c r="D567" t="s">
        <v>12</v>
      </c>
      <c r="E567" t="s">
        <v>115</v>
      </c>
      <c r="F567" t="s">
        <v>13</v>
      </c>
      <c r="G567" t="str">
        <f>VLOOKUP(A567,[1]Kreise!$A$1:$C$53,3,FALSE)</f>
        <v>K031</v>
      </c>
      <c r="H567">
        <v>4.3558508674787744</v>
      </c>
    </row>
    <row r="568" spans="1:8">
      <c r="A568">
        <v>2</v>
      </c>
      <c r="B568" t="s">
        <v>31</v>
      </c>
      <c r="C568">
        <v>2015</v>
      </c>
      <c r="D568" t="s">
        <v>12</v>
      </c>
      <c r="E568" t="s">
        <v>115</v>
      </c>
      <c r="F568" t="s">
        <v>13</v>
      </c>
      <c r="G568" t="str">
        <f>VLOOKUP(A568,[1]Kreise!$A$1:$C$53,3,FALSE)</f>
        <v>K032</v>
      </c>
      <c r="H568">
        <v>8.3237986270022883</v>
      </c>
    </row>
    <row r="569" spans="1:8">
      <c r="A569">
        <v>3</v>
      </c>
      <c r="B569" t="s">
        <v>32</v>
      </c>
      <c r="C569">
        <v>2015</v>
      </c>
      <c r="D569" t="s">
        <v>12</v>
      </c>
      <c r="E569" t="s">
        <v>115</v>
      </c>
      <c r="F569" t="s">
        <v>13</v>
      </c>
      <c r="G569" t="str">
        <f>VLOOKUP(A569,[1]Kreise!$A$1:$C$53,3,FALSE)</f>
        <v>K033</v>
      </c>
      <c r="H569">
        <v>2.9145077720207255</v>
      </c>
    </row>
    <row r="570" spans="1:8">
      <c r="A570">
        <v>4</v>
      </c>
      <c r="B570" t="s">
        <v>33</v>
      </c>
      <c r="C570">
        <v>2015</v>
      </c>
      <c r="D570" t="s">
        <v>12</v>
      </c>
      <c r="E570" t="s">
        <v>115</v>
      </c>
      <c r="F570" t="s">
        <v>13</v>
      </c>
      <c r="G570" t="str">
        <f>VLOOKUP(A570,[1]Kreise!$A$1:$C$53,3,FALSE)</f>
        <v>K034</v>
      </c>
      <c r="H570">
        <v>2.6804860614724801</v>
      </c>
    </row>
    <row r="571" spans="1:8">
      <c r="A571">
        <v>0</v>
      </c>
      <c r="B571" t="s">
        <v>34</v>
      </c>
      <c r="C571">
        <v>2015</v>
      </c>
      <c r="D571" t="s">
        <v>12</v>
      </c>
      <c r="E571" t="s">
        <v>115</v>
      </c>
      <c r="F571" t="s">
        <v>13</v>
      </c>
      <c r="G571" t="str">
        <f>VLOOKUP(A571,[1]Kreise!$A$1:$C$53,3,FALSE)</f>
        <v>K030</v>
      </c>
      <c r="H571">
        <v>5.0156442590310037</v>
      </c>
    </row>
    <row r="572" spans="1:8">
      <c r="A572">
        <v>1</v>
      </c>
      <c r="B572" t="s">
        <v>145</v>
      </c>
      <c r="C572">
        <v>2014</v>
      </c>
      <c r="D572" t="s">
        <v>12</v>
      </c>
      <c r="E572" t="s">
        <v>115</v>
      </c>
      <c r="F572" t="s">
        <v>13</v>
      </c>
      <c r="G572" t="str">
        <f>VLOOKUP(A572,[1]Kreise!$A$1:$C$53,3,FALSE)</f>
        <v>K031</v>
      </c>
      <c r="H572">
        <v>3.7218813905930475</v>
      </c>
    </row>
    <row r="573" spans="1:8">
      <c r="A573">
        <v>2</v>
      </c>
      <c r="B573" t="s">
        <v>146</v>
      </c>
      <c r="C573">
        <v>2014</v>
      </c>
      <c r="D573" t="s">
        <v>12</v>
      </c>
      <c r="E573" t="s">
        <v>115</v>
      </c>
      <c r="F573" t="s">
        <v>13</v>
      </c>
      <c r="G573" t="str">
        <f>VLOOKUP(A573,[1]Kreise!$A$1:$C$53,3,FALSE)</f>
        <v>K032</v>
      </c>
      <c r="H573">
        <v>7.3714285714285719</v>
      </c>
    </row>
    <row r="574" spans="1:8">
      <c r="A574">
        <v>3</v>
      </c>
      <c r="B574" t="s">
        <v>147</v>
      </c>
      <c r="C574">
        <v>2014</v>
      </c>
      <c r="D574" t="s">
        <v>12</v>
      </c>
      <c r="E574" t="s">
        <v>115</v>
      </c>
      <c r="F574" t="s">
        <v>13</v>
      </c>
      <c r="G574" t="str">
        <f>VLOOKUP(A574,[1]Kreise!$A$1:$C$53,3,FALSE)</f>
        <v>K033</v>
      </c>
      <c r="H574">
        <v>3.0411449016100178</v>
      </c>
    </row>
    <row r="575" spans="1:8">
      <c r="A575">
        <v>4</v>
      </c>
      <c r="B575" t="s">
        <v>148</v>
      </c>
      <c r="C575">
        <v>2014</v>
      </c>
      <c r="D575" t="s">
        <v>12</v>
      </c>
      <c r="E575" t="s">
        <v>115</v>
      </c>
      <c r="F575" t="s">
        <v>13</v>
      </c>
      <c r="G575" t="str">
        <f>VLOOKUP(A575,[1]Kreise!$A$1:$C$53,3,FALSE)</f>
        <v>K034</v>
      </c>
      <c r="H575">
        <v>2.4337086814384308</v>
      </c>
    </row>
    <row r="576" spans="1:8">
      <c r="A576">
        <v>0</v>
      </c>
      <c r="B576" t="s">
        <v>34</v>
      </c>
      <c r="C576">
        <v>2014</v>
      </c>
      <c r="D576" t="s">
        <v>12</v>
      </c>
      <c r="E576" t="s">
        <v>115</v>
      </c>
      <c r="F576" t="s">
        <v>13</v>
      </c>
      <c r="G576" t="str">
        <f>VLOOKUP(A576,[1]Kreise!$A$1:$C$53,3,FALSE)</f>
        <v>K030</v>
      </c>
      <c r="H576">
        <v>4.5843520782396094</v>
      </c>
    </row>
    <row r="577" spans="1:8">
      <c r="A577">
        <v>1</v>
      </c>
      <c r="B577" t="s">
        <v>30</v>
      </c>
      <c r="C577">
        <v>2013</v>
      </c>
      <c r="D577" t="s">
        <v>12</v>
      </c>
      <c r="E577" t="s">
        <v>115</v>
      </c>
      <c r="F577" t="s">
        <v>13</v>
      </c>
      <c r="G577" t="str">
        <f>VLOOKUP(A577,[1]Kreise!$A$1:$C$53,3,FALSE)</f>
        <v>K031</v>
      </c>
      <c r="H577">
        <v>3.1483667847304213</v>
      </c>
    </row>
    <row r="578" spans="1:8">
      <c r="A578">
        <v>2</v>
      </c>
      <c r="B578" t="s">
        <v>31</v>
      </c>
      <c r="C578">
        <v>2013</v>
      </c>
      <c r="D578" t="s">
        <v>12</v>
      </c>
      <c r="E578" t="s">
        <v>115</v>
      </c>
      <c r="F578" t="s">
        <v>13</v>
      </c>
      <c r="G578" t="str">
        <f>VLOOKUP(A578,[1]Kreise!$A$1:$C$53,3,FALSE)</f>
        <v>K032</v>
      </c>
      <c r="H578">
        <v>7.3041947785274273</v>
      </c>
    </row>
    <row r="579" spans="1:8">
      <c r="A579">
        <v>3</v>
      </c>
      <c r="B579" t="s">
        <v>32</v>
      </c>
      <c r="C579">
        <v>2013</v>
      </c>
      <c r="D579" t="s">
        <v>12</v>
      </c>
      <c r="E579" t="s">
        <v>115</v>
      </c>
      <c r="F579" t="s">
        <v>13</v>
      </c>
      <c r="G579" t="str">
        <f>VLOOKUP(A579,[1]Kreise!$A$1:$C$53,3,FALSE)</f>
        <v>K033</v>
      </c>
      <c r="H579">
        <v>1.6969696969696972</v>
      </c>
    </row>
    <row r="580" spans="1:8">
      <c r="A580">
        <v>4</v>
      </c>
      <c r="B580" t="s">
        <v>33</v>
      </c>
      <c r="C580">
        <v>2013</v>
      </c>
      <c r="D580" t="s">
        <v>12</v>
      </c>
      <c r="E580" t="s">
        <v>115</v>
      </c>
      <c r="F580" t="s">
        <v>13</v>
      </c>
      <c r="G580" t="str">
        <f>VLOOKUP(A580,[1]Kreise!$A$1:$C$53,3,FALSE)</f>
        <v>K034</v>
      </c>
      <c r="H580">
        <v>1.8032144257154059</v>
      </c>
    </row>
    <row r="581" spans="1:8">
      <c r="A581">
        <v>0</v>
      </c>
      <c r="B581" t="s">
        <v>34</v>
      </c>
      <c r="C581">
        <v>2013</v>
      </c>
      <c r="D581" t="s">
        <v>12</v>
      </c>
      <c r="E581" t="s">
        <v>115</v>
      </c>
      <c r="F581" t="s">
        <v>13</v>
      </c>
      <c r="G581" t="str">
        <f>VLOOKUP(A581,[1]Kreise!$A$1:$C$53,3,FALSE)</f>
        <v>K030</v>
      </c>
      <c r="H581">
        <v>4.1711344627921942</v>
      </c>
    </row>
    <row r="582" spans="1:8">
      <c r="A582">
        <v>1</v>
      </c>
      <c r="B582" t="s">
        <v>145</v>
      </c>
      <c r="C582">
        <v>2012</v>
      </c>
      <c r="D582" t="s">
        <v>12</v>
      </c>
      <c r="E582" t="s">
        <v>115</v>
      </c>
      <c r="F582" t="s">
        <v>13</v>
      </c>
      <c r="G582" t="str">
        <f>VLOOKUP(A582,[1]Kreise!$A$1:$C$53,3,FALSE)</f>
        <v>K031</v>
      </c>
      <c r="H582">
        <v>5.3885422575155983</v>
      </c>
    </row>
    <row r="583" spans="1:8">
      <c r="A583">
        <v>2</v>
      </c>
      <c r="B583" t="s">
        <v>146</v>
      </c>
      <c r="C583">
        <v>2012</v>
      </c>
      <c r="D583" t="s">
        <v>12</v>
      </c>
      <c r="E583" t="s">
        <v>115</v>
      </c>
      <c r="F583" t="s">
        <v>13</v>
      </c>
      <c r="G583" t="str">
        <f>VLOOKUP(A583,[1]Kreise!$A$1:$C$53,3,FALSE)</f>
        <v>K032</v>
      </c>
      <c r="H583">
        <v>8.4928646014618874</v>
      </c>
    </row>
    <row r="584" spans="1:8">
      <c r="A584">
        <v>3</v>
      </c>
      <c r="B584" t="s">
        <v>147</v>
      </c>
      <c r="C584">
        <v>2012</v>
      </c>
      <c r="D584" t="s">
        <v>12</v>
      </c>
      <c r="E584" t="s">
        <v>115</v>
      </c>
      <c r="F584" t="s">
        <v>13</v>
      </c>
      <c r="G584" t="str">
        <f>VLOOKUP(A584,[1]Kreise!$A$1:$C$53,3,FALSE)</f>
        <v>K033</v>
      </c>
      <c r="H584">
        <v>1.2797074954296161</v>
      </c>
    </row>
    <row r="585" spans="1:8">
      <c r="A585">
        <v>4</v>
      </c>
      <c r="B585" t="s">
        <v>148</v>
      </c>
      <c r="C585">
        <v>2012</v>
      </c>
      <c r="D585" t="s">
        <v>12</v>
      </c>
      <c r="E585" t="s">
        <v>115</v>
      </c>
      <c r="F585" t="s">
        <v>13</v>
      </c>
      <c r="G585" t="str">
        <f>VLOOKUP(A585,[1]Kreise!$A$1:$C$53,3,FALSE)</f>
        <v>K034</v>
      </c>
      <c r="H585">
        <v>1.4541387024608501</v>
      </c>
    </row>
    <row r="586" spans="1:8">
      <c r="A586">
        <v>0</v>
      </c>
      <c r="B586" t="s">
        <v>34</v>
      </c>
      <c r="C586">
        <v>2012</v>
      </c>
      <c r="D586" t="s">
        <v>12</v>
      </c>
      <c r="E586" t="s">
        <v>115</v>
      </c>
      <c r="F586" t="s">
        <v>13</v>
      </c>
      <c r="G586" t="str">
        <f>VLOOKUP(A586,[1]Kreise!$A$1:$C$53,3,FALSE)</f>
        <v>K030</v>
      </c>
      <c r="H586">
        <v>5.3363936307559889</v>
      </c>
    </row>
    <row r="587" spans="1:8">
      <c r="A587">
        <v>1</v>
      </c>
      <c r="B587" t="s">
        <v>30</v>
      </c>
      <c r="C587">
        <v>2011</v>
      </c>
      <c r="D587" t="s">
        <v>12</v>
      </c>
      <c r="E587" t="s">
        <v>115</v>
      </c>
      <c r="F587" t="s">
        <v>13</v>
      </c>
      <c r="G587" t="str">
        <f>VLOOKUP(A587,[1]Kreise!$A$1:$C$53,3,FALSE)</f>
        <v>K031</v>
      </c>
      <c r="H587">
        <v>5.1927616050354048</v>
      </c>
    </row>
    <row r="588" spans="1:8">
      <c r="A588">
        <v>2</v>
      </c>
      <c r="B588" t="s">
        <v>31</v>
      </c>
      <c r="C588">
        <v>2011</v>
      </c>
      <c r="D588" t="s">
        <v>12</v>
      </c>
      <c r="E588" t="s">
        <v>115</v>
      </c>
      <c r="F588" t="s">
        <v>13</v>
      </c>
      <c r="G588" t="str">
        <f>VLOOKUP(A588,[1]Kreise!$A$1:$C$53,3,FALSE)</f>
        <v>K032</v>
      </c>
      <c r="H588">
        <v>10.037981551817689</v>
      </c>
    </row>
    <row r="589" spans="1:8">
      <c r="A589">
        <v>3</v>
      </c>
      <c r="B589" t="s">
        <v>32</v>
      </c>
      <c r="C589">
        <v>2011</v>
      </c>
      <c r="D589" t="s">
        <v>12</v>
      </c>
      <c r="E589" t="s">
        <v>115</v>
      </c>
      <c r="F589" t="s">
        <v>13</v>
      </c>
      <c r="G589" t="str">
        <f>VLOOKUP(A589,[1]Kreise!$A$1:$C$53,3,FALSE)</f>
        <v>K033</v>
      </c>
      <c r="H589">
        <v>0.26041666666666663</v>
      </c>
    </row>
    <row r="590" spans="1:8">
      <c r="A590">
        <v>4</v>
      </c>
      <c r="B590" t="s">
        <v>33</v>
      </c>
      <c r="C590">
        <v>2011</v>
      </c>
      <c r="D590" t="s">
        <v>12</v>
      </c>
      <c r="E590" t="s">
        <v>115</v>
      </c>
      <c r="F590" t="s">
        <v>13</v>
      </c>
      <c r="G590" t="str">
        <f>VLOOKUP(A590,[1]Kreise!$A$1:$C$53,3,FALSE)</f>
        <v>K034</v>
      </c>
      <c r="H590">
        <v>1.4423076923076923</v>
      </c>
    </row>
    <row r="591" spans="1:8">
      <c r="A591">
        <v>0</v>
      </c>
      <c r="B591" t="s">
        <v>34</v>
      </c>
      <c r="C591">
        <v>2011</v>
      </c>
      <c r="D591" t="s">
        <v>12</v>
      </c>
      <c r="E591" t="s">
        <v>115</v>
      </c>
      <c r="F591" t="s">
        <v>13</v>
      </c>
      <c r="G591" t="str">
        <f>VLOOKUP(A591,[1]Kreise!$A$1:$C$53,3,FALSE)</f>
        <v>K030</v>
      </c>
      <c r="H591">
        <v>5.5106984255147351</v>
      </c>
    </row>
    <row r="592" spans="1:8">
      <c r="A592">
        <v>1</v>
      </c>
      <c r="B592" t="s">
        <v>145</v>
      </c>
      <c r="C592">
        <v>2010</v>
      </c>
      <c r="D592" t="s">
        <v>12</v>
      </c>
      <c r="E592" t="s">
        <v>115</v>
      </c>
      <c r="F592" t="s">
        <v>13</v>
      </c>
      <c r="G592" t="str">
        <f>VLOOKUP(A592,[1]Kreise!$A$1:$C$53,3,FALSE)</f>
        <v>K031</v>
      </c>
      <c r="H592">
        <v>4.8956661316211871</v>
      </c>
    </row>
    <row r="593" spans="1:8">
      <c r="A593">
        <v>2</v>
      </c>
      <c r="B593" t="s">
        <v>146</v>
      </c>
      <c r="C593">
        <v>2010</v>
      </c>
      <c r="D593" t="s">
        <v>12</v>
      </c>
      <c r="E593" t="s">
        <v>115</v>
      </c>
      <c r="F593" t="s">
        <v>13</v>
      </c>
      <c r="G593" t="str">
        <f>VLOOKUP(A593,[1]Kreise!$A$1:$C$53,3,FALSE)</f>
        <v>K032</v>
      </c>
      <c r="H593">
        <v>8.2122905027932962</v>
      </c>
    </row>
    <row r="594" spans="1:8">
      <c r="A594">
        <v>3</v>
      </c>
      <c r="B594" t="s">
        <v>147</v>
      </c>
      <c r="C594">
        <v>2010</v>
      </c>
      <c r="D594" t="s">
        <v>12</v>
      </c>
      <c r="E594" t="s">
        <v>115</v>
      </c>
      <c r="F594" t="s">
        <v>13</v>
      </c>
      <c r="G594" t="str">
        <f>VLOOKUP(A594,[1]Kreise!$A$1:$C$53,3,FALSE)</f>
        <v>K033</v>
      </c>
      <c r="H594">
        <v>0.56980056980056981</v>
      </c>
    </row>
    <row r="595" spans="1:8">
      <c r="A595">
        <v>4</v>
      </c>
      <c r="B595" t="s">
        <v>148</v>
      </c>
      <c r="C595">
        <v>2010</v>
      </c>
      <c r="D595" t="s">
        <v>12</v>
      </c>
      <c r="E595" t="s">
        <v>115</v>
      </c>
      <c r="F595" t="s">
        <v>13</v>
      </c>
      <c r="G595" t="str">
        <f>VLOOKUP(A595,[1]Kreise!$A$1:$C$53,3,FALSE)</f>
        <v>K034</v>
      </c>
      <c r="H595">
        <v>1.6454749439042633</v>
      </c>
    </row>
    <row r="596" spans="1:8">
      <c r="A596">
        <v>0</v>
      </c>
      <c r="B596" t="s">
        <v>34</v>
      </c>
      <c r="C596">
        <v>2010</v>
      </c>
      <c r="D596" t="s">
        <v>12</v>
      </c>
      <c r="E596" t="s">
        <v>115</v>
      </c>
      <c r="F596" t="s">
        <v>13</v>
      </c>
      <c r="G596" t="str">
        <f>VLOOKUP(A596,[1]Kreise!$A$1:$C$53,3,FALSE)</f>
        <v>K030</v>
      </c>
      <c r="H596">
        <v>4.9110922946655373</v>
      </c>
    </row>
    <row r="597" spans="1:8">
      <c r="A597">
        <v>1</v>
      </c>
      <c r="B597" t="s">
        <v>145</v>
      </c>
      <c r="C597">
        <v>2005</v>
      </c>
      <c r="D597" t="s">
        <v>12</v>
      </c>
      <c r="E597" t="s">
        <v>115</v>
      </c>
      <c r="F597" t="s">
        <v>13</v>
      </c>
      <c r="G597" t="str">
        <f>VLOOKUP(A597,[1]Kreise!$A$1:$C$53,3,FALSE)</f>
        <v>K031</v>
      </c>
      <c r="H597">
        <v>6.0251798561151082</v>
      </c>
    </row>
    <row r="598" spans="1:8">
      <c r="A598">
        <v>2</v>
      </c>
      <c r="B598" t="s">
        <v>146</v>
      </c>
      <c r="C598">
        <v>2005</v>
      </c>
      <c r="D598" t="s">
        <v>12</v>
      </c>
      <c r="E598" t="s">
        <v>115</v>
      </c>
      <c r="F598" t="s">
        <v>13</v>
      </c>
      <c r="G598" t="str">
        <f>VLOOKUP(A598,[1]Kreise!$A$1:$C$53,3,FALSE)</f>
        <v>K032</v>
      </c>
      <c r="H598">
        <v>8.5351089588377729</v>
      </c>
    </row>
    <row r="599" spans="1:8">
      <c r="A599">
        <v>3</v>
      </c>
      <c r="B599" t="s">
        <v>147</v>
      </c>
      <c r="C599">
        <v>2005</v>
      </c>
      <c r="D599" t="s">
        <v>12</v>
      </c>
      <c r="E599" t="s">
        <v>115</v>
      </c>
      <c r="F599" t="s">
        <v>13</v>
      </c>
      <c r="G599" t="str">
        <f>VLOOKUP(A599,[1]Kreise!$A$1:$C$53,3,FALSE)</f>
        <v>K033</v>
      </c>
      <c r="H599">
        <v>0</v>
      </c>
    </row>
    <row r="600" spans="1:8">
      <c r="A600">
        <v>4</v>
      </c>
      <c r="B600" t="s">
        <v>148</v>
      </c>
      <c r="C600">
        <v>2005</v>
      </c>
      <c r="D600" t="s">
        <v>12</v>
      </c>
      <c r="E600" t="s">
        <v>115</v>
      </c>
      <c r="F600" t="s">
        <v>13</v>
      </c>
      <c r="G600" t="str">
        <f>VLOOKUP(A600,[1]Kreise!$A$1:$C$53,3,FALSE)</f>
        <v>K034</v>
      </c>
      <c r="H600">
        <v>3.3227848101265818</v>
      </c>
    </row>
    <row r="601" spans="1:8">
      <c r="A601">
        <v>0</v>
      </c>
      <c r="B601" t="s">
        <v>34</v>
      </c>
      <c r="C601">
        <v>2005</v>
      </c>
      <c r="D601" t="s">
        <v>12</v>
      </c>
      <c r="E601" t="s">
        <v>115</v>
      </c>
      <c r="F601" t="s">
        <v>13</v>
      </c>
      <c r="G601" t="str">
        <f>VLOOKUP(A601,[1]Kreise!$A$1:$C$53,3,FALSE)</f>
        <v>K030</v>
      </c>
      <c r="H601">
        <v>5.7550644567219154</v>
      </c>
    </row>
    <row r="602" spans="1:8">
      <c r="A602">
        <v>1</v>
      </c>
      <c r="B602" t="s">
        <v>30</v>
      </c>
      <c r="C602">
        <v>2020</v>
      </c>
      <c r="D602" t="s">
        <v>11</v>
      </c>
      <c r="E602" t="s">
        <v>9</v>
      </c>
      <c r="F602" t="s">
        <v>13</v>
      </c>
      <c r="G602" t="str">
        <f>VLOOKUP(A602,[1]Kreise!$A$1:$C$53,3,FALSE)</f>
        <v>K031</v>
      </c>
      <c r="H602">
        <v>89.00709219858156</v>
      </c>
    </row>
    <row r="603" spans="1:8">
      <c r="A603">
        <v>2</v>
      </c>
      <c r="B603" t="s">
        <v>31</v>
      </c>
      <c r="C603">
        <v>2020</v>
      </c>
      <c r="D603" t="s">
        <v>11</v>
      </c>
      <c r="E603" t="s">
        <v>9</v>
      </c>
      <c r="F603" t="s">
        <v>13</v>
      </c>
      <c r="G603" t="str">
        <f>VLOOKUP(A603,[1]Kreise!$A$1:$C$53,3,FALSE)</f>
        <v>K032</v>
      </c>
      <c r="H603">
        <v>86.196319018404907</v>
      </c>
    </row>
    <row r="604" spans="1:8">
      <c r="A604">
        <v>3</v>
      </c>
      <c r="B604" t="s">
        <v>32</v>
      </c>
      <c r="C604">
        <v>2020</v>
      </c>
      <c r="D604" t="s">
        <v>11</v>
      </c>
      <c r="E604" t="s">
        <v>9</v>
      </c>
      <c r="F604" t="s">
        <v>13</v>
      </c>
      <c r="G604" t="str">
        <f>VLOOKUP(A604,[1]Kreise!$A$1:$C$53,3,FALSE)</f>
        <v>K033</v>
      </c>
      <c r="H604">
        <v>96.739130434782609</v>
      </c>
    </row>
    <row r="605" spans="1:8">
      <c r="A605">
        <v>4</v>
      </c>
      <c r="B605" t="s">
        <v>33</v>
      </c>
      <c r="C605">
        <v>2020</v>
      </c>
      <c r="D605" t="s">
        <v>11</v>
      </c>
      <c r="E605" t="s">
        <v>9</v>
      </c>
      <c r="F605" t="s">
        <v>13</v>
      </c>
      <c r="G605" t="str">
        <f>VLOOKUP(A605,[1]Kreise!$A$1:$C$53,3,FALSE)</f>
        <v>K034</v>
      </c>
      <c r="H605">
        <v>88.888888888888886</v>
      </c>
    </row>
    <row r="606" spans="1:8">
      <c r="A606">
        <v>0</v>
      </c>
      <c r="B606" t="s">
        <v>34</v>
      </c>
      <c r="C606">
        <v>2020</v>
      </c>
      <c r="D606" t="s">
        <v>11</v>
      </c>
      <c r="E606" t="s">
        <v>9</v>
      </c>
      <c r="F606" t="s">
        <v>13</v>
      </c>
      <c r="G606" t="str">
        <f>VLOOKUP(A606,[1]Kreise!$A$1:$C$53,3,FALSE)</f>
        <v>K030</v>
      </c>
      <c r="H606">
        <v>89.321789321789325</v>
      </c>
    </row>
    <row r="607" spans="1:8">
      <c r="A607">
        <v>1</v>
      </c>
      <c r="B607" t="s">
        <v>30</v>
      </c>
      <c r="C607">
        <v>2019</v>
      </c>
      <c r="D607" t="s">
        <v>11</v>
      </c>
      <c r="E607" t="s">
        <v>9</v>
      </c>
      <c r="F607" t="s">
        <v>13</v>
      </c>
      <c r="G607" t="str">
        <f>VLOOKUP(A607,[1]Kreise!$A$1:$C$53,3,FALSE)</f>
        <v>K031</v>
      </c>
      <c r="H607">
        <v>89.743589743589752</v>
      </c>
    </row>
    <row r="608" spans="1:8">
      <c r="A608">
        <v>2</v>
      </c>
      <c r="B608" t="s">
        <v>31</v>
      </c>
      <c r="C608">
        <v>2019</v>
      </c>
      <c r="D608" t="s">
        <v>11</v>
      </c>
      <c r="E608" t="s">
        <v>9</v>
      </c>
      <c r="F608" t="s">
        <v>13</v>
      </c>
      <c r="G608" t="str">
        <f>VLOOKUP(A608,[1]Kreise!$A$1:$C$53,3,FALSE)</f>
        <v>K032</v>
      </c>
      <c r="H608">
        <v>93.430656934306569</v>
      </c>
    </row>
    <row r="609" spans="1:8">
      <c r="A609">
        <v>3</v>
      </c>
      <c r="B609" t="s">
        <v>32</v>
      </c>
      <c r="C609">
        <v>2019</v>
      </c>
      <c r="D609" t="s">
        <v>11</v>
      </c>
      <c r="E609" t="s">
        <v>9</v>
      </c>
      <c r="F609" t="s">
        <v>13</v>
      </c>
      <c r="G609" t="str">
        <f>VLOOKUP(A609,[1]Kreise!$A$1:$C$53,3,FALSE)</f>
        <v>K033</v>
      </c>
      <c r="H609">
        <v>91.807909604519779</v>
      </c>
    </row>
    <row r="610" spans="1:8">
      <c r="A610">
        <v>4</v>
      </c>
      <c r="B610" t="s">
        <v>33</v>
      </c>
      <c r="C610">
        <v>2019</v>
      </c>
      <c r="D610" t="s">
        <v>11</v>
      </c>
      <c r="E610" t="s">
        <v>9</v>
      </c>
      <c r="F610" t="s">
        <v>13</v>
      </c>
      <c r="G610" t="str">
        <f>VLOOKUP(A610,[1]Kreise!$A$1:$C$53,3,FALSE)</f>
        <v>K034</v>
      </c>
      <c r="H610">
        <v>92.620624408703875</v>
      </c>
    </row>
    <row r="611" spans="1:8">
      <c r="A611">
        <v>0</v>
      </c>
      <c r="B611" t="s">
        <v>34</v>
      </c>
      <c r="C611">
        <v>2019</v>
      </c>
      <c r="D611" t="s">
        <v>11</v>
      </c>
      <c r="E611" t="s">
        <v>9</v>
      </c>
      <c r="F611" t="s">
        <v>13</v>
      </c>
      <c r="G611" t="str">
        <f>VLOOKUP(A611,[1]Kreise!$A$1:$C$53,3,FALSE)</f>
        <v>K030</v>
      </c>
      <c r="H611">
        <v>92.169179229480733</v>
      </c>
    </row>
    <row r="612" spans="1:8">
      <c r="A612">
        <v>1</v>
      </c>
      <c r="B612" t="s">
        <v>30</v>
      </c>
      <c r="C612">
        <v>2018</v>
      </c>
      <c r="D612" t="s">
        <v>11</v>
      </c>
      <c r="E612" t="s">
        <v>9</v>
      </c>
      <c r="F612" t="s">
        <v>13</v>
      </c>
      <c r="G612" t="str">
        <f>VLOOKUP(A612,[1]Kreise!$A$1:$C$53,3,FALSE)</f>
        <v>K031</v>
      </c>
      <c r="H612">
        <v>88.603988603988597</v>
      </c>
    </row>
    <row r="613" spans="1:8">
      <c r="A613">
        <v>2</v>
      </c>
      <c r="B613" t="s">
        <v>31</v>
      </c>
      <c r="C613">
        <v>2018</v>
      </c>
      <c r="D613" t="s">
        <v>11</v>
      </c>
      <c r="E613" t="s">
        <v>9</v>
      </c>
      <c r="F613" t="s">
        <v>13</v>
      </c>
      <c r="G613" t="str">
        <f>VLOOKUP(A613,[1]Kreise!$A$1:$C$53,3,FALSE)</f>
        <v>K032</v>
      </c>
      <c r="H613">
        <v>92.05175600739372</v>
      </c>
    </row>
    <row r="614" spans="1:8">
      <c r="A614">
        <v>3</v>
      </c>
      <c r="B614" t="s">
        <v>32</v>
      </c>
      <c r="C614">
        <v>2018</v>
      </c>
      <c r="D614" t="s">
        <v>11</v>
      </c>
      <c r="E614" t="s">
        <v>9</v>
      </c>
      <c r="F614" t="s">
        <v>13</v>
      </c>
      <c r="G614" t="str">
        <f>VLOOKUP(A614,[1]Kreise!$A$1:$C$53,3,FALSE)</f>
        <v>K033</v>
      </c>
      <c r="H614">
        <v>90.965732087227408</v>
      </c>
    </row>
    <row r="615" spans="1:8">
      <c r="A615">
        <v>4</v>
      </c>
      <c r="B615" t="s">
        <v>33</v>
      </c>
      <c r="C615">
        <v>2018</v>
      </c>
      <c r="D615" t="s">
        <v>11</v>
      </c>
      <c r="E615" t="s">
        <v>9</v>
      </c>
      <c r="F615" t="s">
        <v>13</v>
      </c>
      <c r="G615" t="str">
        <f>VLOOKUP(A615,[1]Kreise!$A$1:$C$53,3,FALSE)</f>
        <v>K034</v>
      </c>
      <c r="H615">
        <v>91.062801932367151</v>
      </c>
    </row>
    <row r="616" spans="1:8">
      <c r="A616">
        <v>0</v>
      </c>
      <c r="B616" t="s">
        <v>34</v>
      </c>
      <c r="C616">
        <v>2018</v>
      </c>
      <c r="D616" t="s">
        <v>11</v>
      </c>
      <c r="E616" t="s">
        <v>9</v>
      </c>
      <c r="F616" t="s">
        <v>13</v>
      </c>
      <c r="G616" t="str">
        <f>VLOOKUP(A616,[1]Kreise!$A$1:$C$53,3,FALSE)</f>
        <v>K030</v>
      </c>
      <c r="H616">
        <v>90.886820186183243</v>
      </c>
    </row>
    <row r="617" spans="1:8">
      <c r="A617">
        <v>1</v>
      </c>
      <c r="B617" t="s">
        <v>30</v>
      </c>
      <c r="C617">
        <v>2017</v>
      </c>
      <c r="D617" t="s">
        <v>11</v>
      </c>
      <c r="E617" t="s">
        <v>9</v>
      </c>
      <c r="F617" t="s">
        <v>13</v>
      </c>
      <c r="G617" t="str">
        <f>VLOOKUP(A617,[1]Kreise!$A$1:$C$53,3,FALSE)</f>
        <v>K031</v>
      </c>
      <c r="H617">
        <v>89.075630252100851</v>
      </c>
    </row>
    <row r="618" spans="1:8">
      <c r="A618">
        <v>2</v>
      </c>
      <c r="B618" t="s">
        <v>31</v>
      </c>
      <c r="C618">
        <v>2017</v>
      </c>
      <c r="D618" t="s">
        <v>11</v>
      </c>
      <c r="E618" t="s">
        <v>9</v>
      </c>
      <c r="F618" t="s">
        <v>13</v>
      </c>
      <c r="G618" t="str">
        <f>VLOOKUP(A618,[1]Kreise!$A$1:$C$53,3,FALSE)</f>
        <v>K032</v>
      </c>
      <c r="H618">
        <v>91.187739463601531</v>
      </c>
    </row>
    <row r="619" spans="1:8">
      <c r="A619">
        <v>3</v>
      </c>
      <c r="B619" t="s">
        <v>32</v>
      </c>
      <c r="C619">
        <v>2017</v>
      </c>
      <c r="D619" t="s">
        <v>11</v>
      </c>
      <c r="E619" t="s">
        <v>9</v>
      </c>
      <c r="F619" t="s">
        <v>13</v>
      </c>
      <c r="G619" t="str">
        <f>VLOOKUP(A619,[1]Kreise!$A$1:$C$53,3,FALSE)</f>
        <v>K033</v>
      </c>
      <c r="H619">
        <v>93.527508090614887</v>
      </c>
    </row>
    <row r="620" spans="1:8">
      <c r="A620">
        <v>4</v>
      </c>
      <c r="B620" t="s">
        <v>33</v>
      </c>
      <c r="C620">
        <v>2017</v>
      </c>
      <c r="D620" t="s">
        <v>11</v>
      </c>
      <c r="E620" t="s">
        <v>9</v>
      </c>
      <c r="F620" t="s">
        <v>13</v>
      </c>
      <c r="G620" t="str">
        <f>VLOOKUP(A620,[1]Kreise!$A$1:$C$53,3,FALSE)</f>
        <v>K034</v>
      </c>
      <c r="H620">
        <v>92.167381974248926</v>
      </c>
    </row>
    <row r="621" spans="1:8">
      <c r="A621">
        <v>0</v>
      </c>
      <c r="B621" t="s">
        <v>34</v>
      </c>
      <c r="C621">
        <v>2017</v>
      </c>
      <c r="D621" t="s">
        <v>11</v>
      </c>
      <c r="E621" t="s">
        <v>9</v>
      </c>
      <c r="F621" t="s">
        <v>13</v>
      </c>
      <c r="G621" t="str">
        <f>VLOOKUP(A621,[1]Kreise!$A$1:$C$53,3,FALSE)</f>
        <v>K030</v>
      </c>
      <c r="H621">
        <v>91.603773584905653</v>
      </c>
    </row>
    <row r="622" spans="1:8">
      <c r="A622">
        <v>1</v>
      </c>
      <c r="B622" t="s">
        <v>30</v>
      </c>
      <c r="C622">
        <v>2016</v>
      </c>
      <c r="D622" t="s">
        <v>11</v>
      </c>
      <c r="E622" t="s">
        <v>9</v>
      </c>
      <c r="F622" t="s">
        <v>13</v>
      </c>
      <c r="G622" t="str">
        <f>VLOOKUP(A622,[1]Kreise!$A$1:$C$53,3,FALSE)</f>
        <v>K031</v>
      </c>
      <c r="H622">
        <v>90.196078431372555</v>
      </c>
    </row>
    <row r="623" spans="1:8">
      <c r="A623">
        <v>2</v>
      </c>
      <c r="B623" t="s">
        <v>31</v>
      </c>
      <c r="C623">
        <v>2016</v>
      </c>
      <c r="D623" t="s">
        <v>11</v>
      </c>
      <c r="E623" t="s">
        <v>9</v>
      </c>
      <c r="F623" t="s">
        <v>13</v>
      </c>
      <c r="G623" t="str">
        <f>VLOOKUP(A623,[1]Kreise!$A$1:$C$53,3,FALSE)</f>
        <v>K032</v>
      </c>
      <c r="H623">
        <v>92.199687987519496</v>
      </c>
    </row>
    <row r="624" spans="1:8">
      <c r="A624">
        <v>3</v>
      </c>
      <c r="B624" t="s">
        <v>32</v>
      </c>
      <c r="C624">
        <v>2016</v>
      </c>
      <c r="D624" t="s">
        <v>11</v>
      </c>
      <c r="E624" t="s">
        <v>9</v>
      </c>
      <c r="F624" t="s">
        <v>13</v>
      </c>
      <c r="G624" t="str">
        <f>VLOOKUP(A624,[1]Kreise!$A$1:$C$53,3,FALSE)</f>
        <v>K033</v>
      </c>
      <c r="H624">
        <v>92.957746478873233</v>
      </c>
    </row>
    <row r="625" spans="1:8">
      <c r="A625">
        <v>4</v>
      </c>
      <c r="B625" t="s">
        <v>33</v>
      </c>
      <c r="C625">
        <v>2016</v>
      </c>
      <c r="D625" t="s">
        <v>11</v>
      </c>
      <c r="E625" t="s">
        <v>9</v>
      </c>
      <c r="F625" t="s">
        <v>13</v>
      </c>
      <c r="G625" t="str">
        <f>VLOOKUP(A625,[1]Kreise!$A$1:$C$53,3,FALSE)</f>
        <v>K034</v>
      </c>
      <c r="H625">
        <v>93.1640625</v>
      </c>
    </row>
    <row r="626" spans="1:8">
      <c r="A626">
        <v>0</v>
      </c>
      <c r="B626" t="s">
        <v>34</v>
      </c>
      <c r="C626">
        <v>2016</v>
      </c>
      <c r="D626" t="s">
        <v>11</v>
      </c>
      <c r="E626" t="s">
        <v>9</v>
      </c>
      <c r="F626" t="s">
        <v>13</v>
      </c>
      <c r="G626" t="str">
        <f>VLOOKUP(A626,[1]Kreise!$A$1:$C$53,3,FALSE)</f>
        <v>K030</v>
      </c>
      <c r="H626">
        <v>92.380560131795718</v>
      </c>
    </row>
    <row r="627" spans="1:8">
      <c r="A627">
        <v>1</v>
      </c>
      <c r="B627" t="s">
        <v>30</v>
      </c>
      <c r="C627">
        <v>2015</v>
      </c>
      <c r="D627" t="s">
        <v>11</v>
      </c>
      <c r="E627" t="s">
        <v>9</v>
      </c>
      <c r="F627" t="s">
        <v>13</v>
      </c>
      <c r="G627" t="str">
        <f>VLOOKUP(A627,[1]Kreise!$A$1:$C$53,3,FALSE)</f>
        <v>K031</v>
      </c>
      <c r="H627">
        <v>89.555125725338485</v>
      </c>
    </row>
    <row r="628" spans="1:8">
      <c r="A628">
        <v>2</v>
      </c>
      <c r="B628" t="s">
        <v>31</v>
      </c>
      <c r="C628">
        <v>2015</v>
      </c>
      <c r="D628" t="s">
        <v>11</v>
      </c>
      <c r="E628" t="s">
        <v>9</v>
      </c>
      <c r="F628" t="s">
        <v>13</v>
      </c>
      <c r="G628" t="str">
        <f>VLOOKUP(A628,[1]Kreise!$A$1:$C$53,3,FALSE)</f>
        <v>K032</v>
      </c>
      <c r="H628">
        <v>90.701219512195124</v>
      </c>
    </row>
    <row r="629" spans="1:8">
      <c r="A629">
        <v>3</v>
      </c>
      <c r="B629" t="s">
        <v>32</v>
      </c>
      <c r="C629">
        <v>2015</v>
      </c>
      <c r="D629" t="s">
        <v>11</v>
      </c>
      <c r="E629" t="s">
        <v>9</v>
      </c>
      <c r="F629" t="s">
        <v>13</v>
      </c>
      <c r="G629" t="str">
        <f>VLOOKUP(A629,[1]Kreise!$A$1:$C$53,3,FALSE)</f>
        <v>K033</v>
      </c>
      <c r="H629">
        <v>92.688172043010752</v>
      </c>
    </row>
    <row r="630" spans="1:8">
      <c r="A630">
        <v>4</v>
      </c>
      <c r="B630" t="s">
        <v>33</v>
      </c>
      <c r="C630">
        <v>2015</v>
      </c>
      <c r="D630" t="s">
        <v>11</v>
      </c>
      <c r="E630" t="s">
        <v>9</v>
      </c>
      <c r="F630" t="s">
        <v>13</v>
      </c>
      <c r="G630" t="str">
        <f>VLOOKUP(A630,[1]Kreise!$A$1:$C$53,3,FALSE)</f>
        <v>K034</v>
      </c>
      <c r="H630">
        <v>93.224699828473405</v>
      </c>
    </row>
    <row r="631" spans="1:8">
      <c r="A631">
        <v>0</v>
      </c>
      <c r="B631" t="s">
        <v>34</v>
      </c>
      <c r="C631">
        <v>2015</v>
      </c>
      <c r="D631" t="s">
        <v>11</v>
      </c>
      <c r="E631" t="s">
        <v>9</v>
      </c>
      <c r="F631" t="s">
        <v>13</v>
      </c>
      <c r="G631" t="str">
        <f>VLOOKUP(A631,[1]Kreise!$A$1:$C$53,3,FALSE)</f>
        <v>K030</v>
      </c>
      <c r="H631">
        <v>91.868758915834519</v>
      </c>
    </row>
    <row r="632" spans="1:8">
      <c r="A632">
        <v>1</v>
      </c>
      <c r="B632" t="s">
        <v>145</v>
      </c>
      <c r="C632">
        <v>2014</v>
      </c>
      <c r="D632" t="s">
        <v>11</v>
      </c>
      <c r="E632" t="s">
        <v>9</v>
      </c>
      <c r="F632" t="s">
        <v>13</v>
      </c>
      <c r="G632" t="str">
        <f>VLOOKUP(A632,[1]Kreise!$A$1:$C$53,3,FALSE)</f>
        <v>K031</v>
      </c>
      <c r="H632">
        <v>91.840607210626189</v>
      </c>
    </row>
    <row r="633" spans="1:8">
      <c r="A633">
        <v>2</v>
      </c>
      <c r="B633" t="s">
        <v>146</v>
      </c>
      <c r="C633">
        <v>2014</v>
      </c>
      <c r="D633" t="s">
        <v>11</v>
      </c>
      <c r="E633" t="s">
        <v>9</v>
      </c>
      <c r="F633" t="s">
        <v>13</v>
      </c>
      <c r="G633" t="str">
        <f>VLOOKUP(A633,[1]Kreise!$A$1:$C$53,3,FALSE)</f>
        <v>K032</v>
      </c>
      <c r="H633">
        <v>86.526576019777508</v>
      </c>
    </row>
    <row r="634" spans="1:8">
      <c r="A634">
        <v>3</v>
      </c>
      <c r="B634" t="s">
        <v>147</v>
      </c>
      <c r="C634">
        <v>2014</v>
      </c>
      <c r="D634" t="s">
        <v>11</v>
      </c>
      <c r="E634" t="s">
        <v>9</v>
      </c>
      <c r="F634" t="s">
        <v>13</v>
      </c>
      <c r="G634" t="str">
        <f>VLOOKUP(A634,[1]Kreise!$A$1:$C$53,3,FALSE)</f>
        <v>K033</v>
      </c>
      <c r="H634">
        <v>90.121317157712298</v>
      </c>
    </row>
    <row r="635" spans="1:8">
      <c r="A635">
        <v>4</v>
      </c>
      <c r="B635" t="s">
        <v>148</v>
      </c>
      <c r="C635">
        <v>2014</v>
      </c>
      <c r="D635" t="s">
        <v>11</v>
      </c>
      <c r="E635" t="s">
        <v>9</v>
      </c>
      <c r="F635" t="s">
        <v>13</v>
      </c>
      <c r="G635" t="str">
        <f>VLOOKUP(A635,[1]Kreise!$A$1:$C$53,3,FALSE)</f>
        <v>K034</v>
      </c>
      <c r="H635">
        <v>91.816816816816811</v>
      </c>
    </row>
    <row r="636" spans="1:8">
      <c r="A636">
        <v>0</v>
      </c>
      <c r="B636" t="s">
        <v>34</v>
      </c>
      <c r="C636">
        <v>2014</v>
      </c>
      <c r="D636" t="s">
        <v>11</v>
      </c>
      <c r="E636" t="s">
        <v>9</v>
      </c>
      <c r="F636" t="s">
        <v>13</v>
      </c>
      <c r="G636" t="str">
        <f>VLOOKUP(A636,[1]Kreise!$A$1:$C$53,3,FALSE)</f>
        <v>K030</v>
      </c>
      <c r="H636">
        <v>90.200308166409854</v>
      </c>
    </row>
    <row r="637" spans="1:8">
      <c r="A637">
        <v>1</v>
      </c>
      <c r="B637" t="s">
        <v>30</v>
      </c>
      <c r="C637">
        <v>2013</v>
      </c>
      <c r="D637" t="s">
        <v>11</v>
      </c>
      <c r="E637" t="s">
        <v>9</v>
      </c>
      <c r="F637" t="s">
        <v>13</v>
      </c>
      <c r="G637" t="str">
        <f>VLOOKUP(A637,[1]Kreise!$A$1:$C$53,3,FALSE)</f>
        <v>K031</v>
      </c>
      <c r="H637">
        <v>88.047138047138048</v>
      </c>
    </row>
    <row r="638" spans="1:8">
      <c r="A638">
        <v>2</v>
      </c>
      <c r="B638" t="s">
        <v>31</v>
      </c>
      <c r="C638">
        <v>2013</v>
      </c>
      <c r="D638" t="s">
        <v>11</v>
      </c>
      <c r="E638" t="s">
        <v>9</v>
      </c>
      <c r="F638" t="s">
        <v>13</v>
      </c>
      <c r="G638" t="str">
        <f>VLOOKUP(A638,[1]Kreise!$A$1:$C$53,3,FALSE)</f>
        <v>K032</v>
      </c>
      <c r="H638">
        <v>86.771844660194176</v>
      </c>
    </row>
    <row r="639" spans="1:8">
      <c r="A639">
        <v>3</v>
      </c>
      <c r="B639" t="s">
        <v>32</v>
      </c>
      <c r="C639">
        <v>2013</v>
      </c>
      <c r="D639" t="s">
        <v>11</v>
      </c>
      <c r="E639" t="s">
        <v>9</v>
      </c>
      <c r="F639" t="s">
        <v>13</v>
      </c>
      <c r="G639" t="str">
        <f>VLOOKUP(A639,[1]Kreise!$A$1:$C$53,3,FALSE)</f>
        <v>K033</v>
      </c>
      <c r="H639">
        <v>91.256830601092901</v>
      </c>
    </row>
    <row r="640" spans="1:8">
      <c r="A640">
        <v>4</v>
      </c>
      <c r="B640" t="s">
        <v>33</v>
      </c>
      <c r="C640">
        <v>2013</v>
      </c>
      <c r="D640" t="s">
        <v>11</v>
      </c>
      <c r="E640" t="s">
        <v>9</v>
      </c>
      <c r="F640" t="s">
        <v>13</v>
      </c>
      <c r="G640" t="str">
        <f>VLOOKUP(A640,[1]Kreise!$A$1:$C$53,3,FALSE)</f>
        <v>K034</v>
      </c>
      <c r="H640">
        <v>91.390728476821195</v>
      </c>
    </row>
    <row r="641" spans="1:8">
      <c r="A641">
        <v>0</v>
      </c>
      <c r="B641" t="s">
        <v>34</v>
      </c>
      <c r="C641">
        <v>2013</v>
      </c>
      <c r="D641" t="s">
        <v>11</v>
      </c>
      <c r="E641" t="s">
        <v>9</v>
      </c>
      <c r="F641" t="s">
        <v>13</v>
      </c>
      <c r="G641" t="str">
        <f>VLOOKUP(A641,[1]Kreise!$A$1:$C$53,3,FALSE)</f>
        <v>K030</v>
      </c>
      <c r="H641">
        <v>89.627179795550219</v>
      </c>
    </row>
    <row r="642" spans="1:8">
      <c r="A642">
        <v>1</v>
      </c>
      <c r="B642" t="s">
        <v>145</v>
      </c>
      <c r="C642">
        <v>2012</v>
      </c>
      <c r="D642" t="s">
        <v>11</v>
      </c>
      <c r="E642" t="s">
        <v>9</v>
      </c>
      <c r="F642" t="s">
        <v>13</v>
      </c>
      <c r="G642" t="str">
        <f>VLOOKUP(A642,[1]Kreise!$A$1:$C$53,3,FALSE)</f>
        <v>K031</v>
      </c>
      <c r="H642">
        <v>87.220447284345042</v>
      </c>
    </row>
    <row r="643" spans="1:8">
      <c r="A643">
        <v>2</v>
      </c>
      <c r="B643" t="s">
        <v>146</v>
      </c>
      <c r="C643">
        <v>2012</v>
      </c>
      <c r="D643" t="s">
        <v>11</v>
      </c>
      <c r="E643" t="s">
        <v>9</v>
      </c>
      <c r="F643" t="s">
        <v>13</v>
      </c>
      <c r="G643" t="str">
        <f>VLOOKUP(A643,[1]Kreise!$A$1:$C$53,3,FALSE)</f>
        <v>K032</v>
      </c>
      <c r="H643">
        <v>83.146067415730343</v>
      </c>
    </row>
    <row r="644" spans="1:8">
      <c r="A644">
        <v>3</v>
      </c>
      <c r="B644" t="s">
        <v>147</v>
      </c>
      <c r="C644">
        <v>2012</v>
      </c>
      <c r="D644" t="s">
        <v>11</v>
      </c>
      <c r="E644" t="s">
        <v>9</v>
      </c>
      <c r="F644" t="s">
        <v>13</v>
      </c>
      <c r="G644" t="str">
        <f>VLOOKUP(A644,[1]Kreise!$A$1:$C$53,3,FALSE)</f>
        <v>K033</v>
      </c>
      <c r="H644">
        <v>89.905362776025228</v>
      </c>
    </row>
    <row r="645" spans="1:8">
      <c r="A645">
        <v>4</v>
      </c>
      <c r="B645" t="s">
        <v>148</v>
      </c>
      <c r="C645">
        <v>2012</v>
      </c>
      <c r="D645" t="s">
        <v>11</v>
      </c>
      <c r="E645" t="s">
        <v>9</v>
      </c>
      <c r="F645" t="s">
        <v>13</v>
      </c>
      <c r="G645" t="str">
        <f>VLOOKUP(A645,[1]Kreise!$A$1:$C$53,3,FALSE)</f>
        <v>K034</v>
      </c>
      <c r="H645">
        <v>89.977728285077944</v>
      </c>
    </row>
    <row r="646" spans="1:8">
      <c r="A646">
        <v>0</v>
      </c>
      <c r="B646" t="s">
        <v>34</v>
      </c>
      <c r="C646">
        <v>2012</v>
      </c>
      <c r="D646" t="s">
        <v>11</v>
      </c>
      <c r="E646" t="s">
        <v>9</v>
      </c>
      <c r="F646" t="s">
        <v>13</v>
      </c>
      <c r="G646" t="str">
        <f>VLOOKUP(A646,[1]Kreise!$A$1:$C$53,3,FALSE)</f>
        <v>K030</v>
      </c>
      <c r="H646">
        <v>87.618516452872285</v>
      </c>
    </row>
    <row r="647" spans="1:8">
      <c r="A647">
        <v>1</v>
      </c>
      <c r="B647" t="s">
        <v>30</v>
      </c>
      <c r="C647">
        <v>2011</v>
      </c>
      <c r="D647" t="s">
        <v>11</v>
      </c>
      <c r="E647" t="s">
        <v>9</v>
      </c>
      <c r="F647" t="s">
        <v>13</v>
      </c>
      <c r="G647" t="str">
        <f>VLOOKUP(A647,[1]Kreise!$A$1:$C$53,3,FALSE)</f>
        <v>K031</v>
      </c>
      <c r="H647">
        <v>83.2</v>
      </c>
    </row>
    <row r="648" spans="1:8">
      <c r="A648">
        <v>2</v>
      </c>
      <c r="B648" t="s">
        <v>31</v>
      </c>
      <c r="C648">
        <v>2011</v>
      </c>
      <c r="D648" t="s">
        <v>11</v>
      </c>
      <c r="E648" t="s">
        <v>9</v>
      </c>
      <c r="F648" t="s">
        <v>13</v>
      </c>
      <c r="G648" t="str">
        <f>VLOOKUP(A648,[1]Kreise!$A$1:$C$53,3,FALSE)</f>
        <v>K032</v>
      </c>
      <c r="H648">
        <v>81.226053639846739</v>
      </c>
    </row>
    <row r="649" spans="1:8">
      <c r="A649">
        <v>3</v>
      </c>
      <c r="B649" t="s">
        <v>32</v>
      </c>
      <c r="C649">
        <v>2011</v>
      </c>
      <c r="D649" t="s">
        <v>11</v>
      </c>
      <c r="E649" t="s">
        <v>9</v>
      </c>
      <c r="F649" t="s">
        <v>13</v>
      </c>
      <c r="G649" t="str">
        <f>VLOOKUP(A649,[1]Kreise!$A$1:$C$53,3,FALSE)</f>
        <v>K033</v>
      </c>
      <c r="H649">
        <v>87.878787878787875</v>
      </c>
    </row>
    <row r="650" spans="1:8">
      <c r="A650">
        <v>4</v>
      </c>
      <c r="B650" t="s">
        <v>33</v>
      </c>
      <c r="C650">
        <v>2011</v>
      </c>
      <c r="D650" t="s">
        <v>11</v>
      </c>
      <c r="E650" t="s">
        <v>9</v>
      </c>
      <c r="F650" t="s">
        <v>13</v>
      </c>
      <c r="G650" t="str">
        <f>VLOOKUP(A650,[1]Kreise!$A$1:$C$53,3,FALSE)</f>
        <v>K034</v>
      </c>
      <c r="H650">
        <v>89.026162790697668</v>
      </c>
    </row>
    <row r="651" spans="1:8">
      <c r="A651">
        <v>0</v>
      </c>
      <c r="B651" t="s">
        <v>34</v>
      </c>
      <c r="C651">
        <v>2011</v>
      </c>
      <c r="D651" t="s">
        <v>11</v>
      </c>
      <c r="E651" t="s">
        <v>9</v>
      </c>
      <c r="F651" t="s">
        <v>13</v>
      </c>
      <c r="G651" t="str">
        <f>VLOOKUP(A651,[1]Kreise!$A$1:$C$53,3,FALSE)</f>
        <v>K030</v>
      </c>
      <c r="H651">
        <v>85.660781166399147</v>
      </c>
    </row>
    <row r="652" spans="1:8">
      <c r="A652">
        <v>1</v>
      </c>
      <c r="B652" t="s">
        <v>145</v>
      </c>
      <c r="C652">
        <v>2010</v>
      </c>
      <c r="D652" t="s">
        <v>11</v>
      </c>
      <c r="E652" t="s">
        <v>9</v>
      </c>
      <c r="F652" t="s">
        <v>13</v>
      </c>
      <c r="G652" t="str">
        <f>VLOOKUP(A652,[1]Kreise!$A$1:$C$53,3,FALSE)</f>
        <v>K031</v>
      </c>
      <c r="H652">
        <v>83.228840125391841</v>
      </c>
    </row>
    <row r="653" spans="1:8">
      <c r="A653">
        <v>2</v>
      </c>
      <c r="B653" t="s">
        <v>146</v>
      </c>
      <c r="C653">
        <v>2010</v>
      </c>
      <c r="D653" t="s">
        <v>11</v>
      </c>
      <c r="E653" t="s">
        <v>9</v>
      </c>
      <c r="F653" t="s">
        <v>13</v>
      </c>
      <c r="G653" t="str">
        <f>VLOOKUP(A653,[1]Kreise!$A$1:$C$53,3,FALSE)</f>
        <v>K032</v>
      </c>
      <c r="H653">
        <v>80.323193916349808</v>
      </c>
    </row>
    <row r="654" spans="1:8">
      <c r="A654">
        <v>3</v>
      </c>
      <c r="B654" t="s">
        <v>147</v>
      </c>
      <c r="C654">
        <v>2010</v>
      </c>
      <c r="D654" t="s">
        <v>11</v>
      </c>
      <c r="E654" t="s">
        <v>9</v>
      </c>
      <c r="F654" t="s">
        <v>13</v>
      </c>
      <c r="G654" t="str">
        <f>VLOOKUP(A654,[1]Kreise!$A$1:$C$53,3,FALSE)</f>
        <v>K033</v>
      </c>
      <c r="H654">
        <v>91.290824261275276</v>
      </c>
    </row>
    <row r="655" spans="1:8">
      <c r="A655">
        <v>4</v>
      </c>
      <c r="B655" t="s">
        <v>148</v>
      </c>
      <c r="C655">
        <v>2010</v>
      </c>
      <c r="D655" t="s">
        <v>11</v>
      </c>
      <c r="E655" t="s">
        <v>9</v>
      </c>
      <c r="F655" t="s">
        <v>13</v>
      </c>
      <c r="G655" t="str">
        <f>VLOOKUP(A655,[1]Kreise!$A$1:$C$53,3,FALSE)</f>
        <v>K034</v>
      </c>
      <c r="H655">
        <v>90.104166666666657</v>
      </c>
    </row>
    <row r="656" spans="1:8">
      <c r="A656">
        <v>0</v>
      </c>
      <c r="B656" t="s">
        <v>34</v>
      </c>
      <c r="C656">
        <v>2010</v>
      </c>
      <c r="D656" t="s">
        <v>11</v>
      </c>
      <c r="E656" t="s">
        <v>9</v>
      </c>
      <c r="F656" t="s">
        <v>13</v>
      </c>
      <c r="G656" t="str">
        <f>VLOOKUP(A656,[1]Kreise!$A$1:$C$53,3,FALSE)</f>
        <v>K030</v>
      </c>
      <c r="H656">
        <v>86.320369866739185</v>
      </c>
    </row>
    <row r="657" spans="1:8">
      <c r="A657">
        <v>1</v>
      </c>
      <c r="B657" t="s">
        <v>145</v>
      </c>
      <c r="C657">
        <v>2005</v>
      </c>
      <c r="D657" t="s">
        <v>11</v>
      </c>
      <c r="E657" t="s">
        <v>9</v>
      </c>
      <c r="F657" t="s">
        <v>13</v>
      </c>
      <c r="G657" t="str">
        <f>VLOOKUP(A657,[1]Kreise!$A$1:$C$53,3,FALSE)</f>
        <v>K031</v>
      </c>
      <c r="H657">
        <v>82.465462274176403</v>
      </c>
    </row>
    <row r="658" spans="1:8">
      <c r="A658">
        <v>2</v>
      </c>
      <c r="B658" t="s">
        <v>146</v>
      </c>
      <c r="C658">
        <v>2005</v>
      </c>
      <c r="D658" t="s">
        <v>11</v>
      </c>
      <c r="E658" t="s">
        <v>9</v>
      </c>
      <c r="F658" t="s">
        <v>13</v>
      </c>
      <c r="G658" t="str">
        <f>VLOOKUP(A658,[1]Kreise!$A$1:$C$53,3,FALSE)</f>
        <v>K032</v>
      </c>
      <c r="H658">
        <v>77.061469265367322</v>
      </c>
    </row>
    <row r="659" spans="1:8">
      <c r="A659">
        <v>3</v>
      </c>
      <c r="B659" t="s">
        <v>147</v>
      </c>
      <c r="C659">
        <v>2005</v>
      </c>
      <c r="D659" t="s">
        <v>11</v>
      </c>
      <c r="E659" t="s">
        <v>9</v>
      </c>
      <c r="F659" t="s">
        <v>13</v>
      </c>
      <c r="G659" t="str">
        <f>VLOOKUP(A659,[1]Kreise!$A$1:$C$53,3,FALSE)</f>
        <v>K033</v>
      </c>
      <c r="H659">
        <v>85.654450261780099</v>
      </c>
    </row>
    <row r="660" spans="1:8">
      <c r="A660">
        <v>4</v>
      </c>
      <c r="B660" t="s">
        <v>148</v>
      </c>
      <c r="C660">
        <v>2005</v>
      </c>
      <c r="D660" t="s">
        <v>11</v>
      </c>
      <c r="E660" t="s">
        <v>9</v>
      </c>
      <c r="F660" t="s">
        <v>13</v>
      </c>
      <c r="G660" t="str">
        <f>VLOOKUP(A660,[1]Kreise!$A$1:$C$53,3,FALSE)</f>
        <v>K034</v>
      </c>
      <c r="H660">
        <v>86.965699208443269</v>
      </c>
    </row>
    <row r="661" spans="1:8">
      <c r="A661">
        <v>0</v>
      </c>
      <c r="B661" t="s">
        <v>34</v>
      </c>
      <c r="C661">
        <v>2005</v>
      </c>
      <c r="D661" t="s">
        <v>11</v>
      </c>
      <c r="E661" t="s">
        <v>9</v>
      </c>
      <c r="F661" t="s">
        <v>13</v>
      </c>
      <c r="G661" t="str">
        <f>VLOOKUP(A661,[1]Kreise!$A$1:$C$53,3,FALSE)</f>
        <v>K030</v>
      </c>
      <c r="H661">
        <v>83.317073170731703</v>
      </c>
    </row>
    <row r="662" spans="1:8">
      <c r="A662">
        <v>1</v>
      </c>
      <c r="B662" t="s">
        <v>30</v>
      </c>
      <c r="C662">
        <v>2020</v>
      </c>
      <c r="D662" t="s">
        <v>12</v>
      </c>
      <c r="E662" t="s">
        <v>9</v>
      </c>
      <c r="F662" t="s">
        <v>13</v>
      </c>
      <c r="G662" t="str">
        <f>VLOOKUP(A662,[1]Kreise!$A$1:$C$53,3,FALSE)</f>
        <v>K031</v>
      </c>
      <c r="H662">
        <v>10.99290780141844</v>
      </c>
    </row>
    <row r="663" spans="1:8">
      <c r="A663">
        <v>2</v>
      </c>
      <c r="B663" t="s">
        <v>31</v>
      </c>
      <c r="C663">
        <v>2020</v>
      </c>
      <c r="D663" t="s">
        <v>12</v>
      </c>
      <c r="E663" t="s">
        <v>9</v>
      </c>
      <c r="F663" t="s">
        <v>13</v>
      </c>
      <c r="G663" t="str">
        <f>VLOOKUP(A663,[1]Kreise!$A$1:$C$53,3,FALSE)</f>
        <v>K032</v>
      </c>
      <c r="H663">
        <v>13.803680981595093</v>
      </c>
    </row>
    <row r="664" spans="1:8">
      <c r="A664">
        <v>3</v>
      </c>
      <c r="B664" t="s">
        <v>32</v>
      </c>
      <c r="C664">
        <v>2020</v>
      </c>
      <c r="D664" t="s">
        <v>12</v>
      </c>
      <c r="E664" t="s">
        <v>9</v>
      </c>
      <c r="F664" t="s">
        <v>13</v>
      </c>
      <c r="G664" t="str">
        <f>VLOOKUP(A664,[1]Kreise!$A$1:$C$53,3,FALSE)</f>
        <v>K033</v>
      </c>
      <c r="H664">
        <v>3.2608695652173911</v>
      </c>
    </row>
    <row r="665" spans="1:8">
      <c r="A665">
        <v>4</v>
      </c>
      <c r="B665" t="s">
        <v>33</v>
      </c>
      <c r="C665">
        <v>2020</v>
      </c>
      <c r="D665" t="s">
        <v>12</v>
      </c>
      <c r="E665" t="s">
        <v>9</v>
      </c>
      <c r="F665" t="s">
        <v>13</v>
      </c>
      <c r="G665" t="str">
        <f>VLOOKUP(A665,[1]Kreise!$A$1:$C$53,3,FALSE)</f>
        <v>K034</v>
      </c>
      <c r="H665">
        <v>11.111111111111111</v>
      </c>
    </row>
    <row r="666" spans="1:8">
      <c r="A666">
        <v>0</v>
      </c>
      <c r="B666" t="s">
        <v>34</v>
      </c>
      <c r="C666">
        <v>2020</v>
      </c>
      <c r="D666" t="s">
        <v>12</v>
      </c>
      <c r="E666" t="s">
        <v>9</v>
      </c>
      <c r="F666" t="s">
        <v>13</v>
      </c>
      <c r="G666" t="str">
        <f>VLOOKUP(A666,[1]Kreise!$A$1:$C$53,3,FALSE)</f>
        <v>K030</v>
      </c>
      <c r="H666">
        <v>10.678210678210679</v>
      </c>
    </row>
    <row r="667" spans="1:8">
      <c r="A667">
        <v>1</v>
      </c>
      <c r="B667" t="s">
        <v>30</v>
      </c>
      <c r="C667">
        <v>2019</v>
      </c>
      <c r="D667" t="s">
        <v>12</v>
      </c>
      <c r="E667" t="s">
        <v>9</v>
      </c>
      <c r="F667" t="s">
        <v>13</v>
      </c>
      <c r="G667" t="str">
        <f>VLOOKUP(A667,[1]Kreise!$A$1:$C$53,3,FALSE)</f>
        <v>K031</v>
      </c>
      <c r="H667">
        <v>10.256410256410255</v>
      </c>
    </row>
    <row r="668" spans="1:8">
      <c r="A668">
        <v>2</v>
      </c>
      <c r="B668" t="s">
        <v>31</v>
      </c>
      <c r="C668">
        <v>2019</v>
      </c>
      <c r="D668" t="s">
        <v>12</v>
      </c>
      <c r="E668" t="s">
        <v>9</v>
      </c>
      <c r="F668" t="s">
        <v>13</v>
      </c>
      <c r="G668" t="str">
        <f>VLOOKUP(A668,[1]Kreise!$A$1:$C$53,3,FALSE)</f>
        <v>K032</v>
      </c>
      <c r="H668">
        <v>6.5693430656934311</v>
      </c>
    </row>
    <row r="669" spans="1:8">
      <c r="A669">
        <v>3</v>
      </c>
      <c r="B669" t="s">
        <v>32</v>
      </c>
      <c r="C669">
        <v>2019</v>
      </c>
      <c r="D669" t="s">
        <v>12</v>
      </c>
      <c r="E669" t="s">
        <v>9</v>
      </c>
      <c r="F669" t="s">
        <v>13</v>
      </c>
      <c r="G669" t="str">
        <f>VLOOKUP(A669,[1]Kreise!$A$1:$C$53,3,FALSE)</f>
        <v>K033</v>
      </c>
      <c r="H669">
        <v>8.1920903954802249</v>
      </c>
    </row>
    <row r="670" spans="1:8">
      <c r="A670">
        <v>4</v>
      </c>
      <c r="B670" t="s">
        <v>33</v>
      </c>
      <c r="C670">
        <v>2019</v>
      </c>
      <c r="D670" t="s">
        <v>12</v>
      </c>
      <c r="E670" t="s">
        <v>9</v>
      </c>
      <c r="F670" t="s">
        <v>13</v>
      </c>
      <c r="G670" t="str">
        <f>VLOOKUP(A670,[1]Kreise!$A$1:$C$53,3,FALSE)</f>
        <v>K034</v>
      </c>
      <c r="H670">
        <v>7.379375591296121</v>
      </c>
    </row>
    <row r="671" spans="1:8">
      <c r="A671">
        <v>0</v>
      </c>
      <c r="B671" t="s">
        <v>34</v>
      </c>
      <c r="C671">
        <v>2019</v>
      </c>
      <c r="D671" t="s">
        <v>12</v>
      </c>
      <c r="E671" t="s">
        <v>9</v>
      </c>
      <c r="F671" t="s">
        <v>13</v>
      </c>
      <c r="G671" t="str">
        <f>VLOOKUP(A671,[1]Kreise!$A$1:$C$53,3,FALSE)</f>
        <v>K030</v>
      </c>
      <c r="H671">
        <v>7.8308207705192627</v>
      </c>
    </row>
    <row r="672" spans="1:8">
      <c r="A672">
        <v>1</v>
      </c>
      <c r="B672" t="s">
        <v>30</v>
      </c>
      <c r="C672">
        <v>2018</v>
      </c>
      <c r="D672" t="s">
        <v>12</v>
      </c>
      <c r="E672" t="s">
        <v>9</v>
      </c>
      <c r="F672" t="s">
        <v>13</v>
      </c>
      <c r="G672" t="str">
        <f>VLOOKUP(A672,[1]Kreise!$A$1:$C$53,3,FALSE)</f>
        <v>K031</v>
      </c>
      <c r="H672">
        <v>11.396011396011396</v>
      </c>
    </row>
    <row r="673" spans="1:8">
      <c r="A673">
        <v>2</v>
      </c>
      <c r="B673" t="s">
        <v>31</v>
      </c>
      <c r="C673">
        <v>2018</v>
      </c>
      <c r="D673" t="s">
        <v>12</v>
      </c>
      <c r="E673" t="s">
        <v>9</v>
      </c>
      <c r="F673" t="s">
        <v>13</v>
      </c>
      <c r="G673" t="str">
        <f>VLOOKUP(A673,[1]Kreise!$A$1:$C$53,3,FALSE)</f>
        <v>K032</v>
      </c>
      <c r="H673">
        <v>7.9482439926062849</v>
      </c>
    </row>
    <row r="674" spans="1:8">
      <c r="A674">
        <v>3</v>
      </c>
      <c r="B674" t="s">
        <v>32</v>
      </c>
      <c r="C674">
        <v>2018</v>
      </c>
      <c r="D674" t="s">
        <v>12</v>
      </c>
      <c r="E674" t="s">
        <v>9</v>
      </c>
      <c r="F674" t="s">
        <v>13</v>
      </c>
      <c r="G674" t="str">
        <f>VLOOKUP(A674,[1]Kreise!$A$1:$C$53,3,FALSE)</f>
        <v>K033</v>
      </c>
      <c r="H674">
        <v>9.0342679127725845</v>
      </c>
    </row>
    <row r="675" spans="1:8">
      <c r="A675">
        <v>4</v>
      </c>
      <c r="B675" t="s">
        <v>33</v>
      </c>
      <c r="C675">
        <v>2018</v>
      </c>
      <c r="D675" t="s">
        <v>12</v>
      </c>
      <c r="E675" t="s">
        <v>9</v>
      </c>
      <c r="F675" t="s">
        <v>13</v>
      </c>
      <c r="G675" t="str">
        <f>VLOOKUP(A675,[1]Kreise!$A$1:$C$53,3,FALSE)</f>
        <v>K034</v>
      </c>
      <c r="H675">
        <v>8.9371980676328491</v>
      </c>
    </row>
    <row r="676" spans="1:8">
      <c r="A676">
        <v>0</v>
      </c>
      <c r="B676" t="s">
        <v>34</v>
      </c>
      <c r="C676">
        <v>2018</v>
      </c>
      <c r="D676" t="s">
        <v>12</v>
      </c>
      <c r="E676" t="s">
        <v>9</v>
      </c>
      <c r="F676" t="s">
        <v>13</v>
      </c>
      <c r="G676" t="str">
        <f>VLOOKUP(A676,[1]Kreise!$A$1:$C$53,3,FALSE)</f>
        <v>K030</v>
      </c>
      <c r="H676">
        <v>9.1131798138167568</v>
      </c>
    </row>
    <row r="677" spans="1:8">
      <c r="A677">
        <v>1</v>
      </c>
      <c r="B677" t="s">
        <v>30</v>
      </c>
      <c r="C677">
        <v>2017</v>
      </c>
      <c r="D677" t="s">
        <v>12</v>
      </c>
      <c r="E677" t="s">
        <v>9</v>
      </c>
      <c r="F677" t="s">
        <v>13</v>
      </c>
      <c r="G677" t="str">
        <f>VLOOKUP(A677,[1]Kreise!$A$1:$C$53,3,FALSE)</f>
        <v>K031</v>
      </c>
      <c r="H677">
        <v>10.92436974789916</v>
      </c>
    </row>
    <row r="678" spans="1:8">
      <c r="A678">
        <v>2</v>
      </c>
      <c r="B678" t="s">
        <v>31</v>
      </c>
      <c r="C678">
        <v>2017</v>
      </c>
      <c r="D678" t="s">
        <v>12</v>
      </c>
      <c r="E678" t="s">
        <v>9</v>
      </c>
      <c r="F678" t="s">
        <v>13</v>
      </c>
      <c r="G678" t="str">
        <f>VLOOKUP(A678,[1]Kreise!$A$1:$C$53,3,FALSE)</f>
        <v>K032</v>
      </c>
      <c r="H678">
        <v>8.8122605363984672</v>
      </c>
    </row>
    <row r="679" spans="1:8">
      <c r="A679">
        <v>3</v>
      </c>
      <c r="B679" t="s">
        <v>32</v>
      </c>
      <c r="C679">
        <v>2017</v>
      </c>
      <c r="D679" t="s">
        <v>12</v>
      </c>
      <c r="E679" t="s">
        <v>9</v>
      </c>
      <c r="F679" t="s">
        <v>13</v>
      </c>
      <c r="G679" t="str">
        <f>VLOOKUP(A679,[1]Kreise!$A$1:$C$53,3,FALSE)</f>
        <v>K033</v>
      </c>
      <c r="H679">
        <v>6.4724919093851128</v>
      </c>
    </row>
    <row r="680" spans="1:8">
      <c r="A680">
        <v>4</v>
      </c>
      <c r="B680" t="s">
        <v>33</v>
      </c>
      <c r="C680">
        <v>2017</v>
      </c>
      <c r="D680" t="s">
        <v>12</v>
      </c>
      <c r="E680" t="s">
        <v>9</v>
      </c>
      <c r="F680" t="s">
        <v>13</v>
      </c>
      <c r="G680" t="str">
        <f>VLOOKUP(A680,[1]Kreise!$A$1:$C$53,3,FALSE)</f>
        <v>K034</v>
      </c>
      <c r="H680">
        <v>7.8326180257510734</v>
      </c>
    </row>
    <row r="681" spans="1:8">
      <c r="A681">
        <v>0</v>
      </c>
      <c r="B681" t="s">
        <v>34</v>
      </c>
      <c r="C681">
        <v>2017</v>
      </c>
      <c r="D681" t="s">
        <v>12</v>
      </c>
      <c r="E681" t="s">
        <v>9</v>
      </c>
      <c r="F681" t="s">
        <v>13</v>
      </c>
      <c r="G681" t="str">
        <f>VLOOKUP(A681,[1]Kreise!$A$1:$C$53,3,FALSE)</f>
        <v>K030</v>
      </c>
      <c r="H681">
        <v>8.3962264150943398</v>
      </c>
    </row>
    <row r="682" spans="1:8">
      <c r="A682">
        <v>1</v>
      </c>
      <c r="B682" t="s">
        <v>30</v>
      </c>
      <c r="C682">
        <v>2016</v>
      </c>
      <c r="D682" t="s">
        <v>12</v>
      </c>
      <c r="E682" t="s">
        <v>9</v>
      </c>
      <c r="F682" t="s">
        <v>13</v>
      </c>
      <c r="G682" t="str">
        <f>VLOOKUP(A682,[1]Kreise!$A$1:$C$53,3,FALSE)</f>
        <v>K031</v>
      </c>
      <c r="H682">
        <v>9.8039215686274517</v>
      </c>
    </row>
    <row r="683" spans="1:8">
      <c r="A683">
        <v>2</v>
      </c>
      <c r="B683" t="s">
        <v>31</v>
      </c>
      <c r="C683">
        <v>2016</v>
      </c>
      <c r="D683" t="s">
        <v>12</v>
      </c>
      <c r="E683" t="s">
        <v>9</v>
      </c>
      <c r="F683" t="s">
        <v>13</v>
      </c>
      <c r="G683" t="str">
        <f>VLOOKUP(A683,[1]Kreise!$A$1:$C$53,3,FALSE)</f>
        <v>K032</v>
      </c>
      <c r="H683">
        <v>7.8003120124804992</v>
      </c>
    </row>
    <row r="684" spans="1:8">
      <c r="A684">
        <v>3</v>
      </c>
      <c r="B684" t="s">
        <v>32</v>
      </c>
      <c r="C684">
        <v>2016</v>
      </c>
      <c r="D684" t="s">
        <v>12</v>
      </c>
      <c r="E684" t="s">
        <v>9</v>
      </c>
      <c r="F684" t="s">
        <v>13</v>
      </c>
      <c r="G684" t="str">
        <f>VLOOKUP(A684,[1]Kreise!$A$1:$C$53,3,FALSE)</f>
        <v>K033</v>
      </c>
      <c r="H684">
        <v>7.042253521126761</v>
      </c>
    </row>
    <row r="685" spans="1:8">
      <c r="A685">
        <v>4</v>
      </c>
      <c r="B685" t="s">
        <v>33</v>
      </c>
      <c r="C685">
        <v>2016</v>
      </c>
      <c r="D685" t="s">
        <v>12</v>
      </c>
      <c r="E685" t="s">
        <v>9</v>
      </c>
      <c r="F685" t="s">
        <v>13</v>
      </c>
      <c r="G685" t="str">
        <f>VLOOKUP(A685,[1]Kreise!$A$1:$C$53,3,FALSE)</f>
        <v>K034</v>
      </c>
      <c r="H685">
        <v>6.8359375</v>
      </c>
    </row>
    <row r="686" spans="1:8">
      <c r="A686">
        <v>0</v>
      </c>
      <c r="B686" t="s">
        <v>34</v>
      </c>
      <c r="C686">
        <v>2016</v>
      </c>
      <c r="D686" t="s">
        <v>12</v>
      </c>
      <c r="E686" t="s">
        <v>9</v>
      </c>
      <c r="F686" t="s">
        <v>13</v>
      </c>
      <c r="G686" t="str">
        <f>VLOOKUP(A686,[1]Kreise!$A$1:$C$53,3,FALSE)</f>
        <v>K030</v>
      </c>
      <c r="H686">
        <v>7.6194398682042834</v>
      </c>
    </row>
    <row r="687" spans="1:8">
      <c r="A687">
        <v>1</v>
      </c>
      <c r="B687" t="s">
        <v>30</v>
      </c>
      <c r="C687">
        <v>2015</v>
      </c>
      <c r="D687" t="s">
        <v>12</v>
      </c>
      <c r="E687" t="s">
        <v>9</v>
      </c>
      <c r="F687" t="s">
        <v>13</v>
      </c>
      <c r="G687" t="str">
        <f>VLOOKUP(A687,[1]Kreise!$A$1:$C$53,3,FALSE)</f>
        <v>K031</v>
      </c>
      <c r="H687">
        <v>10.444874274661508</v>
      </c>
    </row>
    <row r="688" spans="1:8">
      <c r="A688">
        <v>2</v>
      </c>
      <c r="B688" t="s">
        <v>31</v>
      </c>
      <c r="C688">
        <v>2015</v>
      </c>
      <c r="D688" t="s">
        <v>12</v>
      </c>
      <c r="E688" t="s">
        <v>9</v>
      </c>
      <c r="F688" t="s">
        <v>13</v>
      </c>
      <c r="G688" t="str">
        <f>VLOOKUP(A688,[1]Kreise!$A$1:$C$53,3,FALSE)</f>
        <v>K032</v>
      </c>
      <c r="H688">
        <v>9.2987804878048781</v>
      </c>
    </row>
    <row r="689" spans="1:8">
      <c r="A689">
        <v>3</v>
      </c>
      <c r="B689" t="s">
        <v>32</v>
      </c>
      <c r="C689">
        <v>2015</v>
      </c>
      <c r="D689" t="s">
        <v>12</v>
      </c>
      <c r="E689" t="s">
        <v>9</v>
      </c>
      <c r="F689" t="s">
        <v>13</v>
      </c>
      <c r="G689" t="str">
        <f>VLOOKUP(A689,[1]Kreise!$A$1:$C$53,3,FALSE)</f>
        <v>K033</v>
      </c>
      <c r="H689">
        <v>7.3118279569892479</v>
      </c>
    </row>
    <row r="690" spans="1:8">
      <c r="A690">
        <v>4</v>
      </c>
      <c r="B690" t="s">
        <v>33</v>
      </c>
      <c r="C690">
        <v>2015</v>
      </c>
      <c r="D690" t="s">
        <v>12</v>
      </c>
      <c r="E690" t="s">
        <v>9</v>
      </c>
      <c r="F690" t="s">
        <v>13</v>
      </c>
      <c r="G690" t="str">
        <f>VLOOKUP(A690,[1]Kreise!$A$1:$C$53,3,FALSE)</f>
        <v>K034</v>
      </c>
      <c r="H690">
        <v>6.7753001715265864</v>
      </c>
    </row>
    <row r="691" spans="1:8">
      <c r="A691">
        <v>0</v>
      </c>
      <c r="B691" t="s">
        <v>34</v>
      </c>
      <c r="C691">
        <v>2015</v>
      </c>
      <c r="D691" t="s">
        <v>12</v>
      </c>
      <c r="E691" t="s">
        <v>9</v>
      </c>
      <c r="F691" t="s">
        <v>13</v>
      </c>
      <c r="G691" t="str">
        <f>VLOOKUP(A691,[1]Kreise!$A$1:$C$53,3,FALSE)</f>
        <v>K030</v>
      </c>
      <c r="H691">
        <v>8.1312410841654774</v>
      </c>
    </row>
    <row r="692" spans="1:8">
      <c r="A692">
        <v>1</v>
      </c>
      <c r="B692" t="s">
        <v>145</v>
      </c>
      <c r="C692">
        <v>2014</v>
      </c>
      <c r="D692" t="s">
        <v>12</v>
      </c>
      <c r="E692" t="s">
        <v>9</v>
      </c>
      <c r="F692" t="s">
        <v>13</v>
      </c>
      <c r="G692" t="str">
        <f>VLOOKUP(A692,[1]Kreise!$A$1:$C$53,3,FALSE)</f>
        <v>K031</v>
      </c>
      <c r="H692">
        <v>8.159392789373813</v>
      </c>
    </row>
    <row r="693" spans="1:8">
      <c r="A693">
        <v>2</v>
      </c>
      <c r="B693" t="s">
        <v>146</v>
      </c>
      <c r="C693">
        <v>2014</v>
      </c>
      <c r="D693" t="s">
        <v>12</v>
      </c>
      <c r="E693" t="s">
        <v>9</v>
      </c>
      <c r="F693" t="s">
        <v>13</v>
      </c>
      <c r="G693" t="str">
        <f>VLOOKUP(A693,[1]Kreise!$A$1:$C$53,3,FALSE)</f>
        <v>K032</v>
      </c>
      <c r="H693">
        <v>13.473423980222496</v>
      </c>
    </row>
    <row r="694" spans="1:8">
      <c r="A694">
        <v>3</v>
      </c>
      <c r="B694" t="s">
        <v>147</v>
      </c>
      <c r="C694">
        <v>2014</v>
      </c>
      <c r="D694" t="s">
        <v>12</v>
      </c>
      <c r="E694" t="s">
        <v>9</v>
      </c>
      <c r="F694" t="s">
        <v>13</v>
      </c>
      <c r="G694" t="str">
        <f>VLOOKUP(A694,[1]Kreise!$A$1:$C$53,3,FALSE)</f>
        <v>K033</v>
      </c>
      <c r="H694">
        <v>9.8786828422876951</v>
      </c>
    </row>
    <row r="695" spans="1:8">
      <c r="A695">
        <v>4</v>
      </c>
      <c r="B695" t="s">
        <v>148</v>
      </c>
      <c r="C695">
        <v>2014</v>
      </c>
      <c r="D695" t="s">
        <v>12</v>
      </c>
      <c r="E695" t="s">
        <v>9</v>
      </c>
      <c r="F695" t="s">
        <v>13</v>
      </c>
      <c r="G695" t="str">
        <f>VLOOKUP(A695,[1]Kreise!$A$1:$C$53,3,FALSE)</f>
        <v>K034</v>
      </c>
      <c r="H695">
        <v>8.1831831831831838</v>
      </c>
    </row>
    <row r="696" spans="1:8">
      <c r="A696">
        <v>0</v>
      </c>
      <c r="B696" t="s">
        <v>34</v>
      </c>
      <c r="C696">
        <v>2014</v>
      </c>
      <c r="D696" t="s">
        <v>12</v>
      </c>
      <c r="E696" t="s">
        <v>9</v>
      </c>
      <c r="F696" t="s">
        <v>13</v>
      </c>
      <c r="G696" t="str">
        <f>VLOOKUP(A696,[1]Kreise!$A$1:$C$53,3,FALSE)</f>
        <v>K030</v>
      </c>
      <c r="H696">
        <v>9.7996918335901384</v>
      </c>
    </row>
    <row r="697" spans="1:8">
      <c r="A697">
        <v>1</v>
      </c>
      <c r="B697" t="s">
        <v>30</v>
      </c>
      <c r="C697">
        <v>2013</v>
      </c>
      <c r="D697" t="s">
        <v>12</v>
      </c>
      <c r="E697" t="s">
        <v>9</v>
      </c>
      <c r="F697" t="s">
        <v>13</v>
      </c>
      <c r="G697" t="str">
        <f>VLOOKUP(A697,[1]Kreise!$A$1:$C$53,3,FALSE)</f>
        <v>K031</v>
      </c>
      <c r="H697">
        <v>11.952861952861953</v>
      </c>
    </row>
    <row r="698" spans="1:8">
      <c r="A698">
        <v>2</v>
      </c>
      <c r="B698" t="s">
        <v>31</v>
      </c>
      <c r="C698">
        <v>2013</v>
      </c>
      <c r="D698" t="s">
        <v>12</v>
      </c>
      <c r="E698" t="s">
        <v>9</v>
      </c>
      <c r="F698" t="s">
        <v>13</v>
      </c>
      <c r="G698" t="str">
        <f>VLOOKUP(A698,[1]Kreise!$A$1:$C$53,3,FALSE)</f>
        <v>K032</v>
      </c>
      <c r="H698">
        <v>13.228155339805825</v>
      </c>
    </row>
    <row r="699" spans="1:8">
      <c r="A699">
        <v>3</v>
      </c>
      <c r="B699" t="s">
        <v>32</v>
      </c>
      <c r="C699">
        <v>2013</v>
      </c>
      <c r="D699" t="s">
        <v>12</v>
      </c>
      <c r="E699" t="s">
        <v>9</v>
      </c>
      <c r="F699" t="s">
        <v>13</v>
      </c>
      <c r="G699" t="str">
        <f>VLOOKUP(A699,[1]Kreise!$A$1:$C$53,3,FALSE)</f>
        <v>K033</v>
      </c>
      <c r="H699">
        <v>8.7431693989071047</v>
      </c>
    </row>
    <row r="700" spans="1:8">
      <c r="A700">
        <v>4</v>
      </c>
      <c r="B700" t="s">
        <v>33</v>
      </c>
      <c r="C700">
        <v>2013</v>
      </c>
      <c r="D700" t="s">
        <v>12</v>
      </c>
      <c r="E700" t="s">
        <v>9</v>
      </c>
      <c r="F700" t="s">
        <v>13</v>
      </c>
      <c r="G700" t="str">
        <f>VLOOKUP(A700,[1]Kreise!$A$1:$C$53,3,FALSE)</f>
        <v>K034</v>
      </c>
      <c r="H700">
        <v>8.6092715231788084</v>
      </c>
    </row>
    <row r="701" spans="1:8">
      <c r="A701">
        <v>0</v>
      </c>
      <c r="B701" t="s">
        <v>34</v>
      </c>
      <c r="C701">
        <v>2013</v>
      </c>
      <c r="D701" t="s">
        <v>12</v>
      </c>
      <c r="E701" t="s">
        <v>9</v>
      </c>
      <c r="F701" t="s">
        <v>13</v>
      </c>
      <c r="G701" t="str">
        <f>VLOOKUP(A701,[1]Kreise!$A$1:$C$53,3,FALSE)</f>
        <v>K030</v>
      </c>
      <c r="H701">
        <v>10.372820204449789</v>
      </c>
    </row>
    <row r="702" spans="1:8">
      <c r="A702">
        <v>1</v>
      </c>
      <c r="B702" t="s">
        <v>145</v>
      </c>
      <c r="C702">
        <v>2012</v>
      </c>
      <c r="D702" t="s">
        <v>12</v>
      </c>
      <c r="E702" t="s">
        <v>9</v>
      </c>
      <c r="F702" t="s">
        <v>13</v>
      </c>
      <c r="G702" t="str">
        <f>VLOOKUP(A702,[1]Kreise!$A$1:$C$53,3,FALSE)</f>
        <v>K031</v>
      </c>
      <c r="H702">
        <v>12.779552715654951</v>
      </c>
    </row>
    <row r="703" spans="1:8">
      <c r="A703">
        <v>2</v>
      </c>
      <c r="B703" t="s">
        <v>146</v>
      </c>
      <c r="C703">
        <v>2012</v>
      </c>
      <c r="D703" t="s">
        <v>12</v>
      </c>
      <c r="E703" t="s">
        <v>9</v>
      </c>
      <c r="F703" t="s">
        <v>13</v>
      </c>
      <c r="G703" t="str">
        <f>VLOOKUP(A703,[1]Kreise!$A$1:$C$53,3,FALSE)</f>
        <v>K032</v>
      </c>
      <c r="H703">
        <v>16.853932584269664</v>
      </c>
    </row>
    <row r="704" spans="1:8">
      <c r="A704">
        <v>3</v>
      </c>
      <c r="B704" t="s">
        <v>147</v>
      </c>
      <c r="C704">
        <v>2012</v>
      </c>
      <c r="D704" t="s">
        <v>12</v>
      </c>
      <c r="E704" t="s">
        <v>9</v>
      </c>
      <c r="F704" t="s">
        <v>13</v>
      </c>
      <c r="G704" t="str">
        <f>VLOOKUP(A704,[1]Kreise!$A$1:$C$53,3,FALSE)</f>
        <v>K033</v>
      </c>
      <c r="H704">
        <v>10.094637223974763</v>
      </c>
    </row>
    <row r="705" spans="1:8">
      <c r="A705">
        <v>4</v>
      </c>
      <c r="B705" t="s">
        <v>148</v>
      </c>
      <c r="C705">
        <v>2012</v>
      </c>
      <c r="D705" t="s">
        <v>12</v>
      </c>
      <c r="E705" t="s">
        <v>9</v>
      </c>
      <c r="F705" t="s">
        <v>13</v>
      </c>
      <c r="G705" t="str">
        <f>VLOOKUP(A705,[1]Kreise!$A$1:$C$53,3,FALSE)</f>
        <v>K034</v>
      </c>
      <c r="H705">
        <v>10.022271714922049</v>
      </c>
    </row>
    <row r="706" spans="1:8">
      <c r="A706">
        <v>0</v>
      </c>
      <c r="B706" t="s">
        <v>34</v>
      </c>
      <c r="C706">
        <v>2012</v>
      </c>
      <c r="D706" t="s">
        <v>12</v>
      </c>
      <c r="E706" t="s">
        <v>9</v>
      </c>
      <c r="F706" t="s">
        <v>13</v>
      </c>
      <c r="G706" t="str">
        <f>VLOOKUP(A706,[1]Kreise!$A$1:$C$53,3,FALSE)</f>
        <v>K030</v>
      </c>
      <c r="H706">
        <v>12.38148354712772</v>
      </c>
    </row>
    <row r="707" spans="1:8">
      <c r="A707">
        <v>1</v>
      </c>
      <c r="B707" t="s">
        <v>30</v>
      </c>
      <c r="C707">
        <v>2011</v>
      </c>
      <c r="D707" t="s">
        <v>12</v>
      </c>
      <c r="E707" t="s">
        <v>9</v>
      </c>
      <c r="F707" t="s">
        <v>13</v>
      </c>
      <c r="G707" t="str">
        <f>VLOOKUP(A707,[1]Kreise!$A$1:$C$53,3,FALSE)</f>
        <v>K031</v>
      </c>
      <c r="H707">
        <v>16.8</v>
      </c>
    </row>
    <row r="708" spans="1:8">
      <c r="A708">
        <v>2</v>
      </c>
      <c r="B708" t="s">
        <v>31</v>
      </c>
      <c r="C708">
        <v>2011</v>
      </c>
      <c r="D708" t="s">
        <v>12</v>
      </c>
      <c r="E708" t="s">
        <v>9</v>
      </c>
      <c r="F708" t="s">
        <v>13</v>
      </c>
      <c r="G708" t="str">
        <f>VLOOKUP(A708,[1]Kreise!$A$1:$C$53,3,FALSE)</f>
        <v>K032</v>
      </c>
      <c r="H708">
        <v>18.773946360153257</v>
      </c>
    </row>
    <row r="709" spans="1:8">
      <c r="A709">
        <v>3</v>
      </c>
      <c r="B709" t="s">
        <v>32</v>
      </c>
      <c r="C709">
        <v>2011</v>
      </c>
      <c r="D709" t="s">
        <v>12</v>
      </c>
      <c r="E709" t="s">
        <v>9</v>
      </c>
      <c r="F709" t="s">
        <v>13</v>
      </c>
      <c r="G709" t="str">
        <f>VLOOKUP(A709,[1]Kreise!$A$1:$C$53,3,FALSE)</f>
        <v>K033</v>
      </c>
      <c r="H709">
        <v>12.121212121212121</v>
      </c>
    </row>
    <row r="710" spans="1:8">
      <c r="A710">
        <v>4</v>
      </c>
      <c r="B710" t="s">
        <v>33</v>
      </c>
      <c r="C710">
        <v>2011</v>
      </c>
      <c r="D710" t="s">
        <v>12</v>
      </c>
      <c r="E710" t="s">
        <v>9</v>
      </c>
      <c r="F710" t="s">
        <v>13</v>
      </c>
      <c r="G710" t="str">
        <f>VLOOKUP(A710,[1]Kreise!$A$1:$C$53,3,FALSE)</f>
        <v>K034</v>
      </c>
      <c r="H710">
        <v>10.973837209302326</v>
      </c>
    </row>
    <row r="711" spans="1:8">
      <c r="A711">
        <v>0</v>
      </c>
      <c r="B711" t="s">
        <v>34</v>
      </c>
      <c r="C711">
        <v>2011</v>
      </c>
      <c r="D711" t="s">
        <v>12</v>
      </c>
      <c r="E711" t="s">
        <v>9</v>
      </c>
      <c r="F711" t="s">
        <v>13</v>
      </c>
      <c r="G711" t="str">
        <f>VLOOKUP(A711,[1]Kreise!$A$1:$C$53,3,FALSE)</f>
        <v>K030</v>
      </c>
      <c r="H711">
        <v>14.339218833600857</v>
      </c>
    </row>
    <row r="712" spans="1:8">
      <c r="A712">
        <v>1</v>
      </c>
      <c r="B712" t="s">
        <v>145</v>
      </c>
      <c r="C712">
        <v>2010</v>
      </c>
      <c r="D712" t="s">
        <v>12</v>
      </c>
      <c r="E712" t="s">
        <v>9</v>
      </c>
      <c r="F712" t="s">
        <v>13</v>
      </c>
      <c r="G712" t="str">
        <f>VLOOKUP(A712,[1]Kreise!$A$1:$C$53,3,FALSE)</f>
        <v>K031</v>
      </c>
      <c r="H712">
        <v>16.771159874608148</v>
      </c>
    </row>
    <row r="713" spans="1:8">
      <c r="A713">
        <v>2</v>
      </c>
      <c r="B713" t="s">
        <v>146</v>
      </c>
      <c r="C713">
        <v>2010</v>
      </c>
      <c r="D713" t="s">
        <v>12</v>
      </c>
      <c r="E713" t="s">
        <v>9</v>
      </c>
      <c r="F713" t="s">
        <v>13</v>
      </c>
      <c r="G713" t="str">
        <f>VLOOKUP(A713,[1]Kreise!$A$1:$C$53,3,FALSE)</f>
        <v>K032</v>
      </c>
      <c r="H713">
        <v>19.676806083650188</v>
      </c>
    </row>
    <row r="714" spans="1:8">
      <c r="A714">
        <v>3</v>
      </c>
      <c r="B714" t="s">
        <v>147</v>
      </c>
      <c r="C714">
        <v>2010</v>
      </c>
      <c r="D714" t="s">
        <v>12</v>
      </c>
      <c r="E714" t="s">
        <v>9</v>
      </c>
      <c r="F714" t="s">
        <v>13</v>
      </c>
      <c r="G714" t="str">
        <f>VLOOKUP(A714,[1]Kreise!$A$1:$C$53,3,FALSE)</f>
        <v>K033</v>
      </c>
      <c r="H714">
        <v>8.7091757387247277</v>
      </c>
    </row>
    <row r="715" spans="1:8">
      <c r="A715">
        <v>4</v>
      </c>
      <c r="B715" t="s">
        <v>148</v>
      </c>
      <c r="C715">
        <v>2010</v>
      </c>
      <c r="D715" t="s">
        <v>12</v>
      </c>
      <c r="E715" t="s">
        <v>9</v>
      </c>
      <c r="F715" t="s">
        <v>13</v>
      </c>
      <c r="G715" t="str">
        <f>VLOOKUP(A715,[1]Kreise!$A$1:$C$53,3,FALSE)</f>
        <v>K034</v>
      </c>
      <c r="H715">
        <v>9.8958333333333321</v>
      </c>
    </row>
    <row r="716" spans="1:8">
      <c r="A716">
        <v>0</v>
      </c>
      <c r="B716" t="s">
        <v>34</v>
      </c>
      <c r="C716">
        <v>2010</v>
      </c>
      <c r="D716" t="s">
        <v>12</v>
      </c>
      <c r="E716" t="s">
        <v>9</v>
      </c>
      <c r="F716" t="s">
        <v>13</v>
      </c>
      <c r="G716" t="str">
        <f>VLOOKUP(A716,[1]Kreise!$A$1:$C$53,3,FALSE)</f>
        <v>K030</v>
      </c>
      <c r="H716">
        <v>13.679630133260812</v>
      </c>
    </row>
    <row r="717" spans="1:8">
      <c r="A717">
        <v>1</v>
      </c>
      <c r="B717" t="s">
        <v>145</v>
      </c>
      <c r="C717">
        <v>2005</v>
      </c>
      <c r="D717" t="s">
        <v>12</v>
      </c>
      <c r="E717" t="s">
        <v>9</v>
      </c>
      <c r="F717" t="s">
        <v>13</v>
      </c>
      <c r="G717" t="str">
        <f>VLOOKUP(A717,[1]Kreise!$A$1:$C$53,3,FALSE)</f>
        <v>K031</v>
      </c>
      <c r="H717">
        <v>17.534537725823593</v>
      </c>
    </row>
    <row r="718" spans="1:8">
      <c r="A718">
        <v>2</v>
      </c>
      <c r="B718" t="s">
        <v>146</v>
      </c>
      <c r="C718">
        <v>2005</v>
      </c>
      <c r="D718" t="s">
        <v>12</v>
      </c>
      <c r="E718" t="s">
        <v>9</v>
      </c>
      <c r="F718" t="s">
        <v>13</v>
      </c>
      <c r="G718" t="str">
        <f>VLOOKUP(A718,[1]Kreise!$A$1:$C$53,3,FALSE)</f>
        <v>K032</v>
      </c>
      <c r="H718">
        <v>22.938530734632685</v>
      </c>
    </row>
    <row r="719" spans="1:8">
      <c r="A719">
        <v>3</v>
      </c>
      <c r="B719" t="s">
        <v>147</v>
      </c>
      <c r="C719">
        <v>2005</v>
      </c>
      <c r="D719" t="s">
        <v>12</v>
      </c>
      <c r="E719" t="s">
        <v>9</v>
      </c>
      <c r="F719" t="s">
        <v>13</v>
      </c>
      <c r="G719" t="str">
        <f>VLOOKUP(A719,[1]Kreise!$A$1:$C$53,3,FALSE)</f>
        <v>K033</v>
      </c>
      <c r="H719">
        <v>14.345549738219896</v>
      </c>
    </row>
    <row r="720" spans="1:8">
      <c r="A720">
        <v>4</v>
      </c>
      <c r="B720" t="s">
        <v>148</v>
      </c>
      <c r="C720">
        <v>2005</v>
      </c>
      <c r="D720" t="s">
        <v>12</v>
      </c>
      <c r="E720" t="s">
        <v>9</v>
      </c>
      <c r="F720" t="s">
        <v>13</v>
      </c>
      <c r="G720" t="str">
        <f>VLOOKUP(A720,[1]Kreise!$A$1:$C$53,3,FALSE)</f>
        <v>K034</v>
      </c>
      <c r="H720">
        <v>13.034300791556728</v>
      </c>
    </row>
    <row r="721" spans="1:8">
      <c r="A721">
        <v>0</v>
      </c>
      <c r="B721" t="s">
        <v>34</v>
      </c>
      <c r="C721">
        <v>2005</v>
      </c>
      <c r="D721" t="s">
        <v>12</v>
      </c>
      <c r="E721" t="s">
        <v>9</v>
      </c>
      <c r="F721" t="s">
        <v>13</v>
      </c>
      <c r="G721" t="str">
        <f>VLOOKUP(A721,[1]Kreise!$A$1:$C$53,3,FALSE)</f>
        <v>K030</v>
      </c>
      <c r="H721">
        <v>16.682926829268293</v>
      </c>
    </row>
    <row r="722" spans="1:8">
      <c r="A722">
        <v>1</v>
      </c>
      <c r="B722" t="s">
        <v>30</v>
      </c>
      <c r="C722">
        <v>2020</v>
      </c>
      <c r="D722" t="s">
        <v>11</v>
      </c>
      <c r="E722" t="s">
        <v>10</v>
      </c>
      <c r="F722" t="s">
        <v>13</v>
      </c>
      <c r="G722" t="str">
        <f>VLOOKUP(A722,[1]Kreise!$A$1:$C$53,3,FALSE)</f>
        <v>K031</v>
      </c>
      <c r="H722">
        <v>89.781123658162556</v>
      </c>
    </row>
    <row r="723" spans="1:8">
      <c r="A723">
        <v>2</v>
      </c>
      <c r="B723" t="s">
        <v>31</v>
      </c>
      <c r="C723">
        <v>2020</v>
      </c>
      <c r="D723" t="s">
        <v>11</v>
      </c>
      <c r="E723" t="s">
        <v>10</v>
      </c>
      <c r="F723" t="s">
        <v>13</v>
      </c>
      <c r="G723" t="str">
        <f>VLOOKUP(A723,[1]Kreise!$A$1:$C$53,3,FALSE)</f>
        <v>K032</v>
      </c>
      <c r="H723">
        <v>88.027993001749564</v>
      </c>
    </row>
    <row r="724" spans="1:8">
      <c r="A724">
        <v>3</v>
      </c>
      <c r="B724" t="s">
        <v>32</v>
      </c>
      <c r="C724">
        <v>2020</v>
      </c>
      <c r="D724" t="s">
        <v>11</v>
      </c>
      <c r="E724" t="s">
        <v>10</v>
      </c>
      <c r="F724" t="s">
        <v>13</v>
      </c>
      <c r="G724" t="str">
        <f>VLOOKUP(A724,[1]Kreise!$A$1:$C$53,3,FALSE)</f>
        <v>K033</v>
      </c>
      <c r="H724">
        <v>91.816626349637147</v>
      </c>
    </row>
    <row r="725" spans="1:8">
      <c r="A725">
        <v>4</v>
      </c>
      <c r="B725" t="s">
        <v>33</v>
      </c>
      <c r="C725">
        <v>2020</v>
      </c>
      <c r="D725" t="s">
        <v>11</v>
      </c>
      <c r="E725" t="s">
        <v>10</v>
      </c>
      <c r="F725" t="s">
        <v>13</v>
      </c>
      <c r="G725" t="str">
        <f>VLOOKUP(A725,[1]Kreise!$A$1:$C$53,3,FALSE)</f>
        <v>K034</v>
      </c>
      <c r="H725">
        <v>89.30634670544984</v>
      </c>
    </row>
    <row r="726" spans="1:8">
      <c r="A726">
        <v>0</v>
      </c>
      <c r="B726" t="s">
        <v>34</v>
      </c>
      <c r="C726">
        <v>2020</v>
      </c>
      <c r="D726" t="s">
        <v>11</v>
      </c>
      <c r="E726" t="s">
        <v>10</v>
      </c>
      <c r="F726" t="s">
        <v>13</v>
      </c>
      <c r="G726" t="str">
        <f>VLOOKUP(A726,[1]Kreise!$A$1:$C$53,3,FALSE)</f>
        <v>K030</v>
      </c>
      <c r="H726">
        <v>89.61908143005536</v>
      </c>
    </row>
    <row r="727" spans="1:8">
      <c r="A727">
        <v>1</v>
      </c>
      <c r="B727" t="s">
        <v>30</v>
      </c>
      <c r="C727">
        <v>2019</v>
      </c>
      <c r="D727" t="s">
        <v>11</v>
      </c>
      <c r="E727" t="s">
        <v>10</v>
      </c>
      <c r="F727" t="s">
        <v>13</v>
      </c>
      <c r="G727" t="str">
        <f>VLOOKUP(A727,[1]Kreise!$A$1:$C$53,3,FALSE)</f>
        <v>K031</v>
      </c>
      <c r="H727">
        <v>90.731344293349565</v>
      </c>
    </row>
    <row r="728" spans="1:8">
      <c r="A728">
        <v>2</v>
      </c>
      <c r="B728" t="s">
        <v>31</v>
      </c>
      <c r="C728">
        <v>2019</v>
      </c>
      <c r="D728" t="s">
        <v>11</v>
      </c>
      <c r="E728" t="s">
        <v>10</v>
      </c>
      <c r="F728" t="s">
        <v>13</v>
      </c>
      <c r="G728" t="str">
        <f>VLOOKUP(A728,[1]Kreise!$A$1:$C$53,3,FALSE)</f>
        <v>K032</v>
      </c>
      <c r="H728">
        <v>88.945827232796475</v>
      </c>
    </row>
    <row r="729" spans="1:8">
      <c r="A729">
        <v>3</v>
      </c>
      <c r="B729" t="s">
        <v>32</v>
      </c>
      <c r="C729">
        <v>2019</v>
      </c>
      <c r="D729" t="s">
        <v>11</v>
      </c>
      <c r="E729" t="s">
        <v>10</v>
      </c>
      <c r="F729" t="s">
        <v>13</v>
      </c>
      <c r="G729" t="str">
        <f>VLOOKUP(A729,[1]Kreise!$A$1:$C$53,3,FALSE)</f>
        <v>K033</v>
      </c>
      <c r="H729">
        <v>92.85591422510177</v>
      </c>
    </row>
    <row r="730" spans="1:8">
      <c r="A730">
        <v>4</v>
      </c>
      <c r="B730" t="s">
        <v>33</v>
      </c>
      <c r="C730">
        <v>2019</v>
      </c>
      <c r="D730" t="s">
        <v>11</v>
      </c>
      <c r="E730" t="s">
        <v>10</v>
      </c>
      <c r="F730" t="s">
        <v>13</v>
      </c>
      <c r="G730" t="str">
        <f>VLOOKUP(A730,[1]Kreise!$A$1:$C$53,3,FALSE)</f>
        <v>K034</v>
      </c>
      <c r="H730">
        <v>90.678195082410156</v>
      </c>
    </row>
    <row r="731" spans="1:8">
      <c r="A731">
        <v>0</v>
      </c>
      <c r="B731" t="s">
        <v>34</v>
      </c>
      <c r="C731">
        <v>2019</v>
      </c>
      <c r="D731" t="s">
        <v>11</v>
      </c>
      <c r="E731" t="s">
        <v>10</v>
      </c>
      <c r="F731" t="s">
        <v>13</v>
      </c>
      <c r="G731" t="str">
        <f>VLOOKUP(A731,[1]Kreise!$A$1:$C$53,3,FALSE)</f>
        <v>K030</v>
      </c>
      <c r="H731">
        <v>90.719800557117239</v>
      </c>
    </row>
    <row r="732" spans="1:8">
      <c r="A732">
        <v>1</v>
      </c>
      <c r="B732" t="s">
        <v>30</v>
      </c>
      <c r="C732">
        <v>2018</v>
      </c>
      <c r="D732" t="s">
        <v>11</v>
      </c>
      <c r="E732" t="s">
        <v>10</v>
      </c>
      <c r="F732" t="s">
        <v>13</v>
      </c>
      <c r="G732" t="str">
        <f>VLOOKUP(A732,[1]Kreise!$A$1:$C$53,3,FALSE)</f>
        <v>K031</v>
      </c>
      <c r="H732">
        <v>91.40630341149928</v>
      </c>
    </row>
    <row r="733" spans="1:8">
      <c r="A733">
        <v>2</v>
      </c>
      <c r="B733" t="s">
        <v>31</v>
      </c>
      <c r="C733">
        <v>2018</v>
      </c>
      <c r="D733" t="s">
        <v>11</v>
      </c>
      <c r="E733" t="s">
        <v>10</v>
      </c>
      <c r="F733" t="s">
        <v>13</v>
      </c>
      <c r="G733" t="str">
        <f>VLOOKUP(A733,[1]Kreise!$A$1:$C$53,3,FALSE)</f>
        <v>K032</v>
      </c>
      <c r="H733">
        <v>89.893076588127158</v>
      </c>
    </row>
    <row r="734" spans="1:8">
      <c r="A734">
        <v>3</v>
      </c>
      <c r="B734" t="s">
        <v>32</v>
      </c>
      <c r="C734">
        <v>2018</v>
      </c>
      <c r="D734" t="s">
        <v>11</v>
      </c>
      <c r="E734" t="s">
        <v>10</v>
      </c>
      <c r="F734" t="s">
        <v>13</v>
      </c>
      <c r="G734" t="str">
        <f>VLOOKUP(A734,[1]Kreise!$A$1:$C$53,3,FALSE)</f>
        <v>K033</v>
      </c>
      <c r="H734">
        <v>93.327342170298806</v>
      </c>
    </row>
    <row r="735" spans="1:8">
      <c r="A735">
        <v>4</v>
      </c>
      <c r="B735" t="s">
        <v>33</v>
      </c>
      <c r="C735">
        <v>2018</v>
      </c>
      <c r="D735" t="s">
        <v>11</v>
      </c>
      <c r="E735" t="s">
        <v>10</v>
      </c>
      <c r="F735" t="s">
        <v>13</v>
      </c>
      <c r="G735" t="str">
        <f>VLOOKUP(A735,[1]Kreise!$A$1:$C$53,3,FALSE)</f>
        <v>K034</v>
      </c>
      <c r="H735">
        <v>91.775299525280687</v>
      </c>
    </row>
    <row r="736" spans="1:8">
      <c r="A736">
        <v>0</v>
      </c>
      <c r="B736" t="s">
        <v>34</v>
      </c>
      <c r="C736">
        <v>2018</v>
      </c>
      <c r="D736" t="s">
        <v>11</v>
      </c>
      <c r="E736" t="s">
        <v>10</v>
      </c>
      <c r="F736" t="s">
        <v>13</v>
      </c>
      <c r="G736" t="str">
        <f>VLOOKUP(A736,[1]Kreise!$A$1:$C$53,3,FALSE)</f>
        <v>K030</v>
      </c>
      <c r="H736">
        <v>91.566007885286666</v>
      </c>
    </row>
    <row r="737" spans="1:8">
      <c r="A737">
        <v>1</v>
      </c>
      <c r="B737" t="s">
        <v>30</v>
      </c>
      <c r="C737">
        <v>2017</v>
      </c>
      <c r="D737" t="s">
        <v>11</v>
      </c>
      <c r="E737" t="s">
        <v>10</v>
      </c>
      <c r="F737" t="s">
        <v>13</v>
      </c>
      <c r="G737" t="str">
        <f>VLOOKUP(A737,[1]Kreise!$A$1:$C$53,3,FALSE)</f>
        <v>K031</v>
      </c>
      <c r="H737">
        <v>92.095289658906339</v>
      </c>
    </row>
    <row r="738" spans="1:8">
      <c r="A738">
        <v>2</v>
      </c>
      <c r="B738" t="s">
        <v>31</v>
      </c>
      <c r="C738">
        <v>2017</v>
      </c>
      <c r="D738" t="s">
        <v>11</v>
      </c>
      <c r="E738" t="s">
        <v>10</v>
      </c>
      <c r="F738" t="s">
        <v>13</v>
      </c>
      <c r="G738" t="str">
        <f>VLOOKUP(A738,[1]Kreise!$A$1:$C$53,3,FALSE)</f>
        <v>K032</v>
      </c>
      <c r="H738">
        <v>90.536139600447186</v>
      </c>
    </row>
    <row r="739" spans="1:8">
      <c r="A739">
        <v>3</v>
      </c>
      <c r="B739" t="s">
        <v>32</v>
      </c>
      <c r="C739">
        <v>2017</v>
      </c>
      <c r="D739" t="s">
        <v>11</v>
      </c>
      <c r="E739" t="s">
        <v>10</v>
      </c>
      <c r="F739" t="s">
        <v>13</v>
      </c>
      <c r="G739" t="str">
        <f>VLOOKUP(A739,[1]Kreise!$A$1:$C$53,3,FALSE)</f>
        <v>K033</v>
      </c>
      <c r="H739">
        <v>94.226353810830489</v>
      </c>
    </row>
    <row r="740" spans="1:8">
      <c r="A740">
        <v>4</v>
      </c>
      <c r="B740" t="s">
        <v>33</v>
      </c>
      <c r="C740">
        <v>2017</v>
      </c>
      <c r="D740" t="s">
        <v>11</v>
      </c>
      <c r="E740" t="s">
        <v>10</v>
      </c>
      <c r="F740" t="s">
        <v>13</v>
      </c>
      <c r="G740" t="str">
        <f>VLOOKUP(A740,[1]Kreise!$A$1:$C$53,3,FALSE)</f>
        <v>K034</v>
      </c>
      <c r="H740">
        <v>92.599925289503176</v>
      </c>
    </row>
    <row r="741" spans="1:8">
      <c r="A741">
        <v>0</v>
      </c>
      <c r="B741" t="s">
        <v>34</v>
      </c>
      <c r="C741">
        <v>2017</v>
      </c>
      <c r="D741" t="s">
        <v>11</v>
      </c>
      <c r="E741" t="s">
        <v>10</v>
      </c>
      <c r="F741" t="s">
        <v>13</v>
      </c>
      <c r="G741" t="str">
        <f>VLOOKUP(A741,[1]Kreise!$A$1:$C$53,3,FALSE)</f>
        <v>K030</v>
      </c>
      <c r="H741">
        <v>92.338951685505648</v>
      </c>
    </row>
    <row r="742" spans="1:8">
      <c r="A742">
        <v>1</v>
      </c>
      <c r="B742" t="s">
        <v>30</v>
      </c>
      <c r="C742">
        <v>2016</v>
      </c>
      <c r="D742" t="s">
        <v>11</v>
      </c>
      <c r="E742" t="s">
        <v>10</v>
      </c>
      <c r="F742" t="s">
        <v>13</v>
      </c>
      <c r="G742" t="str">
        <f>VLOOKUP(A742,[1]Kreise!$A$1:$C$53,3,FALSE)</f>
        <v>K031</v>
      </c>
      <c r="H742">
        <v>92.946483493951206</v>
      </c>
    </row>
    <row r="743" spans="1:8">
      <c r="A743">
        <v>2</v>
      </c>
      <c r="B743" t="s">
        <v>31</v>
      </c>
      <c r="C743">
        <v>2016</v>
      </c>
      <c r="D743" t="s">
        <v>11</v>
      </c>
      <c r="E743" t="s">
        <v>10</v>
      </c>
      <c r="F743" t="s">
        <v>13</v>
      </c>
      <c r="G743" t="str">
        <f>VLOOKUP(A743,[1]Kreise!$A$1:$C$53,3,FALSE)</f>
        <v>K032</v>
      </c>
      <c r="H743">
        <v>92.188819875776389</v>
      </c>
    </row>
    <row r="744" spans="1:8">
      <c r="A744">
        <v>3</v>
      </c>
      <c r="B744" t="s">
        <v>32</v>
      </c>
      <c r="C744">
        <v>2016</v>
      </c>
      <c r="D744" t="s">
        <v>11</v>
      </c>
      <c r="E744" t="s">
        <v>10</v>
      </c>
      <c r="F744" t="s">
        <v>13</v>
      </c>
      <c r="G744" t="str">
        <f>VLOOKUP(A744,[1]Kreise!$A$1:$C$53,3,FALSE)</f>
        <v>K033</v>
      </c>
      <c r="H744">
        <v>94.808525188055611</v>
      </c>
    </row>
    <row r="745" spans="1:8">
      <c r="A745">
        <v>4</v>
      </c>
      <c r="B745" t="s">
        <v>33</v>
      </c>
      <c r="C745">
        <v>2016</v>
      </c>
      <c r="D745" t="s">
        <v>11</v>
      </c>
      <c r="E745" t="s">
        <v>10</v>
      </c>
      <c r="F745" t="s">
        <v>13</v>
      </c>
      <c r="G745" t="str">
        <f>VLOOKUP(A745,[1]Kreise!$A$1:$C$53,3,FALSE)</f>
        <v>K034</v>
      </c>
      <c r="H745">
        <v>93.596601039414281</v>
      </c>
    </row>
    <row r="746" spans="1:8">
      <c r="A746">
        <v>0</v>
      </c>
      <c r="B746" t="s">
        <v>34</v>
      </c>
      <c r="C746">
        <v>2016</v>
      </c>
      <c r="D746" t="s">
        <v>11</v>
      </c>
      <c r="E746" t="s">
        <v>10</v>
      </c>
      <c r="F746" t="s">
        <v>13</v>
      </c>
      <c r="G746" t="str">
        <f>VLOOKUP(A746,[1]Kreise!$A$1:$C$53,3,FALSE)</f>
        <v>K030</v>
      </c>
      <c r="H746">
        <v>93.385876819424141</v>
      </c>
    </row>
    <row r="747" spans="1:8">
      <c r="A747">
        <v>1</v>
      </c>
      <c r="B747" t="s">
        <v>30</v>
      </c>
      <c r="C747">
        <v>2015</v>
      </c>
      <c r="D747" t="s">
        <v>11</v>
      </c>
      <c r="E747" t="s">
        <v>10</v>
      </c>
      <c r="F747" t="s">
        <v>13</v>
      </c>
      <c r="G747" t="str">
        <f>VLOOKUP(A747,[1]Kreise!$A$1:$C$53,3,FALSE)</f>
        <v>K031</v>
      </c>
      <c r="H747">
        <v>94.408050246505027</v>
      </c>
    </row>
    <row r="748" spans="1:8">
      <c r="A748">
        <v>2</v>
      </c>
      <c r="B748" t="s">
        <v>31</v>
      </c>
      <c r="C748">
        <v>2015</v>
      </c>
      <c r="D748" t="s">
        <v>11</v>
      </c>
      <c r="E748" t="s">
        <v>10</v>
      </c>
      <c r="F748" t="s">
        <v>13</v>
      </c>
      <c r="G748" t="str">
        <f>VLOOKUP(A748,[1]Kreise!$A$1:$C$53,3,FALSE)</f>
        <v>K032</v>
      </c>
      <c r="H748">
        <v>92.489048580006894</v>
      </c>
    </row>
    <row r="749" spans="1:8">
      <c r="A749">
        <v>3</v>
      </c>
      <c r="B749" t="s">
        <v>32</v>
      </c>
      <c r="C749">
        <v>2015</v>
      </c>
      <c r="D749" t="s">
        <v>11</v>
      </c>
      <c r="E749" t="s">
        <v>10</v>
      </c>
      <c r="F749" t="s">
        <v>13</v>
      </c>
      <c r="G749" t="str">
        <f>VLOOKUP(A749,[1]Kreise!$A$1:$C$53,3,FALSE)</f>
        <v>K033</v>
      </c>
      <c r="H749">
        <v>95.931107519090347</v>
      </c>
    </row>
    <row r="750" spans="1:8">
      <c r="A750">
        <v>4</v>
      </c>
      <c r="B750" t="s">
        <v>33</v>
      </c>
      <c r="C750">
        <v>2015</v>
      </c>
      <c r="D750" t="s">
        <v>11</v>
      </c>
      <c r="E750" t="s">
        <v>10</v>
      </c>
      <c r="F750" t="s">
        <v>13</v>
      </c>
      <c r="G750" t="str">
        <f>VLOOKUP(A750,[1]Kreise!$A$1:$C$53,3,FALSE)</f>
        <v>K034</v>
      </c>
      <c r="H750">
        <v>94.85562562230335</v>
      </c>
    </row>
    <row r="751" spans="1:8">
      <c r="A751">
        <v>0</v>
      </c>
      <c r="B751" t="s">
        <v>34</v>
      </c>
      <c r="C751">
        <v>2015</v>
      </c>
      <c r="D751" t="s">
        <v>11</v>
      </c>
      <c r="E751" t="s">
        <v>10</v>
      </c>
      <c r="F751" t="s">
        <v>13</v>
      </c>
      <c r="G751" t="str">
        <f>VLOOKUP(A751,[1]Kreise!$A$1:$C$53,3,FALSE)</f>
        <v>K030</v>
      </c>
      <c r="H751">
        <v>94.413958244992642</v>
      </c>
    </row>
    <row r="752" spans="1:8">
      <c r="A752">
        <v>1</v>
      </c>
      <c r="B752" t="s">
        <v>145</v>
      </c>
      <c r="C752">
        <v>2014</v>
      </c>
      <c r="D752" t="s">
        <v>11</v>
      </c>
      <c r="E752" t="s">
        <v>10</v>
      </c>
      <c r="F752" t="s">
        <v>13</v>
      </c>
      <c r="G752" t="str">
        <f>VLOOKUP(A752,[1]Kreise!$A$1:$C$53,3,FALSE)</f>
        <v>K031</v>
      </c>
      <c r="H752">
        <v>94.776360929509991</v>
      </c>
    </row>
    <row r="753" spans="1:8">
      <c r="A753">
        <v>2</v>
      </c>
      <c r="B753" t="s">
        <v>146</v>
      </c>
      <c r="C753">
        <v>2014</v>
      </c>
      <c r="D753" t="s">
        <v>11</v>
      </c>
      <c r="E753" t="s">
        <v>10</v>
      </c>
      <c r="F753" t="s">
        <v>13</v>
      </c>
      <c r="G753" t="str">
        <f>VLOOKUP(A753,[1]Kreise!$A$1:$C$53,3,FALSE)</f>
        <v>K032</v>
      </c>
      <c r="H753">
        <v>92.92623069149704</v>
      </c>
    </row>
    <row r="754" spans="1:8">
      <c r="A754">
        <v>3</v>
      </c>
      <c r="B754" t="s">
        <v>147</v>
      </c>
      <c r="C754">
        <v>2014</v>
      </c>
      <c r="D754" t="s">
        <v>11</v>
      </c>
      <c r="E754" t="s">
        <v>10</v>
      </c>
      <c r="F754" t="s">
        <v>13</v>
      </c>
      <c r="G754" t="str">
        <f>VLOOKUP(A754,[1]Kreise!$A$1:$C$53,3,FALSE)</f>
        <v>K033</v>
      </c>
      <c r="H754">
        <v>96.123989506932915</v>
      </c>
    </row>
    <row r="755" spans="1:8">
      <c r="A755">
        <v>4</v>
      </c>
      <c r="B755" t="s">
        <v>148</v>
      </c>
      <c r="C755">
        <v>2014</v>
      </c>
      <c r="D755" t="s">
        <v>11</v>
      </c>
      <c r="E755" t="s">
        <v>10</v>
      </c>
      <c r="F755" t="s">
        <v>13</v>
      </c>
      <c r="G755" t="str">
        <f>VLOOKUP(A755,[1]Kreise!$A$1:$C$53,3,FALSE)</f>
        <v>K034</v>
      </c>
      <c r="H755">
        <v>95.018142235123378</v>
      </c>
    </row>
    <row r="756" spans="1:8">
      <c r="A756">
        <v>0</v>
      </c>
      <c r="B756" t="s">
        <v>34</v>
      </c>
      <c r="C756">
        <v>2014</v>
      </c>
      <c r="D756" t="s">
        <v>11</v>
      </c>
      <c r="E756" t="s">
        <v>10</v>
      </c>
      <c r="F756" t="s">
        <v>13</v>
      </c>
      <c r="G756" t="str">
        <f>VLOOKUP(A756,[1]Kreise!$A$1:$C$53,3,FALSE)</f>
        <v>K030</v>
      </c>
      <c r="H756">
        <v>94.696188870969706</v>
      </c>
    </row>
    <row r="757" spans="1:8">
      <c r="A757">
        <v>1</v>
      </c>
      <c r="B757" t="s">
        <v>30</v>
      </c>
      <c r="C757">
        <v>2013</v>
      </c>
      <c r="D757" t="s">
        <v>11</v>
      </c>
      <c r="E757" t="s">
        <v>10</v>
      </c>
      <c r="F757" t="s">
        <v>13</v>
      </c>
      <c r="G757" t="str">
        <f>VLOOKUP(A757,[1]Kreise!$A$1:$C$53,3,FALSE)</f>
        <v>K031</v>
      </c>
      <c r="H757">
        <v>94.167852062588906</v>
      </c>
    </row>
    <row r="758" spans="1:8">
      <c r="A758">
        <v>2</v>
      </c>
      <c r="B758" t="s">
        <v>31</v>
      </c>
      <c r="C758">
        <v>2013</v>
      </c>
      <c r="D758" t="s">
        <v>11</v>
      </c>
      <c r="E758" t="s">
        <v>10</v>
      </c>
      <c r="F758" t="s">
        <v>13</v>
      </c>
      <c r="G758" t="str">
        <f>VLOOKUP(A758,[1]Kreise!$A$1:$C$53,3,FALSE)</f>
        <v>K032</v>
      </c>
      <c r="H758">
        <v>92.291378515444904</v>
      </c>
    </row>
    <row r="759" spans="1:8">
      <c r="A759">
        <v>3</v>
      </c>
      <c r="B759" t="s">
        <v>32</v>
      </c>
      <c r="C759">
        <v>2013</v>
      </c>
      <c r="D759" t="s">
        <v>11</v>
      </c>
      <c r="E759" t="s">
        <v>10</v>
      </c>
      <c r="F759" t="s">
        <v>13</v>
      </c>
      <c r="G759" t="str">
        <f>VLOOKUP(A759,[1]Kreise!$A$1:$C$53,3,FALSE)</f>
        <v>K033</v>
      </c>
      <c r="H759">
        <v>96.519638083487564</v>
      </c>
    </row>
    <row r="760" spans="1:8">
      <c r="A760">
        <v>4</v>
      </c>
      <c r="B760" t="s">
        <v>33</v>
      </c>
      <c r="C760">
        <v>2013</v>
      </c>
      <c r="D760" t="s">
        <v>11</v>
      </c>
      <c r="E760" t="s">
        <v>10</v>
      </c>
      <c r="F760" t="s">
        <v>13</v>
      </c>
      <c r="G760" t="str">
        <f>VLOOKUP(A760,[1]Kreise!$A$1:$C$53,3,FALSE)</f>
        <v>K034</v>
      </c>
      <c r="H760">
        <v>95.384192061635829</v>
      </c>
    </row>
    <row r="761" spans="1:8">
      <c r="A761">
        <v>0</v>
      </c>
      <c r="B761" t="s">
        <v>34</v>
      </c>
      <c r="C761">
        <v>2013</v>
      </c>
      <c r="D761" t="s">
        <v>11</v>
      </c>
      <c r="E761" t="s">
        <v>10</v>
      </c>
      <c r="F761" t="s">
        <v>13</v>
      </c>
      <c r="G761" t="str">
        <f>VLOOKUP(A761,[1]Kreise!$A$1:$C$53,3,FALSE)</f>
        <v>K030</v>
      </c>
      <c r="H761">
        <v>94.635642762053592</v>
      </c>
    </row>
    <row r="762" spans="1:8">
      <c r="A762">
        <v>1</v>
      </c>
      <c r="B762" t="s">
        <v>145</v>
      </c>
      <c r="C762">
        <v>2012</v>
      </c>
      <c r="D762" t="s">
        <v>11</v>
      </c>
      <c r="E762" t="s">
        <v>10</v>
      </c>
      <c r="F762" t="s">
        <v>13</v>
      </c>
      <c r="G762" t="str">
        <f>VLOOKUP(A762,[1]Kreise!$A$1:$C$53,3,FALSE)</f>
        <v>K031</v>
      </c>
      <c r="H762">
        <v>93.695958790703386</v>
      </c>
    </row>
    <row r="763" spans="1:8">
      <c r="A763">
        <v>2</v>
      </c>
      <c r="B763" t="s">
        <v>146</v>
      </c>
      <c r="C763">
        <v>2012</v>
      </c>
      <c r="D763" t="s">
        <v>11</v>
      </c>
      <c r="E763" t="s">
        <v>10</v>
      </c>
      <c r="F763" t="s">
        <v>13</v>
      </c>
      <c r="G763" t="str">
        <f>VLOOKUP(A763,[1]Kreise!$A$1:$C$53,3,FALSE)</f>
        <v>K032</v>
      </c>
      <c r="H763">
        <v>91.531611754229743</v>
      </c>
    </row>
    <row r="764" spans="1:8">
      <c r="A764">
        <v>3</v>
      </c>
      <c r="B764" t="s">
        <v>147</v>
      </c>
      <c r="C764">
        <v>2012</v>
      </c>
      <c r="D764" t="s">
        <v>11</v>
      </c>
      <c r="E764" t="s">
        <v>10</v>
      </c>
      <c r="F764" t="s">
        <v>13</v>
      </c>
      <c r="G764" t="str">
        <f>VLOOKUP(A764,[1]Kreise!$A$1:$C$53,3,FALSE)</f>
        <v>K033</v>
      </c>
      <c r="H764">
        <v>96.078829744006498</v>
      </c>
    </row>
    <row r="765" spans="1:8">
      <c r="A765">
        <v>4</v>
      </c>
      <c r="B765" t="s">
        <v>148</v>
      </c>
      <c r="C765">
        <v>2012</v>
      </c>
      <c r="D765" t="s">
        <v>11</v>
      </c>
      <c r="E765" t="s">
        <v>10</v>
      </c>
      <c r="F765" t="s">
        <v>13</v>
      </c>
      <c r="G765" t="str">
        <f>VLOOKUP(A765,[1]Kreise!$A$1:$C$53,3,FALSE)</f>
        <v>K034</v>
      </c>
      <c r="H765">
        <v>95.143517888722613</v>
      </c>
    </row>
    <row r="766" spans="1:8">
      <c r="A766">
        <v>0</v>
      </c>
      <c r="B766" t="s">
        <v>34</v>
      </c>
      <c r="C766">
        <v>2012</v>
      </c>
      <c r="D766" t="s">
        <v>11</v>
      </c>
      <c r="E766" t="s">
        <v>10</v>
      </c>
      <c r="F766" t="s">
        <v>13</v>
      </c>
      <c r="G766" t="str">
        <f>VLOOKUP(A766,[1]Kreise!$A$1:$C$53,3,FALSE)</f>
        <v>K030</v>
      </c>
      <c r="H766">
        <v>94.161099033678965</v>
      </c>
    </row>
    <row r="767" spans="1:8">
      <c r="A767">
        <v>1</v>
      </c>
      <c r="B767" t="s">
        <v>30</v>
      </c>
      <c r="C767">
        <v>2011</v>
      </c>
      <c r="D767" t="s">
        <v>11</v>
      </c>
      <c r="E767" t="s">
        <v>10</v>
      </c>
      <c r="F767" t="s">
        <v>13</v>
      </c>
      <c r="G767" t="str">
        <f>VLOOKUP(A767,[1]Kreise!$A$1:$C$53,3,FALSE)</f>
        <v>K031</v>
      </c>
      <c r="H767">
        <v>93.619019665394774</v>
      </c>
    </row>
    <row r="768" spans="1:8">
      <c r="A768">
        <v>2</v>
      </c>
      <c r="B768" t="s">
        <v>31</v>
      </c>
      <c r="C768">
        <v>2011</v>
      </c>
      <c r="D768" t="s">
        <v>11</v>
      </c>
      <c r="E768" t="s">
        <v>10</v>
      </c>
      <c r="F768" t="s">
        <v>13</v>
      </c>
      <c r="G768" t="str">
        <f>VLOOKUP(A768,[1]Kreise!$A$1:$C$53,3,FALSE)</f>
        <v>K032</v>
      </c>
      <c r="H768">
        <v>91.406959152798791</v>
      </c>
    </row>
    <row r="769" spans="1:8">
      <c r="A769">
        <v>3</v>
      </c>
      <c r="B769" t="s">
        <v>32</v>
      </c>
      <c r="C769">
        <v>2011</v>
      </c>
      <c r="D769" t="s">
        <v>11</v>
      </c>
      <c r="E769" t="s">
        <v>10</v>
      </c>
      <c r="F769" t="s">
        <v>13</v>
      </c>
      <c r="G769" t="str">
        <f>VLOOKUP(A769,[1]Kreise!$A$1:$C$53,3,FALSE)</f>
        <v>K033</v>
      </c>
      <c r="H769">
        <v>95.844781875150645</v>
      </c>
    </row>
    <row r="770" spans="1:8">
      <c r="A770">
        <v>4</v>
      </c>
      <c r="B770" t="s">
        <v>33</v>
      </c>
      <c r="C770">
        <v>2011</v>
      </c>
      <c r="D770" t="s">
        <v>11</v>
      </c>
      <c r="E770" t="s">
        <v>10</v>
      </c>
      <c r="F770" t="s">
        <v>13</v>
      </c>
      <c r="G770" t="str">
        <f>VLOOKUP(A770,[1]Kreise!$A$1:$C$53,3,FALSE)</f>
        <v>K034</v>
      </c>
      <c r="H770">
        <v>94.909410272257105</v>
      </c>
    </row>
    <row r="771" spans="1:8">
      <c r="A771">
        <v>0</v>
      </c>
      <c r="B771" t="s">
        <v>34</v>
      </c>
      <c r="C771">
        <v>2011</v>
      </c>
      <c r="D771" t="s">
        <v>11</v>
      </c>
      <c r="E771" t="s">
        <v>10</v>
      </c>
      <c r="F771" t="s">
        <v>13</v>
      </c>
      <c r="G771" t="str">
        <f>VLOOKUP(A771,[1]Kreise!$A$1:$C$53,3,FALSE)</f>
        <v>K030</v>
      </c>
      <c r="H771">
        <v>93.997250649152292</v>
      </c>
    </row>
    <row r="772" spans="1:8">
      <c r="A772">
        <v>1</v>
      </c>
      <c r="B772" t="s">
        <v>145</v>
      </c>
      <c r="C772">
        <v>2010</v>
      </c>
      <c r="D772" t="s">
        <v>11</v>
      </c>
      <c r="E772" t="s">
        <v>10</v>
      </c>
      <c r="F772" t="s">
        <v>13</v>
      </c>
      <c r="G772" t="str">
        <f>VLOOKUP(A772,[1]Kreise!$A$1:$C$53,3,FALSE)</f>
        <v>K031</v>
      </c>
      <c r="H772">
        <v>93.407288194045293</v>
      </c>
    </row>
    <row r="773" spans="1:8">
      <c r="A773">
        <v>2</v>
      </c>
      <c r="B773" t="s">
        <v>146</v>
      </c>
      <c r="C773">
        <v>2010</v>
      </c>
      <c r="D773" t="s">
        <v>11</v>
      </c>
      <c r="E773" t="s">
        <v>10</v>
      </c>
      <c r="F773" t="s">
        <v>13</v>
      </c>
      <c r="G773" t="str">
        <f>VLOOKUP(A773,[1]Kreise!$A$1:$C$53,3,FALSE)</f>
        <v>K032</v>
      </c>
      <c r="H773">
        <v>91.404594021715624</v>
      </c>
    </row>
    <row r="774" spans="1:8">
      <c r="A774">
        <v>3</v>
      </c>
      <c r="B774" t="s">
        <v>147</v>
      </c>
      <c r="C774">
        <v>2010</v>
      </c>
      <c r="D774" t="s">
        <v>11</v>
      </c>
      <c r="E774" t="s">
        <v>10</v>
      </c>
      <c r="F774" t="s">
        <v>13</v>
      </c>
      <c r="G774" t="str">
        <f>VLOOKUP(A774,[1]Kreise!$A$1:$C$53,3,FALSE)</f>
        <v>K033</v>
      </c>
      <c r="H774">
        <v>96.07439992349623</v>
      </c>
    </row>
    <row r="775" spans="1:8">
      <c r="A775">
        <v>4</v>
      </c>
      <c r="B775" t="s">
        <v>148</v>
      </c>
      <c r="C775">
        <v>2010</v>
      </c>
      <c r="D775" t="s">
        <v>11</v>
      </c>
      <c r="E775" t="s">
        <v>10</v>
      </c>
      <c r="F775" t="s">
        <v>13</v>
      </c>
      <c r="G775" t="str">
        <f>VLOOKUP(A775,[1]Kreise!$A$1:$C$53,3,FALSE)</f>
        <v>K034</v>
      </c>
      <c r="H775">
        <v>95.375369584779534</v>
      </c>
    </row>
    <row r="776" spans="1:8">
      <c r="A776">
        <v>0</v>
      </c>
      <c r="B776" t="s">
        <v>34</v>
      </c>
      <c r="C776">
        <v>2010</v>
      </c>
      <c r="D776" t="s">
        <v>11</v>
      </c>
      <c r="E776" t="s">
        <v>10</v>
      </c>
      <c r="F776" t="s">
        <v>13</v>
      </c>
      <c r="G776" t="str">
        <f>VLOOKUP(A776,[1]Kreise!$A$1:$C$53,3,FALSE)</f>
        <v>K030</v>
      </c>
      <c r="H776">
        <v>94.171484142849422</v>
      </c>
    </row>
    <row r="777" spans="1:8">
      <c r="A777">
        <v>1</v>
      </c>
      <c r="B777" t="s">
        <v>145</v>
      </c>
      <c r="C777">
        <v>2005</v>
      </c>
      <c r="D777" t="s">
        <v>11</v>
      </c>
      <c r="E777" t="s">
        <v>10</v>
      </c>
      <c r="F777" t="s">
        <v>13</v>
      </c>
      <c r="G777" t="str">
        <f>VLOOKUP(A777,[1]Kreise!$A$1:$C$53,3,FALSE)</f>
        <v>K031</v>
      </c>
      <c r="H777">
        <v>92.663769178404991</v>
      </c>
    </row>
    <row r="778" spans="1:8">
      <c r="A778">
        <v>2</v>
      </c>
      <c r="B778" t="s">
        <v>146</v>
      </c>
      <c r="C778">
        <v>2005</v>
      </c>
      <c r="D778" t="s">
        <v>11</v>
      </c>
      <c r="E778" t="s">
        <v>10</v>
      </c>
      <c r="F778" t="s">
        <v>13</v>
      </c>
      <c r="G778" t="str">
        <f>VLOOKUP(A778,[1]Kreise!$A$1:$C$53,3,FALSE)</f>
        <v>K032</v>
      </c>
      <c r="H778">
        <v>90.123712193305465</v>
      </c>
    </row>
    <row r="779" spans="1:8">
      <c r="A779">
        <v>3</v>
      </c>
      <c r="B779" t="s">
        <v>147</v>
      </c>
      <c r="C779">
        <v>2005</v>
      </c>
      <c r="D779" t="s">
        <v>11</v>
      </c>
      <c r="E779" t="s">
        <v>10</v>
      </c>
      <c r="F779" t="s">
        <v>13</v>
      </c>
      <c r="G779" t="str">
        <f>VLOOKUP(A779,[1]Kreise!$A$1:$C$53,3,FALSE)</f>
        <v>K033</v>
      </c>
      <c r="H779">
        <v>95.095870206489678</v>
      </c>
    </row>
    <row r="780" spans="1:8">
      <c r="A780">
        <v>4</v>
      </c>
      <c r="B780" t="s">
        <v>148</v>
      </c>
      <c r="C780">
        <v>2005</v>
      </c>
      <c r="D780" t="s">
        <v>11</v>
      </c>
      <c r="E780" t="s">
        <v>10</v>
      </c>
      <c r="F780" t="s">
        <v>13</v>
      </c>
      <c r="G780" t="str">
        <f>VLOOKUP(A780,[1]Kreise!$A$1:$C$53,3,FALSE)</f>
        <v>K034</v>
      </c>
      <c r="H780">
        <v>94.842767295597483</v>
      </c>
    </row>
    <row r="781" spans="1:8">
      <c r="A781">
        <v>0</v>
      </c>
      <c r="B781" t="s">
        <v>34</v>
      </c>
      <c r="C781">
        <v>2005</v>
      </c>
      <c r="D781" t="s">
        <v>11</v>
      </c>
      <c r="E781" t="s">
        <v>10</v>
      </c>
      <c r="F781" t="s">
        <v>13</v>
      </c>
      <c r="G781" t="str">
        <f>VLOOKUP(A781,[1]Kreise!$A$1:$C$53,3,FALSE)</f>
        <v>K030</v>
      </c>
      <c r="H781">
        <v>93.303402113636139</v>
      </c>
    </row>
    <row r="782" spans="1:8">
      <c r="A782">
        <v>1</v>
      </c>
      <c r="B782" t="s">
        <v>30</v>
      </c>
      <c r="C782">
        <v>2020</v>
      </c>
      <c r="D782" t="s">
        <v>12</v>
      </c>
      <c r="E782" t="s">
        <v>10</v>
      </c>
      <c r="F782" t="s">
        <v>13</v>
      </c>
      <c r="G782" t="str">
        <f>VLOOKUP(A782,[1]Kreise!$A$1:$C$53,3,FALSE)</f>
        <v>K031</v>
      </c>
      <c r="H782">
        <v>10.218876341837447</v>
      </c>
    </row>
    <row r="783" spans="1:8">
      <c r="A783">
        <v>2</v>
      </c>
      <c r="B783" t="s">
        <v>31</v>
      </c>
      <c r="C783">
        <v>2020</v>
      </c>
      <c r="D783" t="s">
        <v>12</v>
      </c>
      <c r="E783" t="s">
        <v>10</v>
      </c>
      <c r="F783" t="s">
        <v>13</v>
      </c>
      <c r="G783" t="str">
        <f>VLOOKUP(A783,[1]Kreise!$A$1:$C$53,3,FALSE)</f>
        <v>K032</v>
      </c>
      <c r="H783">
        <v>11.972006998250437</v>
      </c>
    </row>
    <row r="784" spans="1:8">
      <c r="A784">
        <v>3</v>
      </c>
      <c r="B784" t="s">
        <v>32</v>
      </c>
      <c r="C784">
        <v>2020</v>
      </c>
      <c r="D784" t="s">
        <v>12</v>
      </c>
      <c r="E784" t="s">
        <v>10</v>
      </c>
      <c r="F784" t="s">
        <v>13</v>
      </c>
      <c r="G784" t="str">
        <f>VLOOKUP(A784,[1]Kreise!$A$1:$C$53,3,FALSE)</f>
        <v>K033</v>
      </c>
      <c r="H784">
        <v>8.1833736503628529</v>
      </c>
    </row>
    <row r="785" spans="1:8">
      <c r="A785">
        <v>4</v>
      </c>
      <c r="B785" t="s">
        <v>33</v>
      </c>
      <c r="C785">
        <v>2020</v>
      </c>
      <c r="D785" t="s">
        <v>12</v>
      </c>
      <c r="E785" t="s">
        <v>10</v>
      </c>
      <c r="F785" t="s">
        <v>13</v>
      </c>
      <c r="G785" t="str">
        <f>VLOOKUP(A785,[1]Kreise!$A$1:$C$53,3,FALSE)</f>
        <v>K034</v>
      </c>
      <c r="H785">
        <v>10.693653294550156</v>
      </c>
    </row>
    <row r="786" spans="1:8">
      <c r="A786">
        <v>0</v>
      </c>
      <c r="B786" t="s">
        <v>34</v>
      </c>
      <c r="C786">
        <v>2020</v>
      </c>
      <c r="D786" t="s">
        <v>12</v>
      </c>
      <c r="E786" t="s">
        <v>10</v>
      </c>
      <c r="F786" t="s">
        <v>13</v>
      </c>
      <c r="G786" t="str">
        <f>VLOOKUP(A786,[1]Kreise!$A$1:$C$53,3,FALSE)</f>
        <v>K030</v>
      </c>
      <c r="H786">
        <v>10.380918569944644</v>
      </c>
    </row>
    <row r="787" spans="1:8">
      <c r="A787">
        <v>1</v>
      </c>
      <c r="B787" t="s">
        <v>30</v>
      </c>
      <c r="C787">
        <v>2019</v>
      </c>
      <c r="D787" t="s">
        <v>12</v>
      </c>
      <c r="E787" t="s">
        <v>10</v>
      </c>
      <c r="F787" t="s">
        <v>13</v>
      </c>
      <c r="G787" t="str">
        <f>VLOOKUP(A787,[1]Kreise!$A$1:$C$53,3,FALSE)</f>
        <v>K031</v>
      </c>
      <c r="H787">
        <v>9.2686557066504296</v>
      </c>
    </row>
    <row r="788" spans="1:8">
      <c r="A788">
        <v>2</v>
      </c>
      <c r="B788" t="s">
        <v>31</v>
      </c>
      <c r="C788">
        <v>2019</v>
      </c>
      <c r="D788" t="s">
        <v>12</v>
      </c>
      <c r="E788" t="s">
        <v>10</v>
      </c>
      <c r="F788" t="s">
        <v>13</v>
      </c>
      <c r="G788" t="str">
        <f>VLOOKUP(A788,[1]Kreise!$A$1:$C$53,3,FALSE)</f>
        <v>K032</v>
      </c>
      <c r="H788">
        <v>11.054172767203514</v>
      </c>
    </row>
    <row r="789" spans="1:8">
      <c r="A789">
        <v>3</v>
      </c>
      <c r="B789" t="s">
        <v>32</v>
      </c>
      <c r="C789">
        <v>2019</v>
      </c>
      <c r="D789" t="s">
        <v>12</v>
      </c>
      <c r="E789" t="s">
        <v>10</v>
      </c>
      <c r="F789" t="s">
        <v>13</v>
      </c>
      <c r="G789" t="str">
        <f>VLOOKUP(A789,[1]Kreise!$A$1:$C$53,3,FALSE)</f>
        <v>K033</v>
      </c>
      <c r="H789">
        <v>7.1440857748982287</v>
      </c>
    </row>
    <row r="790" spans="1:8">
      <c r="A790">
        <v>4</v>
      </c>
      <c r="B790" t="s">
        <v>33</v>
      </c>
      <c r="C790">
        <v>2019</v>
      </c>
      <c r="D790" t="s">
        <v>12</v>
      </c>
      <c r="E790" t="s">
        <v>10</v>
      </c>
      <c r="F790" t="s">
        <v>13</v>
      </c>
      <c r="G790" t="str">
        <f>VLOOKUP(A790,[1]Kreise!$A$1:$C$53,3,FALSE)</f>
        <v>K034</v>
      </c>
      <c r="H790">
        <v>9.3218049175898408</v>
      </c>
    </row>
    <row r="791" spans="1:8">
      <c r="A791">
        <v>0</v>
      </c>
      <c r="B791" t="s">
        <v>34</v>
      </c>
      <c r="C791">
        <v>2019</v>
      </c>
      <c r="D791" t="s">
        <v>12</v>
      </c>
      <c r="E791" t="s">
        <v>10</v>
      </c>
      <c r="F791" t="s">
        <v>13</v>
      </c>
      <c r="G791" t="str">
        <f>VLOOKUP(A791,[1]Kreise!$A$1:$C$53,3,FALSE)</f>
        <v>K030</v>
      </c>
      <c r="H791">
        <v>9.2801994428827648</v>
      </c>
    </row>
    <row r="792" spans="1:8">
      <c r="A792">
        <v>1</v>
      </c>
      <c r="B792" t="s">
        <v>30</v>
      </c>
      <c r="C792">
        <v>2018</v>
      </c>
      <c r="D792" t="s">
        <v>12</v>
      </c>
      <c r="E792" t="s">
        <v>10</v>
      </c>
      <c r="F792" t="s">
        <v>13</v>
      </c>
      <c r="G792" t="str">
        <f>VLOOKUP(A792,[1]Kreise!$A$1:$C$53,3,FALSE)</f>
        <v>K031</v>
      </c>
      <c r="H792">
        <v>8.5936965885007179</v>
      </c>
    </row>
    <row r="793" spans="1:8">
      <c r="A793">
        <v>2</v>
      </c>
      <c r="B793" t="s">
        <v>31</v>
      </c>
      <c r="C793">
        <v>2018</v>
      </c>
      <c r="D793" t="s">
        <v>12</v>
      </c>
      <c r="E793" t="s">
        <v>10</v>
      </c>
      <c r="F793" t="s">
        <v>13</v>
      </c>
      <c r="G793" t="str">
        <f>VLOOKUP(A793,[1]Kreise!$A$1:$C$53,3,FALSE)</f>
        <v>K032</v>
      </c>
      <c r="H793">
        <v>10.106923411872854</v>
      </c>
    </row>
    <row r="794" spans="1:8">
      <c r="A794">
        <v>3</v>
      </c>
      <c r="B794" t="s">
        <v>32</v>
      </c>
      <c r="C794">
        <v>2018</v>
      </c>
      <c r="D794" t="s">
        <v>12</v>
      </c>
      <c r="E794" t="s">
        <v>10</v>
      </c>
      <c r="F794" t="s">
        <v>13</v>
      </c>
      <c r="G794" t="str">
        <f>VLOOKUP(A794,[1]Kreise!$A$1:$C$53,3,FALSE)</f>
        <v>K033</v>
      </c>
      <c r="H794">
        <v>6.6726578297011914</v>
      </c>
    </row>
    <row r="795" spans="1:8">
      <c r="A795">
        <v>4</v>
      </c>
      <c r="B795" t="s">
        <v>33</v>
      </c>
      <c r="C795">
        <v>2018</v>
      </c>
      <c r="D795" t="s">
        <v>12</v>
      </c>
      <c r="E795" t="s">
        <v>10</v>
      </c>
      <c r="F795" t="s">
        <v>13</v>
      </c>
      <c r="G795" t="str">
        <f>VLOOKUP(A795,[1]Kreise!$A$1:$C$53,3,FALSE)</f>
        <v>K034</v>
      </c>
      <c r="H795">
        <v>8.2247004747193131</v>
      </c>
    </row>
    <row r="796" spans="1:8">
      <c r="A796">
        <v>0</v>
      </c>
      <c r="B796" t="s">
        <v>34</v>
      </c>
      <c r="C796">
        <v>2018</v>
      </c>
      <c r="D796" t="s">
        <v>12</v>
      </c>
      <c r="E796" t="s">
        <v>10</v>
      </c>
      <c r="F796" t="s">
        <v>13</v>
      </c>
      <c r="G796" t="str">
        <f>VLOOKUP(A796,[1]Kreise!$A$1:$C$53,3,FALSE)</f>
        <v>K030</v>
      </c>
      <c r="H796">
        <v>8.4339921147133428</v>
      </c>
    </row>
    <row r="797" spans="1:8">
      <c r="A797">
        <v>1</v>
      </c>
      <c r="B797" t="s">
        <v>30</v>
      </c>
      <c r="C797">
        <v>2017</v>
      </c>
      <c r="D797" t="s">
        <v>12</v>
      </c>
      <c r="E797" t="s">
        <v>10</v>
      </c>
      <c r="F797" t="s">
        <v>13</v>
      </c>
      <c r="G797" t="str">
        <f>VLOOKUP(A797,[1]Kreise!$A$1:$C$53,3,FALSE)</f>
        <v>K031</v>
      </c>
      <c r="H797">
        <v>7.904710341093665</v>
      </c>
    </row>
    <row r="798" spans="1:8">
      <c r="A798">
        <v>2</v>
      </c>
      <c r="B798" t="s">
        <v>31</v>
      </c>
      <c r="C798">
        <v>2017</v>
      </c>
      <c r="D798" t="s">
        <v>12</v>
      </c>
      <c r="E798" t="s">
        <v>10</v>
      </c>
      <c r="F798" t="s">
        <v>13</v>
      </c>
      <c r="G798" t="str">
        <f>VLOOKUP(A798,[1]Kreise!$A$1:$C$53,3,FALSE)</f>
        <v>K032</v>
      </c>
      <c r="H798">
        <v>9.4638603995528126</v>
      </c>
    </row>
    <row r="799" spans="1:8">
      <c r="A799">
        <v>3</v>
      </c>
      <c r="B799" t="s">
        <v>32</v>
      </c>
      <c r="C799">
        <v>2017</v>
      </c>
      <c r="D799" t="s">
        <v>12</v>
      </c>
      <c r="E799" t="s">
        <v>10</v>
      </c>
      <c r="F799" t="s">
        <v>13</v>
      </c>
      <c r="G799" t="str">
        <f>VLOOKUP(A799,[1]Kreise!$A$1:$C$53,3,FALSE)</f>
        <v>K033</v>
      </c>
      <c r="H799">
        <v>5.7736461891695132</v>
      </c>
    </row>
    <row r="800" spans="1:8">
      <c r="A800">
        <v>4</v>
      </c>
      <c r="B800" t="s">
        <v>33</v>
      </c>
      <c r="C800">
        <v>2017</v>
      </c>
      <c r="D800" t="s">
        <v>12</v>
      </c>
      <c r="E800" t="s">
        <v>10</v>
      </c>
      <c r="F800" t="s">
        <v>13</v>
      </c>
      <c r="G800" t="str">
        <f>VLOOKUP(A800,[1]Kreise!$A$1:$C$53,3,FALSE)</f>
        <v>K034</v>
      </c>
      <c r="H800">
        <v>7.400074710496825</v>
      </c>
    </row>
    <row r="801" spans="1:8">
      <c r="A801">
        <v>0</v>
      </c>
      <c r="B801" t="s">
        <v>34</v>
      </c>
      <c r="C801">
        <v>2017</v>
      </c>
      <c r="D801" t="s">
        <v>12</v>
      </c>
      <c r="E801" t="s">
        <v>10</v>
      </c>
      <c r="F801" t="s">
        <v>13</v>
      </c>
      <c r="G801" t="str">
        <f>VLOOKUP(A801,[1]Kreise!$A$1:$C$53,3,FALSE)</f>
        <v>K030</v>
      </c>
      <c r="H801">
        <v>7.661048314494348</v>
      </c>
    </row>
    <row r="802" spans="1:8">
      <c r="A802">
        <v>1</v>
      </c>
      <c r="B802" t="s">
        <v>30</v>
      </c>
      <c r="C802">
        <v>2016</v>
      </c>
      <c r="D802" t="s">
        <v>12</v>
      </c>
      <c r="E802" t="s">
        <v>10</v>
      </c>
      <c r="F802" t="s">
        <v>13</v>
      </c>
      <c r="G802" t="str">
        <f>VLOOKUP(A802,[1]Kreise!$A$1:$C$53,3,FALSE)</f>
        <v>K031</v>
      </c>
      <c r="H802">
        <v>7.0535165060488003</v>
      </c>
    </row>
    <row r="803" spans="1:8">
      <c r="A803">
        <v>2</v>
      </c>
      <c r="B803" t="s">
        <v>31</v>
      </c>
      <c r="C803">
        <v>2016</v>
      </c>
      <c r="D803" t="s">
        <v>12</v>
      </c>
      <c r="E803" t="s">
        <v>10</v>
      </c>
      <c r="F803" t="s">
        <v>13</v>
      </c>
      <c r="G803" t="str">
        <f>VLOOKUP(A803,[1]Kreise!$A$1:$C$53,3,FALSE)</f>
        <v>K032</v>
      </c>
      <c r="H803">
        <v>7.8111801242236032</v>
      </c>
    </row>
    <row r="804" spans="1:8">
      <c r="A804">
        <v>3</v>
      </c>
      <c r="B804" t="s">
        <v>32</v>
      </c>
      <c r="C804">
        <v>2016</v>
      </c>
      <c r="D804" t="s">
        <v>12</v>
      </c>
      <c r="E804" t="s">
        <v>10</v>
      </c>
      <c r="F804" t="s">
        <v>13</v>
      </c>
      <c r="G804" t="str">
        <f>VLOOKUP(A804,[1]Kreise!$A$1:$C$53,3,FALSE)</f>
        <v>K033</v>
      </c>
      <c r="H804">
        <v>5.1914748119443814</v>
      </c>
    </row>
    <row r="805" spans="1:8">
      <c r="A805">
        <v>4</v>
      </c>
      <c r="B805" t="s">
        <v>33</v>
      </c>
      <c r="C805">
        <v>2016</v>
      </c>
      <c r="D805" t="s">
        <v>12</v>
      </c>
      <c r="E805" t="s">
        <v>10</v>
      </c>
      <c r="F805" t="s">
        <v>13</v>
      </c>
      <c r="G805" t="str">
        <f>VLOOKUP(A805,[1]Kreise!$A$1:$C$53,3,FALSE)</f>
        <v>K034</v>
      </c>
      <c r="H805">
        <v>6.4033989605857142</v>
      </c>
    </row>
    <row r="806" spans="1:8">
      <c r="A806">
        <v>0</v>
      </c>
      <c r="B806" t="s">
        <v>34</v>
      </c>
      <c r="C806">
        <v>2016</v>
      </c>
      <c r="D806" t="s">
        <v>12</v>
      </c>
      <c r="E806" t="s">
        <v>10</v>
      </c>
      <c r="F806" t="s">
        <v>13</v>
      </c>
      <c r="G806" t="str">
        <f>VLOOKUP(A806,[1]Kreise!$A$1:$C$53,3,FALSE)</f>
        <v>K030</v>
      </c>
      <c r="H806">
        <v>6.6141231805758594</v>
      </c>
    </row>
    <row r="807" spans="1:8">
      <c r="A807">
        <v>1</v>
      </c>
      <c r="B807" t="s">
        <v>30</v>
      </c>
      <c r="C807">
        <v>2015</v>
      </c>
      <c r="D807" t="s">
        <v>12</v>
      </c>
      <c r="E807" t="s">
        <v>10</v>
      </c>
      <c r="F807" t="s">
        <v>13</v>
      </c>
      <c r="G807" t="str">
        <f>VLOOKUP(A807,[1]Kreise!$A$1:$C$53,3,FALSE)</f>
        <v>K031</v>
      </c>
      <c r="H807">
        <v>5.5919497534949691</v>
      </c>
    </row>
    <row r="808" spans="1:8">
      <c r="A808">
        <v>2</v>
      </c>
      <c r="B808" t="s">
        <v>31</v>
      </c>
      <c r="C808">
        <v>2015</v>
      </c>
      <c r="D808" t="s">
        <v>12</v>
      </c>
      <c r="E808" t="s">
        <v>10</v>
      </c>
      <c r="F808" t="s">
        <v>13</v>
      </c>
      <c r="G808" t="str">
        <f>VLOOKUP(A808,[1]Kreise!$A$1:$C$53,3,FALSE)</f>
        <v>K032</v>
      </c>
      <c r="H808">
        <v>7.5109514199931091</v>
      </c>
    </row>
    <row r="809" spans="1:8">
      <c r="A809">
        <v>3</v>
      </c>
      <c r="B809" t="s">
        <v>32</v>
      </c>
      <c r="C809">
        <v>2015</v>
      </c>
      <c r="D809" t="s">
        <v>12</v>
      </c>
      <c r="E809" t="s">
        <v>10</v>
      </c>
      <c r="F809" t="s">
        <v>13</v>
      </c>
      <c r="G809" t="str">
        <f>VLOOKUP(A809,[1]Kreise!$A$1:$C$53,3,FALSE)</f>
        <v>K033</v>
      </c>
      <c r="H809">
        <v>4.0688924809096489</v>
      </c>
    </row>
    <row r="810" spans="1:8">
      <c r="A810">
        <v>4</v>
      </c>
      <c r="B810" t="s">
        <v>33</v>
      </c>
      <c r="C810">
        <v>2015</v>
      </c>
      <c r="D810" t="s">
        <v>12</v>
      </c>
      <c r="E810" t="s">
        <v>10</v>
      </c>
      <c r="F810" t="s">
        <v>13</v>
      </c>
      <c r="G810" t="str">
        <f>VLOOKUP(A810,[1]Kreise!$A$1:$C$53,3,FALSE)</f>
        <v>K034</v>
      </c>
      <c r="H810">
        <v>5.1443743776966482</v>
      </c>
    </row>
    <row r="811" spans="1:8">
      <c r="A811">
        <v>0</v>
      </c>
      <c r="B811" t="s">
        <v>34</v>
      </c>
      <c r="C811">
        <v>2015</v>
      </c>
      <c r="D811" t="s">
        <v>12</v>
      </c>
      <c r="E811" t="s">
        <v>10</v>
      </c>
      <c r="F811" t="s">
        <v>13</v>
      </c>
      <c r="G811" t="str">
        <f>VLOOKUP(A811,[1]Kreise!$A$1:$C$53,3,FALSE)</f>
        <v>K030</v>
      </c>
      <c r="H811">
        <v>5.5860417550073578</v>
      </c>
    </row>
    <row r="812" spans="1:8">
      <c r="A812">
        <v>1</v>
      </c>
      <c r="B812" t="s">
        <v>145</v>
      </c>
      <c r="C812">
        <v>2014</v>
      </c>
      <c r="D812" t="s">
        <v>12</v>
      </c>
      <c r="E812" t="s">
        <v>10</v>
      </c>
      <c r="F812" t="s">
        <v>13</v>
      </c>
      <c r="G812" t="str">
        <f>VLOOKUP(A812,[1]Kreise!$A$1:$C$53,3,FALSE)</f>
        <v>K031</v>
      </c>
      <c r="H812">
        <v>5.2236390704899991</v>
      </c>
    </row>
    <row r="813" spans="1:8">
      <c r="A813">
        <v>2</v>
      </c>
      <c r="B813" t="s">
        <v>146</v>
      </c>
      <c r="C813">
        <v>2014</v>
      </c>
      <c r="D813" t="s">
        <v>12</v>
      </c>
      <c r="E813" t="s">
        <v>10</v>
      </c>
      <c r="F813" t="s">
        <v>13</v>
      </c>
      <c r="G813" t="str">
        <f>VLOOKUP(A813,[1]Kreise!$A$1:$C$53,3,FALSE)</f>
        <v>K032</v>
      </c>
      <c r="H813">
        <v>7.0737693085029596</v>
      </c>
    </row>
    <row r="814" spans="1:8">
      <c r="A814">
        <v>3</v>
      </c>
      <c r="B814" t="s">
        <v>147</v>
      </c>
      <c r="C814">
        <v>2014</v>
      </c>
      <c r="D814" t="s">
        <v>12</v>
      </c>
      <c r="E814" t="s">
        <v>10</v>
      </c>
      <c r="F814" t="s">
        <v>13</v>
      </c>
      <c r="G814" t="str">
        <f>VLOOKUP(A814,[1]Kreise!$A$1:$C$53,3,FALSE)</f>
        <v>K033</v>
      </c>
      <c r="H814">
        <v>3.8760104930670809</v>
      </c>
    </row>
    <row r="815" spans="1:8">
      <c r="A815">
        <v>4</v>
      </c>
      <c r="B815" t="s">
        <v>148</v>
      </c>
      <c r="C815">
        <v>2014</v>
      </c>
      <c r="D815" t="s">
        <v>12</v>
      </c>
      <c r="E815" t="s">
        <v>10</v>
      </c>
      <c r="F815" t="s">
        <v>13</v>
      </c>
      <c r="G815" t="str">
        <f>VLOOKUP(A815,[1]Kreise!$A$1:$C$53,3,FALSE)</f>
        <v>K034</v>
      </c>
      <c r="H815">
        <v>4.9818577648766329</v>
      </c>
    </row>
    <row r="816" spans="1:8">
      <c r="A816">
        <v>0</v>
      </c>
      <c r="B816" t="s">
        <v>34</v>
      </c>
      <c r="C816">
        <v>2014</v>
      </c>
      <c r="D816" t="s">
        <v>12</v>
      </c>
      <c r="E816" t="s">
        <v>10</v>
      </c>
      <c r="F816" t="s">
        <v>13</v>
      </c>
      <c r="G816" t="str">
        <f>VLOOKUP(A816,[1]Kreise!$A$1:$C$53,3,FALSE)</f>
        <v>K030</v>
      </c>
      <c r="H816">
        <v>5.3038111290303025</v>
      </c>
    </row>
    <row r="817" spans="1:8">
      <c r="A817">
        <v>1</v>
      </c>
      <c r="B817" t="s">
        <v>30</v>
      </c>
      <c r="C817">
        <v>2013</v>
      </c>
      <c r="D817" t="s">
        <v>12</v>
      </c>
      <c r="E817" t="s">
        <v>10</v>
      </c>
      <c r="F817" t="s">
        <v>13</v>
      </c>
      <c r="G817" t="str">
        <f>VLOOKUP(A817,[1]Kreise!$A$1:$C$53,3,FALSE)</f>
        <v>K031</v>
      </c>
      <c r="H817">
        <v>5.8321479374110954</v>
      </c>
    </row>
    <row r="818" spans="1:8">
      <c r="A818">
        <v>2</v>
      </c>
      <c r="B818" t="s">
        <v>31</v>
      </c>
      <c r="C818">
        <v>2013</v>
      </c>
      <c r="D818" t="s">
        <v>12</v>
      </c>
      <c r="E818" t="s">
        <v>10</v>
      </c>
      <c r="F818" t="s">
        <v>13</v>
      </c>
      <c r="G818" t="str">
        <f>VLOOKUP(A818,[1]Kreise!$A$1:$C$53,3,FALSE)</f>
        <v>K032</v>
      </c>
      <c r="H818">
        <v>7.7086214845550947</v>
      </c>
    </row>
    <row r="819" spans="1:8">
      <c r="A819">
        <v>3</v>
      </c>
      <c r="B819" t="s">
        <v>32</v>
      </c>
      <c r="C819">
        <v>2013</v>
      </c>
      <c r="D819" t="s">
        <v>12</v>
      </c>
      <c r="E819" t="s">
        <v>10</v>
      </c>
      <c r="F819" t="s">
        <v>13</v>
      </c>
      <c r="G819" t="str">
        <f>VLOOKUP(A819,[1]Kreise!$A$1:$C$53,3,FALSE)</f>
        <v>K033</v>
      </c>
      <c r="H819">
        <v>3.4803619165124409</v>
      </c>
    </row>
    <row r="820" spans="1:8">
      <c r="A820">
        <v>4</v>
      </c>
      <c r="B820" t="s">
        <v>33</v>
      </c>
      <c r="C820">
        <v>2013</v>
      </c>
      <c r="D820" t="s">
        <v>12</v>
      </c>
      <c r="E820" t="s">
        <v>10</v>
      </c>
      <c r="F820" t="s">
        <v>13</v>
      </c>
      <c r="G820" t="str">
        <f>VLOOKUP(A820,[1]Kreise!$A$1:$C$53,3,FALSE)</f>
        <v>K034</v>
      </c>
      <c r="H820">
        <v>4.6158079383641741</v>
      </c>
    </row>
    <row r="821" spans="1:8">
      <c r="A821">
        <v>0</v>
      </c>
      <c r="B821" t="s">
        <v>34</v>
      </c>
      <c r="C821">
        <v>2013</v>
      </c>
      <c r="D821" t="s">
        <v>12</v>
      </c>
      <c r="E821" t="s">
        <v>10</v>
      </c>
      <c r="F821" t="s">
        <v>13</v>
      </c>
      <c r="G821" t="str">
        <f>VLOOKUP(A821,[1]Kreise!$A$1:$C$53,3,FALSE)</f>
        <v>K030</v>
      </c>
      <c r="H821">
        <v>5.3643572379464031</v>
      </c>
    </row>
    <row r="822" spans="1:8">
      <c r="A822">
        <v>1</v>
      </c>
      <c r="B822" t="s">
        <v>145</v>
      </c>
      <c r="C822">
        <v>2012</v>
      </c>
      <c r="D822" t="s">
        <v>12</v>
      </c>
      <c r="E822" t="s">
        <v>10</v>
      </c>
      <c r="F822" t="s">
        <v>13</v>
      </c>
      <c r="G822" t="str">
        <f>VLOOKUP(A822,[1]Kreise!$A$1:$C$53,3,FALSE)</f>
        <v>K031</v>
      </c>
      <c r="H822">
        <v>6.3040412092966207</v>
      </c>
    </row>
    <row r="823" spans="1:8">
      <c r="A823">
        <v>2</v>
      </c>
      <c r="B823" t="s">
        <v>146</v>
      </c>
      <c r="C823">
        <v>2012</v>
      </c>
      <c r="D823" t="s">
        <v>12</v>
      </c>
      <c r="E823" t="s">
        <v>10</v>
      </c>
      <c r="F823" t="s">
        <v>13</v>
      </c>
      <c r="G823" t="str">
        <f>VLOOKUP(A823,[1]Kreise!$A$1:$C$53,3,FALSE)</f>
        <v>K032</v>
      </c>
      <c r="H823">
        <v>8.4683882457702584</v>
      </c>
    </row>
    <row r="824" spans="1:8">
      <c r="A824">
        <v>3</v>
      </c>
      <c r="B824" t="s">
        <v>147</v>
      </c>
      <c r="C824">
        <v>2012</v>
      </c>
      <c r="D824" t="s">
        <v>12</v>
      </c>
      <c r="E824" t="s">
        <v>10</v>
      </c>
      <c r="F824" t="s">
        <v>13</v>
      </c>
      <c r="G824" t="str">
        <f>VLOOKUP(A824,[1]Kreise!$A$1:$C$53,3,FALSE)</f>
        <v>K033</v>
      </c>
      <c r="H824">
        <v>3.9211702559934989</v>
      </c>
    </row>
    <row r="825" spans="1:8">
      <c r="A825">
        <v>4</v>
      </c>
      <c r="B825" t="s">
        <v>148</v>
      </c>
      <c r="C825">
        <v>2012</v>
      </c>
      <c r="D825" t="s">
        <v>12</v>
      </c>
      <c r="E825" t="s">
        <v>10</v>
      </c>
      <c r="F825" t="s">
        <v>13</v>
      </c>
      <c r="G825" t="str">
        <f>VLOOKUP(A825,[1]Kreise!$A$1:$C$53,3,FALSE)</f>
        <v>K034</v>
      </c>
      <c r="H825">
        <v>4.8564821112773773</v>
      </c>
    </row>
    <row r="826" spans="1:8">
      <c r="A826">
        <v>0</v>
      </c>
      <c r="B826" t="s">
        <v>34</v>
      </c>
      <c r="C826">
        <v>2012</v>
      </c>
      <c r="D826" t="s">
        <v>12</v>
      </c>
      <c r="E826" t="s">
        <v>10</v>
      </c>
      <c r="F826" t="s">
        <v>13</v>
      </c>
      <c r="G826" t="str">
        <f>VLOOKUP(A826,[1]Kreise!$A$1:$C$53,3,FALSE)</f>
        <v>K030</v>
      </c>
      <c r="H826">
        <v>5.8389009663210372</v>
      </c>
    </row>
    <row r="827" spans="1:8">
      <c r="A827">
        <v>1</v>
      </c>
      <c r="B827" t="s">
        <v>30</v>
      </c>
      <c r="C827">
        <v>2011</v>
      </c>
      <c r="D827" t="s">
        <v>12</v>
      </c>
      <c r="E827" t="s">
        <v>10</v>
      </c>
      <c r="F827" t="s">
        <v>13</v>
      </c>
      <c r="G827" t="str">
        <f>VLOOKUP(A827,[1]Kreise!$A$1:$C$53,3,FALSE)</f>
        <v>K031</v>
      </c>
      <c r="H827">
        <v>6.3809803346052245</v>
      </c>
    </row>
    <row r="828" spans="1:8">
      <c r="A828">
        <v>2</v>
      </c>
      <c r="B828" t="s">
        <v>31</v>
      </c>
      <c r="C828">
        <v>2011</v>
      </c>
      <c r="D828" t="s">
        <v>12</v>
      </c>
      <c r="E828" t="s">
        <v>10</v>
      </c>
      <c r="F828" t="s">
        <v>13</v>
      </c>
      <c r="G828" t="str">
        <f>VLOOKUP(A828,[1]Kreise!$A$1:$C$53,3,FALSE)</f>
        <v>K032</v>
      </c>
      <c r="H828">
        <v>8.5930408472012108</v>
      </c>
    </row>
    <row r="829" spans="1:8">
      <c r="A829">
        <v>3</v>
      </c>
      <c r="B829" t="s">
        <v>32</v>
      </c>
      <c r="C829">
        <v>2011</v>
      </c>
      <c r="D829" t="s">
        <v>12</v>
      </c>
      <c r="E829" t="s">
        <v>10</v>
      </c>
      <c r="F829" t="s">
        <v>13</v>
      </c>
      <c r="G829" t="str">
        <f>VLOOKUP(A829,[1]Kreise!$A$1:$C$53,3,FALSE)</f>
        <v>K033</v>
      </c>
      <c r="H829">
        <v>4.1552181248493616</v>
      </c>
    </row>
    <row r="830" spans="1:8">
      <c r="A830">
        <v>4</v>
      </c>
      <c r="B830" t="s">
        <v>33</v>
      </c>
      <c r="C830">
        <v>2011</v>
      </c>
      <c r="D830" t="s">
        <v>12</v>
      </c>
      <c r="E830" t="s">
        <v>10</v>
      </c>
      <c r="F830" t="s">
        <v>13</v>
      </c>
      <c r="G830" t="str">
        <f>VLOOKUP(A830,[1]Kreise!$A$1:$C$53,3,FALSE)</f>
        <v>K034</v>
      </c>
      <c r="H830">
        <v>5.0905897277429011</v>
      </c>
    </row>
    <row r="831" spans="1:8">
      <c r="A831">
        <v>0</v>
      </c>
      <c r="B831" t="s">
        <v>34</v>
      </c>
      <c r="C831">
        <v>2011</v>
      </c>
      <c r="D831" t="s">
        <v>12</v>
      </c>
      <c r="E831" t="s">
        <v>10</v>
      </c>
      <c r="F831" t="s">
        <v>13</v>
      </c>
      <c r="G831" t="str">
        <f>VLOOKUP(A831,[1]Kreise!$A$1:$C$53,3,FALSE)</f>
        <v>K030</v>
      </c>
      <c r="H831">
        <v>6.0027493508477168</v>
      </c>
    </row>
    <row r="832" spans="1:8">
      <c r="A832">
        <v>1</v>
      </c>
      <c r="B832" t="s">
        <v>145</v>
      </c>
      <c r="C832">
        <v>2010</v>
      </c>
      <c r="D832" t="s">
        <v>12</v>
      </c>
      <c r="E832" t="s">
        <v>10</v>
      </c>
      <c r="F832" t="s">
        <v>13</v>
      </c>
      <c r="G832" t="str">
        <f>VLOOKUP(A832,[1]Kreise!$A$1:$C$53,3,FALSE)</f>
        <v>K031</v>
      </c>
      <c r="H832">
        <v>6.592711805954707</v>
      </c>
    </row>
    <row r="833" spans="1:8">
      <c r="A833">
        <v>2</v>
      </c>
      <c r="B833" t="s">
        <v>146</v>
      </c>
      <c r="C833">
        <v>2010</v>
      </c>
      <c r="D833" t="s">
        <v>12</v>
      </c>
      <c r="E833" t="s">
        <v>10</v>
      </c>
      <c r="F833" t="s">
        <v>13</v>
      </c>
      <c r="G833" t="str">
        <f>VLOOKUP(A833,[1]Kreise!$A$1:$C$53,3,FALSE)</f>
        <v>K032</v>
      </c>
      <c r="H833">
        <v>8.5954059782843792</v>
      </c>
    </row>
    <row r="834" spans="1:8">
      <c r="A834">
        <v>3</v>
      </c>
      <c r="B834" t="s">
        <v>147</v>
      </c>
      <c r="C834">
        <v>2010</v>
      </c>
      <c r="D834" t="s">
        <v>12</v>
      </c>
      <c r="E834" t="s">
        <v>10</v>
      </c>
      <c r="F834" t="s">
        <v>13</v>
      </c>
      <c r="G834" t="str">
        <f>VLOOKUP(A834,[1]Kreise!$A$1:$C$53,3,FALSE)</f>
        <v>K033</v>
      </c>
      <c r="H834">
        <v>3.9256000765037777</v>
      </c>
    </row>
    <row r="835" spans="1:8">
      <c r="A835">
        <v>4</v>
      </c>
      <c r="B835" t="s">
        <v>148</v>
      </c>
      <c r="C835">
        <v>2010</v>
      </c>
      <c r="D835" t="s">
        <v>12</v>
      </c>
      <c r="E835" t="s">
        <v>10</v>
      </c>
      <c r="F835" t="s">
        <v>13</v>
      </c>
      <c r="G835" t="str">
        <f>VLOOKUP(A835,[1]Kreise!$A$1:$C$53,3,FALSE)</f>
        <v>K034</v>
      </c>
      <c r="H835">
        <v>4.6246304152204658</v>
      </c>
    </row>
    <row r="836" spans="1:8">
      <c r="A836">
        <v>0</v>
      </c>
      <c r="B836" t="s">
        <v>34</v>
      </c>
      <c r="C836">
        <v>2010</v>
      </c>
      <c r="D836" t="s">
        <v>12</v>
      </c>
      <c r="E836" t="s">
        <v>10</v>
      </c>
      <c r="F836" t="s">
        <v>13</v>
      </c>
      <c r="G836" t="str">
        <f>VLOOKUP(A836,[1]Kreise!$A$1:$C$53,3,FALSE)</f>
        <v>K030</v>
      </c>
      <c r="H836">
        <v>5.8285158571505757</v>
      </c>
    </row>
    <row r="837" spans="1:8">
      <c r="A837">
        <v>1</v>
      </c>
      <c r="B837" t="s">
        <v>145</v>
      </c>
      <c r="C837">
        <v>2005</v>
      </c>
      <c r="D837" t="s">
        <v>12</v>
      </c>
      <c r="E837" t="s">
        <v>10</v>
      </c>
      <c r="F837" t="s">
        <v>13</v>
      </c>
      <c r="G837" t="str">
        <f>VLOOKUP(A837,[1]Kreise!$A$1:$C$53,3,FALSE)</f>
        <v>K031</v>
      </c>
      <c r="H837">
        <v>7.3362308215950147</v>
      </c>
    </row>
    <row r="838" spans="1:8">
      <c r="A838">
        <v>2</v>
      </c>
      <c r="B838" t="s">
        <v>146</v>
      </c>
      <c r="C838">
        <v>2005</v>
      </c>
      <c r="D838" t="s">
        <v>12</v>
      </c>
      <c r="E838" t="s">
        <v>10</v>
      </c>
      <c r="F838" t="s">
        <v>13</v>
      </c>
      <c r="G838" t="str">
        <f>VLOOKUP(A838,[1]Kreise!$A$1:$C$53,3,FALSE)</f>
        <v>K032</v>
      </c>
      <c r="H838">
        <v>9.8762878066945259</v>
      </c>
    </row>
    <row r="839" spans="1:8">
      <c r="A839">
        <v>3</v>
      </c>
      <c r="B839" t="s">
        <v>147</v>
      </c>
      <c r="C839">
        <v>2005</v>
      </c>
      <c r="D839" t="s">
        <v>12</v>
      </c>
      <c r="E839" t="s">
        <v>10</v>
      </c>
      <c r="F839" t="s">
        <v>13</v>
      </c>
      <c r="G839" t="str">
        <f>VLOOKUP(A839,[1]Kreise!$A$1:$C$53,3,FALSE)</f>
        <v>K033</v>
      </c>
      <c r="H839">
        <v>4.9041297935103243</v>
      </c>
    </row>
    <row r="840" spans="1:8">
      <c r="A840">
        <v>4</v>
      </c>
      <c r="B840" t="s">
        <v>148</v>
      </c>
      <c r="C840">
        <v>2005</v>
      </c>
      <c r="D840" t="s">
        <v>12</v>
      </c>
      <c r="E840" t="s">
        <v>10</v>
      </c>
      <c r="F840" t="s">
        <v>13</v>
      </c>
      <c r="G840" t="str">
        <f>VLOOKUP(A840,[1]Kreise!$A$1:$C$53,3,FALSE)</f>
        <v>K034</v>
      </c>
      <c r="H840">
        <v>5.1572327044025164</v>
      </c>
    </row>
    <row r="841" spans="1:8">
      <c r="A841">
        <v>0</v>
      </c>
      <c r="B841" t="s">
        <v>34</v>
      </c>
      <c r="C841">
        <v>2005</v>
      </c>
      <c r="D841" t="s">
        <v>12</v>
      </c>
      <c r="E841" t="s">
        <v>10</v>
      </c>
      <c r="F841" t="s">
        <v>13</v>
      </c>
      <c r="G841" t="str">
        <f>VLOOKUP(A841,[1]Kreise!$A$1:$C$53,3,FALSE)</f>
        <v>K030</v>
      </c>
      <c r="H841">
        <v>6.69659788636387</v>
      </c>
    </row>
    <row r="842" spans="1:8">
      <c r="A842">
        <v>1</v>
      </c>
      <c r="B842" t="s">
        <v>30</v>
      </c>
      <c r="C842">
        <v>2020</v>
      </c>
      <c r="D842" t="s">
        <v>11</v>
      </c>
      <c r="E842" t="s">
        <v>4</v>
      </c>
      <c r="F842" t="s">
        <v>38</v>
      </c>
      <c r="G842" t="str">
        <f>VLOOKUP(A842,[1]Kreise!$A$1:$C$53,3,FALSE)</f>
        <v>K031</v>
      </c>
      <c r="H842">
        <v>832</v>
      </c>
    </row>
    <row r="843" spans="1:8">
      <c r="A843">
        <v>2</v>
      </c>
      <c r="B843" t="s">
        <v>31</v>
      </c>
      <c r="C843">
        <v>2020</v>
      </c>
      <c r="D843" t="s">
        <v>11</v>
      </c>
      <c r="E843" t="s">
        <v>4</v>
      </c>
      <c r="F843" t="s">
        <v>38</v>
      </c>
      <c r="G843" t="str">
        <f>VLOOKUP(A843,[1]Kreise!$A$1:$C$53,3,FALSE)</f>
        <v>K032</v>
      </c>
      <c r="H843">
        <v>649</v>
      </c>
    </row>
    <row r="844" spans="1:8">
      <c r="A844">
        <v>3</v>
      </c>
      <c r="B844" t="s">
        <v>32</v>
      </c>
      <c r="C844">
        <v>2020</v>
      </c>
      <c r="D844" t="s">
        <v>11</v>
      </c>
      <c r="E844" t="s">
        <v>4</v>
      </c>
      <c r="F844" t="s">
        <v>38</v>
      </c>
      <c r="G844" t="str">
        <f>VLOOKUP(A844,[1]Kreise!$A$1:$C$53,3,FALSE)</f>
        <v>K033</v>
      </c>
      <c r="H844">
        <v>758</v>
      </c>
    </row>
    <row r="845" spans="1:8">
      <c r="A845">
        <v>4</v>
      </c>
      <c r="B845" t="s">
        <v>33</v>
      </c>
      <c r="C845">
        <v>2020</v>
      </c>
      <c r="D845" t="s">
        <v>11</v>
      </c>
      <c r="E845" t="s">
        <v>4</v>
      </c>
      <c r="F845" t="s">
        <v>38</v>
      </c>
      <c r="G845" t="str">
        <f>VLOOKUP(A845,[1]Kreise!$A$1:$C$53,3,FALSE)</f>
        <v>K034</v>
      </c>
      <c r="H845">
        <v>991</v>
      </c>
    </row>
    <row r="846" spans="1:8">
      <c r="A846">
        <v>0</v>
      </c>
      <c r="B846" t="s">
        <v>34</v>
      </c>
      <c r="C846">
        <v>2020</v>
      </c>
      <c r="D846" t="s">
        <v>11</v>
      </c>
      <c r="E846" t="s">
        <v>4</v>
      </c>
      <c r="F846" t="s">
        <v>38</v>
      </c>
      <c r="G846" t="str">
        <f>VLOOKUP(A846,[1]Kreise!$A$1:$C$53,3,FALSE)</f>
        <v>K030</v>
      </c>
      <c r="H846">
        <v>3230</v>
      </c>
    </row>
    <row r="847" spans="1:8">
      <c r="A847">
        <v>1</v>
      </c>
      <c r="B847" t="s">
        <v>30</v>
      </c>
      <c r="C847">
        <v>2019</v>
      </c>
      <c r="D847" t="s">
        <v>11</v>
      </c>
      <c r="E847" t="s">
        <v>4</v>
      </c>
      <c r="F847" t="s">
        <v>38</v>
      </c>
      <c r="G847" t="str">
        <f>VLOOKUP(A847,[1]Kreise!$A$1:$C$53,3,FALSE)</f>
        <v>K031</v>
      </c>
      <c r="H847">
        <v>920</v>
      </c>
    </row>
    <row r="848" spans="1:8">
      <c r="A848">
        <v>2</v>
      </c>
      <c r="B848" t="s">
        <v>31</v>
      </c>
      <c r="C848">
        <v>2019</v>
      </c>
      <c r="D848" t="s">
        <v>11</v>
      </c>
      <c r="E848" t="s">
        <v>4</v>
      </c>
      <c r="F848" t="s">
        <v>38</v>
      </c>
      <c r="G848" t="str">
        <f>VLOOKUP(A848,[1]Kreise!$A$1:$C$53,3,FALSE)</f>
        <v>K032</v>
      </c>
      <c r="H848">
        <v>718</v>
      </c>
    </row>
    <row r="849" spans="1:8">
      <c r="A849">
        <v>3</v>
      </c>
      <c r="B849" t="s">
        <v>32</v>
      </c>
      <c r="C849">
        <v>2019</v>
      </c>
      <c r="D849" t="s">
        <v>11</v>
      </c>
      <c r="E849" t="s">
        <v>4</v>
      </c>
      <c r="F849" t="s">
        <v>38</v>
      </c>
      <c r="G849" t="str">
        <f>VLOOKUP(A849,[1]Kreise!$A$1:$C$53,3,FALSE)</f>
        <v>K033</v>
      </c>
      <c r="H849">
        <v>788</v>
      </c>
    </row>
    <row r="850" spans="1:8">
      <c r="A850">
        <v>4</v>
      </c>
      <c r="B850" t="s">
        <v>33</v>
      </c>
      <c r="C850">
        <v>2019</v>
      </c>
      <c r="D850" t="s">
        <v>11</v>
      </c>
      <c r="E850" t="s">
        <v>4</v>
      </c>
      <c r="F850" t="s">
        <v>38</v>
      </c>
      <c r="G850" t="str">
        <f>VLOOKUP(A850,[1]Kreise!$A$1:$C$53,3,FALSE)</f>
        <v>K034</v>
      </c>
      <c r="H850">
        <v>1034</v>
      </c>
    </row>
    <row r="851" spans="1:8">
      <c r="A851">
        <v>0</v>
      </c>
      <c r="B851" t="s">
        <v>34</v>
      </c>
      <c r="C851">
        <v>2019</v>
      </c>
      <c r="D851" t="s">
        <v>11</v>
      </c>
      <c r="E851" t="s">
        <v>4</v>
      </c>
      <c r="F851" t="s">
        <v>38</v>
      </c>
      <c r="G851" t="str">
        <f>VLOOKUP(A851,[1]Kreise!$A$1:$C$53,3,FALSE)</f>
        <v>K030</v>
      </c>
      <c r="H851">
        <v>3460</v>
      </c>
    </row>
    <row r="852" spans="1:8">
      <c r="A852">
        <v>1</v>
      </c>
      <c r="B852" t="s">
        <v>30</v>
      </c>
      <c r="C852">
        <v>2018</v>
      </c>
      <c r="D852" t="s">
        <v>11</v>
      </c>
      <c r="E852" t="s">
        <v>4</v>
      </c>
      <c r="F852" t="s">
        <v>38</v>
      </c>
      <c r="G852" t="str">
        <f>VLOOKUP(A852,[1]Kreise!$A$1:$C$53,3,FALSE)</f>
        <v>K031</v>
      </c>
      <c r="H852">
        <v>926</v>
      </c>
    </row>
    <row r="853" spans="1:8">
      <c r="A853">
        <v>2</v>
      </c>
      <c r="B853" t="s">
        <v>31</v>
      </c>
      <c r="C853">
        <v>2018</v>
      </c>
      <c r="D853" t="s">
        <v>11</v>
      </c>
      <c r="E853" t="s">
        <v>4</v>
      </c>
      <c r="F853" t="s">
        <v>38</v>
      </c>
      <c r="G853" t="str">
        <f>VLOOKUP(A853,[1]Kreise!$A$1:$C$53,3,FALSE)</f>
        <v>K032</v>
      </c>
      <c r="H853">
        <v>877</v>
      </c>
    </row>
    <row r="854" spans="1:8">
      <c r="A854">
        <v>3</v>
      </c>
      <c r="B854" t="s">
        <v>32</v>
      </c>
      <c r="C854">
        <v>2018</v>
      </c>
      <c r="D854" t="s">
        <v>11</v>
      </c>
      <c r="E854" t="s">
        <v>4</v>
      </c>
      <c r="F854" t="s">
        <v>38</v>
      </c>
      <c r="G854" t="str">
        <f>VLOOKUP(A854,[1]Kreise!$A$1:$C$53,3,FALSE)</f>
        <v>K033</v>
      </c>
      <c r="H854">
        <v>838</v>
      </c>
    </row>
    <row r="855" spans="1:8">
      <c r="A855">
        <v>4</v>
      </c>
      <c r="B855" t="s">
        <v>33</v>
      </c>
      <c r="C855">
        <v>2018</v>
      </c>
      <c r="D855" t="s">
        <v>11</v>
      </c>
      <c r="E855" t="s">
        <v>4</v>
      </c>
      <c r="F855" t="s">
        <v>38</v>
      </c>
      <c r="G855" t="str">
        <f>VLOOKUP(A855,[1]Kreise!$A$1:$C$53,3,FALSE)</f>
        <v>K034</v>
      </c>
      <c r="H855">
        <v>1230</v>
      </c>
    </row>
    <row r="856" spans="1:8">
      <c r="A856">
        <v>0</v>
      </c>
      <c r="B856" t="s">
        <v>34</v>
      </c>
      <c r="C856">
        <v>2018</v>
      </c>
      <c r="D856" t="s">
        <v>11</v>
      </c>
      <c r="E856" t="s">
        <v>4</v>
      </c>
      <c r="F856" t="s">
        <v>38</v>
      </c>
      <c r="G856" t="str">
        <f>VLOOKUP(A856,[1]Kreise!$A$1:$C$53,3,FALSE)</f>
        <v>K030</v>
      </c>
      <c r="H856">
        <v>3871</v>
      </c>
    </row>
    <row r="857" spans="1:8">
      <c r="A857">
        <v>1</v>
      </c>
      <c r="B857" t="s">
        <v>30</v>
      </c>
      <c r="C857">
        <v>2017</v>
      </c>
      <c r="D857" t="s">
        <v>11</v>
      </c>
      <c r="E857" t="s">
        <v>4</v>
      </c>
      <c r="F857" t="s">
        <v>38</v>
      </c>
      <c r="G857" t="str">
        <f>VLOOKUP(A857,[1]Kreise!$A$1:$C$53,3,FALSE)</f>
        <v>K031</v>
      </c>
      <c r="H857">
        <v>1003</v>
      </c>
    </row>
    <row r="858" spans="1:8">
      <c r="A858">
        <v>2</v>
      </c>
      <c r="B858" t="s">
        <v>31</v>
      </c>
      <c r="C858">
        <v>2017</v>
      </c>
      <c r="D858" t="s">
        <v>11</v>
      </c>
      <c r="E858" t="s">
        <v>4</v>
      </c>
      <c r="F858" t="s">
        <v>38</v>
      </c>
      <c r="G858" t="str">
        <f>VLOOKUP(A858,[1]Kreise!$A$1:$C$53,3,FALSE)</f>
        <v>K032</v>
      </c>
      <c r="H858">
        <v>886</v>
      </c>
    </row>
    <row r="859" spans="1:8">
      <c r="A859">
        <v>3</v>
      </c>
      <c r="B859" t="s">
        <v>32</v>
      </c>
      <c r="C859">
        <v>2017</v>
      </c>
      <c r="D859" t="s">
        <v>11</v>
      </c>
      <c r="E859" t="s">
        <v>4</v>
      </c>
      <c r="F859" t="s">
        <v>38</v>
      </c>
      <c r="G859" t="str">
        <f>VLOOKUP(A859,[1]Kreise!$A$1:$C$53,3,FALSE)</f>
        <v>K033</v>
      </c>
      <c r="H859">
        <v>840</v>
      </c>
    </row>
    <row r="860" spans="1:8">
      <c r="A860">
        <v>4</v>
      </c>
      <c r="B860" t="s">
        <v>33</v>
      </c>
      <c r="C860">
        <v>2017</v>
      </c>
      <c r="D860" t="s">
        <v>11</v>
      </c>
      <c r="E860" t="s">
        <v>4</v>
      </c>
      <c r="F860" t="s">
        <v>38</v>
      </c>
      <c r="G860" t="str">
        <f>VLOOKUP(A860,[1]Kreise!$A$1:$C$53,3,FALSE)</f>
        <v>K034</v>
      </c>
      <c r="H860">
        <v>1402</v>
      </c>
    </row>
    <row r="861" spans="1:8">
      <c r="A861">
        <v>0</v>
      </c>
      <c r="B861" t="s">
        <v>34</v>
      </c>
      <c r="C861">
        <v>2017</v>
      </c>
      <c r="D861" t="s">
        <v>11</v>
      </c>
      <c r="E861" t="s">
        <v>4</v>
      </c>
      <c r="F861" t="s">
        <v>38</v>
      </c>
      <c r="G861" t="str">
        <f>VLOOKUP(A861,[1]Kreise!$A$1:$C$53,3,FALSE)</f>
        <v>K030</v>
      </c>
      <c r="H861">
        <v>4131</v>
      </c>
    </row>
    <row r="862" spans="1:8">
      <c r="A862">
        <v>1</v>
      </c>
      <c r="B862" t="s">
        <v>30</v>
      </c>
      <c r="C862">
        <v>2016</v>
      </c>
      <c r="D862" t="s">
        <v>11</v>
      </c>
      <c r="E862" t="s">
        <v>4</v>
      </c>
      <c r="F862" t="s">
        <v>38</v>
      </c>
      <c r="G862" t="str">
        <f>VLOOKUP(A862,[1]Kreise!$A$1:$C$53,3,FALSE)</f>
        <v>K031</v>
      </c>
      <c r="H862">
        <v>1160</v>
      </c>
    </row>
    <row r="863" spans="1:8">
      <c r="A863">
        <v>2</v>
      </c>
      <c r="B863" t="s">
        <v>31</v>
      </c>
      <c r="C863">
        <v>2016</v>
      </c>
      <c r="D863" t="s">
        <v>11</v>
      </c>
      <c r="E863" t="s">
        <v>4</v>
      </c>
      <c r="F863" t="s">
        <v>38</v>
      </c>
      <c r="G863" t="str">
        <f>VLOOKUP(A863,[1]Kreise!$A$1:$C$53,3,FALSE)</f>
        <v>K032</v>
      </c>
      <c r="H863">
        <v>1092</v>
      </c>
    </row>
    <row r="864" spans="1:8">
      <c r="A864">
        <v>3</v>
      </c>
      <c r="B864" t="s">
        <v>32</v>
      </c>
      <c r="C864">
        <v>2016</v>
      </c>
      <c r="D864" t="s">
        <v>11</v>
      </c>
      <c r="E864" t="s">
        <v>4</v>
      </c>
      <c r="F864" t="s">
        <v>38</v>
      </c>
      <c r="G864" t="str">
        <f>VLOOKUP(A864,[1]Kreise!$A$1:$C$53,3,FALSE)</f>
        <v>K033</v>
      </c>
      <c r="H864">
        <v>1002</v>
      </c>
    </row>
    <row r="865" spans="1:8">
      <c r="A865">
        <v>4</v>
      </c>
      <c r="B865" t="s">
        <v>33</v>
      </c>
      <c r="C865">
        <v>2016</v>
      </c>
      <c r="D865" t="s">
        <v>11</v>
      </c>
      <c r="E865" t="s">
        <v>4</v>
      </c>
      <c r="F865" t="s">
        <v>38</v>
      </c>
      <c r="G865" t="str">
        <f>VLOOKUP(A865,[1]Kreise!$A$1:$C$53,3,FALSE)</f>
        <v>K034</v>
      </c>
      <c r="H865">
        <v>1732</v>
      </c>
    </row>
    <row r="866" spans="1:8">
      <c r="A866">
        <v>0</v>
      </c>
      <c r="B866" t="s">
        <v>34</v>
      </c>
      <c r="C866">
        <v>2016</v>
      </c>
      <c r="D866" t="s">
        <v>11</v>
      </c>
      <c r="E866" t="s">
        <v>4</v>
      </c>
      <c r="F866" t="s">
        <v>38</v>
      </c>
      <c r="G866" t="str">
        <f>VLOOKUP(A866,[1]Kreise!$A$1:$C$53,3,FALSE)</f>
        <v>K030</v>
      </c>
      <c r="H866">
        <v>4986</v>
      </c>
    </row>
    <row r="867" spans="1:8">
      <c r="A867">
        <v>1</v>
      </c>
      <c r="B867" t="s">
        <v>30</v>
      </c>
      <c r="C867">
        <v>2015</v>
      </c>
      <c r="D867" t="s">
        <v>11</v>
      </c>
      <c r="E867" t="s">
        <v>4</v>
      </c>
      <c r="F867" t="s">
        <v>38</v>
      </c>
      <c r="G867" t="str">
        <f>VLOOKUP(A867,[1]Kreise!$A$1:$C$53,3,FALSE)</f>
        <v>K031</v>
      </c>
      <c r="H867">
        <v>1215</v>
      </c>
    </row>
    <row r="868" spans="1:8">
      <c r="A868">
        <v>2</v>
      </c>
      <c r="B868" t="s">
        <v>31</v>
      </c>
      <c r="C868">
        <v>2015</v>
      </c>
      <c r="D868" t="s">
        <v>11</v>
      </c>
      <c r="E868" t="s">
        <v>4</v>
      </c>
      <c r="F868" t="s">
        <v>38</v>
      </c>
      <c r="G868" t="str">
        <f>VLOOKUP(A868,[1]Kreise!$A$1:$C$53,3,FALSE)</f>
        <v>K032</v>
      </c>
      <c r="H868">
        <v>1225</v>
      </c>
    </row>
    <row r="869" spans="1:8">
      <c r="A869">
        <v>3</v>
      </c>
      <c r="B869" t="s">
        <v>32</v>
      </c>
      <c r="C869">
        <v>2015</v>
      </c>
      <c r="D869" t="s">
        <v>11</v>
      </c>
      <c r="E869" t="s">
        <v>4</v>
      </c>
      <c r="F869" t="s">
        <v>38</v>
      </c>
      <c r="G869" t="str">
        <f>VLOOKUP(A869,[1]Kreise!$A$1:$C$53,3,FALSE)</f>
        <v>K033</v>
      </c>
      <c r="H869">
        <v>1117</v>
      </c>
    </row>
    <row r="870" spans="1:8">
      <c r="A870">
        <v>4</v>
      </c>
      <c r="B870" t="s">
        <v>33</v>
      </c>
      <c r="C870">
        <v>2015</v>
      </c>
      <c r="D870" t="s">
        <v>11</v>
      </c>
      <c r="E870" t="s">
        <v>4</v>
      </c>
      <c r="F870" t="s">
        <v>38</v>
      </c>
      <c r="G870" t="str">
        <f>VLOOKUP(A870,[1]Kreise!$A$1:$C$53,3,FALSE)</f>
        <v>K034</v>
      </c>
      <c r="H870">
        <v>2110</v>
      </c>
    </row>
    <row r="871" spans="1:8">
      <c r="A871">
        <v>0</v>
      </c>
      <c r="B871" t="s">
        <v>34</v>
      </c>
      <c r="C871">
        <v>2015</v>
      </c>
      <c r="D871" t="s">
        <v>11</v>
      </c>
      <c r="E871" t="s">
        <v>4</v>
      </c>
      <c r="F871" t="s">
        <v>38</v>
      </c>
      <c r="G871" t="str">
        <f>VLOOKUP(A871,[1]Kreise!$A$1:$C$53,3,FALSE)</f>
        <v>K030</v>
      </c>
      <c r="H871">
        <v>5667</v>
      </c>
    </row>
    <row r="872" spans="1:8">
      <c r="A872">
        <v>1</v>
      </c>
      <c r="B872" t="s">
        <v>145</v>
      </c>
      <c r="C872">
        <v>2014</v>
      </c>
      <c r="D872" t="s">
        <v>11</v>
      </c>
      <c r="E872" t="s">
        <v>4</v>
      </c>
      <c r="F872" t="s">
        <v>38</v>
      </c>
      <c r="G872" t="str">
        <f>VLOOKUP(A872,[1]Kreise!$A$1:$C$53,3,FALSE)</f>
        <v>K031</v>
      </c>
      <c r="H872">
        <v>1525</v>
      </c>
    </row>
    <row r="873" spans="1:8">
      <c r="A873">
        <v>2</v>
      </c>
      <c r="B873" t="s">
        <v>146</v>
      </c>
      <c r="C873">
        <v>2014</v>
      </c>
      <c r="D873" t="s">
        <v>11</v>
      </c>
      <c r="E873" t="s">
        <v>4</v>
      </c>
      <c r="F873" t="s">
        <v>38</v>
      </c>
      <c r="G873" t="str">
        <f>VLOOKUP(A873,[1]Kreise!$A$1:$C$53,3,FALSE)</f>
        <v>K032</v>
      </c>
      <c r="H873">
        <v>1639</v>
      </c>
    </row>
    <row r="874" spans="1:8">
      <c r="A874">
        <v>3</v>
      </c>
      <c r="B874" t="s">
        <v>147</v>
      </c>
      <c r="C874">
        <v>2014</v>
      </c>
      <c r="D874" t="s">
        <v>11</v>
      </c>
      <c r="E874" t="s">
        <v>4</v>
      </c>
      <c r="F874" t="s">
        <v>38</v>
      </c>
      <c r="G874" t="str">
        <f>VLOOKUP(A874,[1]Kreise!$A$1:$C$53,3,FALSE)</f>
        <v>K033</v>
      </c>
      <c r="H874">
        <v>1893</v>
      </c>
    </row>
    <row r="875" spans="1:8">
      <c r="A875">
        <v>4</v>
      </c>
      <c r="B875" t="s">
        <v>148</v>
      </c>
      <c r="C875">
        <v>2014</v>
      </c>
      <c r="D875" t="s">
        <v>11</v>
      </c>
      <c r="E875" t="s">
        <v>4</v>
      </c>
      <c r="F875" t="s">
        <v>38</v>
      </c>
      <c r="G875" t="str">
        <f>VLOOKUP(A875,[1]Kreise!$A$1:$C$53,3,FALSE)</f>
        <v>K034</v>
      </c>
      <c r="H875">
        <v>2855</v>
      </c>
    </row>
    <row r="876" spans="1:8">
      <c r="A876">
        <v>0</v>
      </c>
      <c r="B876" t="s">
        <v>34</v>
      </c>
      <c r="C876">
        <v>2014</v>
      </c>
      <c r="D876" t="s">
        <v>11</v>
      </c>
      <c r="E876" t="s">
        <v>4</v>
      </c>
      <c r="F876" t="s">
        <v>38</v>
      </c>
      <c r="G876" t="str">
        <f>VLOOKUP(A876,[1]Kreise!$A$1:$C$53,3,FALSE)</f>
        <v>K030</v>
      </c>
      <c r="H876">
        <v>7912</v>
      </c>
    </row>
    <row r="877" spans="1:8">
      <c r="A877">
        <v>1</v>
      </c>
      <c r="B877" t="s">
        <v>30</v>
      </c>
      <c r="C877">
        <v>2013</v>
      </c>
      <c r="D877" t="s">
        <v>11</v>
      </c>
      <c r="E877" t="s">
        <v>4</v>
      </c>
      <c r="F877" t="s">
        <v>38</v>
      </c>
      <c r="G877" t="str">
        <f>VLOOKUP(A877,[1]Kreise!$A$1:$C$53,3,FALSE)</f>
        <v>K031</v>
      </c>
      <c r="H877">
        <v>1855</v>
      </c>
    </row>
    <row r="878" spans="1:8">
      <c r="A878">
        <v>2</v>
      </c>
      <c r="B878" t="s">
        <v>31</v>
      </c>
      <c r="C878">
        <v>2013</v>
      </c>
      <c r="D878" t="s">
        <v>11</v>
      </c>
      <c r="E878" t="s">
        <v>4</v>
      </c>
      <c r="F878" t="s">
        <v>38</v>
      </c>
      <c r="G878" t="str">
        <f>VLOOKUP(A878,[1]Kreise!$A$1:$C$53,3,FALSE)</f>
        <v>K032</v>
      </c>
      <c r="H878">
        <v>2273</v>
      </c>
    </row>
    <row r="879" spans="1:8">
      <c r="A879">
        <v>3</v>
      </c>
      <c r="B879" t="s">
        <v>32</v>
      </c>
      <c r="C879">
        <v>2013</v>
      </c>
      <c r="D879" t="s">
        <v>11</v>
      </c>
      <c r="E879" t="s">
        <v>4</v>
      </c>
      <c r="F879" t="s">
        <v>38</v>
      </c>
      <c r="G879" t="str">
        <f>VLOOKUP(A879,[1]Kreise!$A$1:$C$53,3,FALSE)</f>
        <v>K033</v>
      </c>
      <c r="H879">
        <v>2971</v>
      </c>
    </row>
    <row r="880" spans="1:8">
      <c r="A880">
        <v>4</v>
      </c>
      <c r="B880" t="s">
        <v>33</v>
      </c>
      <c r="C880">
        <v>2013</v>
      </c>
      <c r="D880" t="s">
        <v>11</v>
      </c>
      <c r="E880" t="s">
        <v>4</v>
      </c>
      <c r="F880" t="s">
        <v>38</v>
      </c>
      <c r="G880" t="str">
        <f>VLOOKUP(A880,[1]Kreise!$A$1:$C$53,3,FALSE)</f>
        <v>K034</v>
      </c>
      <c r="H880">
        <v>4624</v>
      </c>
    </row>
    <row r="881" spans="1:8">
      <c r="A881">
        <v>0</v>
      </c>
      <c r="B881" t="s">
        <v>34</v>
      </c>
      <c r="C881">
        <v>2013</v>
      </c>
      <c r="D881" t="s">
        <v>11</v>
      </c>
      <c r="E881" t="s">
        <v>4</v>
      </c>
      <c r="F881" t="s">
        <v>38</v>
      </c>
      <c r="G881" t="str">
        <f>VLOOKUP(A881,[1]Kreise!$A$1:$C$53,3,FALSE)</f>
        <v>K030</v>
      </c>
      <c r="H881">
        <v>11723</v>
      </c>
    </row>
    <row r="882" spans="1:8">
      <c r="A882">
        <v>1</v>
      </c>
      <c r="B882" t="s">
        <v>145</v>
      </c>
      <c r="C882">
        <v>2012</v>
      </c>
      <c r="D882" t="s">
        <v>11</v>
      </c>
      <c r="E882" t="s">
        <v>4</v>
      </c>
      <c r="F882" t="s">
        <v>38</v>
      </c>
      <c r="G882" t="str">
        <f>VLOOKUP(A882,[1]Kreise!$A$1:$C$53,3,FALSE)</f>
        <v>K031</v>
      </c>
      <c r="H882">
        <v>2108</v>
      </c>
    </row>
    <row r="883" spans="1:8">
      <c r="A883">
        <v>2</v>
      </c>
      <c r="B883" t="s">
        <v>146</v>
      </c>
      <c r="C883">
        <v>2012</v>
      </c>
      <c r="D883" t="s">
        <v>11</v>
      </c>
      <c r="E883" t="s">
        <v>4</v>
      </c>
      <c r="F883" t="s">
        <v>38</v>
      </c>
      <c r="G883" t="str">
        <f>VLOOKUP(A883,[1]Kreise!$A$1:$C$53,3,FALSE)</f>
        <v>K032</v>
      </c>
      <c r="H883">
        <v>2454</v>
      </c>
    </row>
    <row r="884" spans="1:8">
      <c r="A884">
        <v>3</v>
      </c>
      <c r="B884" t="s">
        <v>147</v>
      </c>
      <c r="C884">
        <v>2012</v>
      </c>
      <c r="D884" t="s">
        <v>11</v>
      </c>
      <c r="E884" t="s">
        <v>4</v>
      </c>
      <c r="F884" t="s">
        <v>38</v>
      </c>
      <c r="G884" t="str">
        <f>VLOOKUP(A884,[1]Kreise!$A$1:$C$53,3,FALSE)</f>
        <v>K033</v>
      </c>
      <c r="H884">
        <v>3067</v>
      </c>
    </row>
    <row r="885" spans="1:8">
      <c r="A885">
        <v>4</v>
      </c>
      <c r="B885" t="s">
        <v>148</v>
      </c>
      <c r="C885">
        <v>2012</v>
      </c>
      <c r="D885" t="s">
        <v>11</v>
      </c>
      <c r="E885" t="s">
        <v>4</v>
      </c>
      <c r="F885" t="s">
        <v>38</v>
      </c>
      <c r="G885" t="str">
        <f>VLOOKUP(A885,[1]Kreise!$A$1:$C$53,3,FALSE)</f>
        <v>K034</v>
      </c>
      <c r="H885">
        <v>5026</v>
      </c>
    </row>
    <row r="886" spans="1:8">
      <c r="A886">
        <v>0</v>
      </c>
      <c r="B886" t="s">
        <v>34</v>
      </c>
      <c r="C886">
        <v>2012</v>
      </c>
      <c r="D886" t="s">
        <v>11</v>
      </c>
      <c r="E886" t="s">
        <v>4</v>
      </c>
      <c r="F886" t="s">
        <v>38</v>
      </c>
      <c r="G886" t="str">
        <f>VLOOKUP(A886,[1]Kreise!$A$1:$C$53,3,FALSE)</f>
        <v>K030</v>
      </c>
      <c r="H886">
        <v>12655</v>
      </c>
    </row>
    <row r="887" spans="1:8">
      <c r="A887">
        <v>1</v>
      </c>
      <c r="B887" t="s">
        <v>30</v>
      </c>
      <c r="C887">
        <v>2011</v>
      </c>
      <c r="D887" t="s">
        <v>11</v>
      </c>
      <c r="E887" t="s">
        <v>4</v>
      </c>
      <c r="F887" t="s">
        <v>38</v>
      </c>
      <c r="G887" t="str">
        <f>VLOOKUP(A887,[1]Kreise!$A$1:$C$53,3,FALSE)</f>
        <v>K031</v>
      </c>
      <c r="H887">
        <v>2267</v>
      </c>
    </row>
    <row r="888" spans="1:8">
      <c r="A888">
        <v>2</v>
      </c>
      <c r="B888" t="s">
        <v>31</v>
      </c>
      <c r="C888">
        <v>2011</v>
      </c>
      <c r="D888" t="s">
        <v>11</v>
      </c>
      <c r="E888" t="s">
        <v>4</v>
      </c>
      <c r="F888" t="s">
        <v>38</v>
      </c>
      <c r="G888" t="str">
        <f>VLOOKUP(A888,[1]Kreise!$A$1:$C$53,3,FALSE)</f>
        <v>K032</v>
      </c>
      <c r="H888">
        <v>2749</v>
      </c>
    </row>
    <row r="889" spans="1:8">
      <c r="A889">
        <v>3</v>
      </c>
      <c r="B889" t="s">
        <v>32</v>
      </c>
      <c r="C889">
        <v>2011</v>
      </c>
      <c r="D889" t="s">
        <v>11</v>
      </c>
      <c r="E889" t="s">
        <v>4</v>
      </c>
      <c r="F889" t="s">
        <v>38</v>
      </c>
      <c r="G889" t="str">
        <f>VLOOKUP(A889,[1]Kreise!$A$1:$C$53,3,FALSE)</f>
        <v>K033</v>
      </c>
      <c r="H889">
        <v>3460</v>
      </c>
    </row>
    <row r="890" spans="1:8">
      <c r="A890">
        <v>4</v>
      </c>
      <c r="B890" t="s">
        <v>33</v>
      </c>
      <c r="C890">
        <v>2011</v>
      </c>
      <c r="D890" t="s">
        <v>11</v>
      </c>
      <c r="E890" t="s">
        <v>4</v>
      </c>
      <c r="F890" t="s">
        <v>38</v>
      </c>
      <c r="G890" t="str">
        <f>VLOOKUP(A890,[1]Kreise!$A$1:$C$53,3,FALSE)</f>
        <v>K034</v>
      </c>
      <c r="H890">
        <v>5474</v>
      </c>
    </row>
    <row r="891" spans="1:8">
      <c r="A891">
        <v>0</v>
      </c>
      <c r="B891" t="s">
        <v>34</v>
      </c>
      <c r="C891">
        <v>2011</v>
      </c>
      <c r="D891" t="s">
        <v>11</v>
      </c>
      <c r="E891" t="s">
        <v>4</v>
      </c>
      <c r="F891" t="s">
        <v>38</v>
      </c>
      <c r="G891" t="str">
        <f>VLOOKUP(A891,[1]Kreise!$A$1:$C$53,3,FALSE)</f>
        <v>K030</v>
      </c>
      <c r="H891">
        <v>13950</v>
      </c>
    </row>
    <row r="892" spans="1:8">
      <c r="A892">
        <v>1</v>
      </c>
      <c r="B892" t="s">
        <v>145</v>
      </c>
      <c r="C892">
        <v>2010</v>
      </c>
      <c r="D892" t="s">
        <v>11</v>
      </c>
      <c r="E892" t="s">
        <v>4</v>
      </c>
      <c r="F892" t="s">
        <v>38</v>
      </c>
      <c r="G892" t="str">
        <f>VLOOKUP(A892,[1]Kreise!$A$1:$C$53,3,FALSE)</f>
        <v>K031</v>
      </c>
      <c r="H892">
        <v>2369</v>
      </c>
    </row>
    <row r="893" spans="1:8">
      <c r="A893">
        <v>2</v>
      </c>
      <c r="B893" t="s">
        <v>146</v>
      </c>
      <c r="C893">
        <v>2010</v>
      </c>
      <c r="D893" t="s">
        <v>11</v>
      </c>
      <c r="E893" t="s">
        <v>4</v>
      </c>
      <c r="F893" t="s">
        <v>38</v>
      </c>
      <c r="G893" t="str">
        <f>VLOOKUP(A893,[1]Kreise!$A$1:$C$53,3,FALSE)</f>
        <v>K032</v>
      </c>
      <c r="H893">
        <v>2775</v>
      </c>
    </row>
    <row r="894" spans="1:8">
      <c r="A894">
        <v>3</v>
      </c>
      <c r="B894" t="s">
        <v>147</v>
      </c>
      <c r="C894">
        <v>2010</v>
      </c>
      <c r="D894" t="s">
        <v>11</v>
      </c>
      <c r="E894" t="s">
        <v>4</v>
      </c>
      <c r="F894" t="s">
        <v>38</v>
      </c>
      <c r="G894" t="str">
        <f>VLOOKUP(A894,[1]Kreise!$A$1:$C$53,3,FALSE)</f>
        <v>K033</v>
      </c>
      <c r="H894">
        <v>3467</v>
      </c>
    </row>
    <row r="895" spans="1:8">
      <c r="A895">
        <v>4</v>
      </c>
      <c r="B895" t="s">
        <v>148</v>
      </c>
      <c r="C895">
        <v>2010</v>
      </c>
      <c r="D895" t="s">
        <v>11</v>
      </c>
      <c r="E895" t="s">
        <v>4</v>
      </c>
      <c r="F895" t="s">
        <v>38</v>
      </c>
      <c r="G895" t="str">
        <f>VLOOKUP(A895,[1]Kreise!$A$1:$C$53,3,FALSE)</f>
        <v>K034</v>
      </c>
      <c r="H895">
        <v>5565</v>
      </c>
    </row>
    <row r="896" spans="1:8">
      <c r="A896">
        <v>0</v>
      </c>
      <c r="B896" t="s">
        <v>34</v>
      </c>
      <c r="C896">
        <v>2010</v>
      </c>
      <c r="D896" t="s">
        <v>11</v>
      </c>
      <c r="E896" t="s">
        <v>4</v>
      </c>
      <c r="F896" t="s">
        <v>38</v>
      </c>
      <c r="G896" t="str">
        <f>VLOOKUP(A896,[1]Kreise!$A$1:$C$53,3,FALSE)</f>
        <v>K030</v>
      </c>
      <c r="H896">
        <v>14176</v>
      </c>
    </row>
    <row r="897" spans="1:8">
      <c r="A897">
        <v>1</v>
      </c>
      <c r="B897" t="s">
        <v>145</v>
      </c>
      <c r="C897">
        <v>2005</v>
      </c>
      <c r="D897" t="s">
        <v>11</v>
      </c>
      <c r="E897" t="s">
        <v>4</v>
      </c>
      <c r="F897" t="s">
        <v>38</v>
      </c>
      <c r="G897" t="str">
        <f>VLOOKUP(A897,[1]Kreise!$A$1:$C$53,3,FALSE)</f>
        <v>K031</v>
      </c>
      <c r="H897">
        <v>3686</v>
      </c>
    </row>
    <row r="898" spans="1:8">
      <c r="A898">
        <v>2</v>
      </c>
      <c r="B898" t="s">
        <v>146</v>
      </c>
      <c r="C898">
        <v>2005</v>
      </c>
      <c r="D898" t="s">
        <v>11</v>
      </c>
      <c r="E898" t="s">
        <v>4</v>
      </c>
      <c r="F898" t="s">
        <v>38</v>
      </c>
      <c r="G898" t="str">
        <f>VLOOKUP(A898,[1]Kreise!$A$1:$C$53,3,FALSE)</f>
        <v>K032</v>
      </c>
      <c r="H898">
        <v>3977</v>
      </c>
    </row>
    <row r="899" spans="1:8">
      <c r="A899">
        <v>3</v>
      </c>
      <c r="B899" t="s">
        <v>147</v>
      </c>
      <c r="C899">
        <v>2005</v>
      </c>
      <c r="D899" t="s">
        <v>11</v>
      </c>
      <c r="E899" t="s">
        <v>4</v>
      </c>
      <c r="F899" t="s">
        <v>38</v>
      </c>
      <c r="G899" t="str">
        <f>VLOOKUP(A899,[1]Kreise!$A$1:$C$53,3,FALSE)</f>
        <v>K033</v>
      </c>
      <c r="H899">
        <v>5066</v>
      </c>
    </row>
    <row r="900" spans="1:8">
      <c r="A900">
        <v>4</v>
      </c>
      <c r="B900" t="s">
        <v>148</v>
      </c>
      <c r="C900">
        <v>2005</v>
      </c>
      <c r="D900" t="s">
        <v>11</v>
      </c>
      <c r="E900" t="s">
        <v>4</v>
      </c>
      <c r="F900" t="s">
        <v>38</v>
      </c>
      <c r="G900" t="str">
        <f>VLOOKUP(A900,[1]Kreise!$A$1:$C$53,3,FALSE)</f>
        <v>K034</v>
      </c>
      <c r="H900">
        <v>8129</v>
      </c>
    </row>
    <row r="901" spans="1:8">
      <c r="A901">
        <v>0</v>
      </c>
      <c r="B901" t="s">
        <v>34</v>
      </c>
      <c r="C901">
        <v>2005</v>
      </c>
      <c r="D901" t="s">
        <v>11</v>
      </c>
      <c r="E901" t="s">
        <v>4</v>
      </c>
      <c r="F901" t="s">
        <v>38</v>
      </c>
      <c r="G901" t="str">
        <f>VLOOKUP(A901,[1]Kreise!$A$1:$C$53,3,FALSE)</f>
        <v>K030</v>
      </c>
      <c r="H901">
        <v>20858</v>
      </c>
    </row>
    <row r="902" spans="1:8">
      <c r="A902">
        <v>1</v>
      </c>
      <c r="B902" t="s">
        <v>30</v>
      </c>
      <c r="C902">
        <v>2020</v>
      </c>
      <c r="D902" t="s">
        <v>12</v>
      </c>
      <c r="E902" t="s">
        <v>4</v>
      </c>
      <c r="F902" t="s">
        <v>38</v>
      </c>
      <c r="G902" t="str">
        <f>VLOOKUP(A902,[1]Kreise!$A$1:$C$53,3,FALSE)</f>
        <v>K031</v>
      </c>
      <c r="H902">
        <v>346</v>
      </c>
    </row>
    <row r="903" spans="1:8">
      <c r="A903">
        <v>2</v>
      </c>
      <c r="B903" t="s">
        <v>31</v>
      </c>
      <c r="C903">
        <v>2020</v>
      </c>
      <c r="D903" t="s">
        <v>12</v>
      </c>
      <c r="E903" t="s">
        <v>4</v>
      </c>
      <c r="F903" t="s">
        <v>38</v>
      </c>
      <c r="G903" t="str">
        <f>VLOOKUP(A903,[1]Kreise!$A$1:$C$53,3,FALSE)</f>
        <v>K032</v>
      </c>
      <c r="H903">
        <v>303</v>
      </c>
    </row>
    <row r="904" spans="1:8">
      <c r="A904">
        <v>3</v>
      </c>
      <c r="B904" t="s">
        <v>32</v>
      </c>
      <c r="C904">
        <v>2020</v>
      </c>
      <c r="D904" t="s">
        <v>12</v>
      </c>
      <c r="E904" t="s">
        <v>4</v>
      </c>
      <c r="F904" t="s">
        <v>38</v>
      </c>
      <c r="G904" t="str">
        <f>VLOOKUP(A904,[1]Kreise!$A$1:$C$53,3,FALSE)</f>
        <v>K033</v>
      </c>
      <c r="H904">
        <v>181</v>
      </c>
    </row>
    <row r="905" spans="1:8">
      <c r="A905">
        <v>4</v>
      </c>
      <c r="B905" t="s">
        <v>33</v>
      </c>
      <c r="C905">
        <v>2020</v>
      </c>
      <c r="D905" t="s">
        <v>12</v>
      </c>
      <c r="E905" t="s">
        <v>4</v>
      </c>
      <c r="F905" t="s">
        <v>38</v>
      </c>
      <c r="G905" t="str">
        <f>VLOOKUP(A905,[1]Kreise!$A$1:$C$53,3,FALSE)</f>
        <v>K034</v>
      </c>
      <c r="H905">
        <v>325</v>
      </c>
    </row>
    <row r="906" spans="1:8">
      <c r="A906">
        <v>0</v>
      </c>
      <c r="B906" t="s">
        <v>34</v>
      </c>
      <c r="C906">
        <v>2020</v>
      </c>
      <c r="D906" t="s">
        <v>12</v>
      </c>
      <c r="E906" t="s">
        <v>4</v>
      </c>
      <c r="F906" t="s">
        <v>38</v>
      </c>
      <c r="G906" t="str">
        <f>VLOOKUP(A906,[1]Kreise!$A$1:$C$53,3,FALSE)</f>
        <v>K030</v>
      </c>
      <c r="H906">
        <v>1155</v>
      </c>
    </row>
    <row r="907" spans="1:8">
      <c r="A907">
        <v>1</v>
      </c>
      <c r="B907" t="s">
        <v>30</v>
      </c>
      <c r="C907">
        <v>2019</v>
      </c>
      <c r="D907" t="s">
        <v>12</v>
      </c>
      <c r="E907" t="s">
        <v>4</v>
      </c>
      <c r="F907" t="s">
        <v>38</v>
      </c>
      <c r="G907" t="str">
        <f>VLOOKUP(A907,[1]Kreise!$A$1:$C$53,3,FALSE)</f>
        <v>K031</v>
      </c>
      <c r="H907">
        <v>359</v>
      </c>
    </row>
    <row r="908" spans="1:8">
      <c r="A908">
        <v>2</v>
      </c>
      <c r="B908" t="s">
        <v>31</v>
      </c>
      <c r="C908">
        <v>2019</v>
      </c>
      <c r="D908" t="s">
        <v>12</v>
      </c>
      <c r="E908" t="s">
        <v>4</v>
      </c>
      <c r="F908" t="s">
        <v>38</v>
      </c>
      <c r="G908" t="str">
        <f>VLOOKUP(A908,[1]Kreise!$A$1:$C$53,3,FALSE)</f>
        <v>K032</v>
      </c>
      <c r="H908">
        <v>308</v>
      </c>
    </row>
    <row r="909" spans="1:8">
      <c r="A909">
        <v>3</v>
      </c>
      <c r="B909" t="s">
        <v>32</v>
      </c>
      <c r="C909">
        <v>2019</v>
      </c>
      <c r="D909" t="s">
        <v>12</v>
      </c>
      <c r="E909" t="s">
        <v>4</v>
      </c>
      <c r="F909" t="s">
        <v>38</v>
      </c>
      <c r="G909" t="str">
        <f>VLOOKUP(A909,[1]Kreise!$A$1:$C$53,3,FALSE)</f>
        <v>K033</v>
      </c>
      <c r="H909">
        <v>176</v>
      </c>
    </row>
    <row r="910" spans="1:8">
      <c r="A910">
        <v>4</v>
      </c>
      <c r="B910" t="s">
        <v>33</v>
      </c>
      <c r="C910">
        <v>2019</v>
      </c>
      <c r="D910" t="s">
        <v>12</v>
      </c>
      <c r="E910" t="s">
        <v>4</v>
      </c>
      <c r="F910" t="s">
        <v>38</v>
      </c>
      <c r="G910" t="str">
        <f>VLOOKUP(A910,[1]Kreise!$A$1:$C$53,3,FALSE)</f>
        <v>K034</v>
      </c>
      <c r="H910">
        <v>315</v>
      </c>
    </row>
    <row r="911" spans="1:8">
      <c r="A911">
        <v>0</v>
      </c>
      <c r="B911" t="s">
        <v>34</v>
      </c>
      <c r="C911">
        <v>2019</v>
      </c>
      <c r="D911" t="s">
        <v>12</v>
      </c>
      <c r="E911" t="s">
        <v>4</v>
      </c>
      <c r="F911" t="s">
        <v>38</v>
      </c>
      <c r="G911" t="str">
        <f>VLOOKUP(A911,[1]Kreise!$A$1:$C$53,3,FALSE)</f>
        <v>K030</v>
      </c>
      <c r="H911">
        <v>1158</v>
      </c>
    </row>
    <row r="912" spans="1:8">
      <c r="A912">
        <v>1</v>
      </c>
      <c r="B912" t="s">
        <v>30</v>
      </c>
      <c r="C912">
        <v>2018</v>
      </c>
      <c r="D912" t="s">
        <v>12</v>
      </c>
      <c r="E912" t="s">
        <v>4</v>
      </c>
      <c r="F912" t="s">
        <v>38</v>
      </c>
      <c r="G912" t="str">
        <f>VLOOKUP(A912,[1]Kreise!$A$1:$C$53,3,FALSE)</f>
        <v>K031</v>
      </c>
      <c r="H912">
        <v>327</v>
      </c>
    </row>
    <row r="913" spans="1:8">
      <c r="A913">
        <v>2</v>
      </c>
      <c r="B913" t="s">
        <v>31</v>
      </c>
      <c r="C913">
        <v>2018</v>
      </c>
      <c r="D913" t="s">
        <v>12</v>
      </c>
      <c r="E913" t="s">
        <v>4</v>
      </c>
      <c r="F913" t="s">
        <v>38</v>
      </c>
      <c r="G913" t="str">
        <f>VLOOKUP(A913,[1]Kreise!$A$1:$C$53,3,FALSE)</f>
        <v>K032</v>
      </c>
      <c r="H913">
        <v>388</v>
      </c>
    </row>
    <row r="914" spans="1:8">
      <c r="A914">
        <v>3</v>
      </c>
      <c r="B914" t="s">
        <v>32</v>
      </c>
      <c r="C914">
        <v>2018</v>
      </c>
      <c r="D914" t="s">
        <v>12</v>
      </c>
      <c r="E914" t="s">
        <v>4</v>
      </c>
      <c r="F914" t="s">
        <v>38</v>
      </c>
      <c r="G914" t="str">
        <f>VLOOKUP(A914,[1]Kreise!$A$1:$C$53,3,FALSE)</f>
        <v>K033</v>
      </c>
      <c r="H914">
        <v>165</v>
      </c>
    </row>
    <row r="915" spans="1:8">
      <c r="A915">
        <v>4</v>
      </c>
      <c r="B915" t="s">
        <v>33</v>
      </c>
      <c r="C915">
        <v>2018</v>
      </c>
      <c r="D915" t="s">
        <v>12</v>
      </c>
      <c r="E915" t="s">
        <v>4</v>
      </c>
      <c r="F915" t="s">
        <v>38</v>
      </c>
      <c r="G915" t="str">
        <f>VLOOKUP(A915,[1]Kreise!$A$1:$C$53,3,FALSE)</f>
        <v>K034</v>
      </c>
      <c r="H915">
        <v>325</v>
      </c>
    </row>
    <row r="916" spans="1:8">
      <c r="A916">
        <v>0</v>
      </c>
      <c r="B916" t="s">
        <v>34</v>
      </c>
      <c r="C916">
        <v>2018</v>
      </c>
      <c r="D916" t="s">
        <v>12</v>
      </c>
      <c r="E916" t="s">
        <v>4</v>
      </c>
      <c r="F916" t="s">
        <v>38</v>
      </c>
      <c r="G916" t="str">
        <f>VLOOKUP(A916,[1]Kreise!$A$1:$C$53,3,FALSE)</f>
        <v>K030</v>
      </c>
      <c r="H916">
        <v>1205</v>
      </c>
    </row>
    <row r="917" spans="1:8">
      <c r="A917">
        <v>1</v>
      </c>
      <c r="B917" t="s">
        <v>30</v>
      </c>
      <c r="C917">
        <v>2017</v>
      </c>
      <c r="D917" t="s">
        <v>12</v>
      </c>
      <c r="E917" t="s">
        <v>4</v>
      </c>
      <c r="F917" t="s">
        <v>38</v>
      </c>
      <c r="G917" t="str">
        <f>VLOOKUP(A917,[1]Kreise!$A$1:$C$53,3,FALSE)</f>
        <v>K031</v>
      </c>
      <c r="H917">
        <v>295</v>
      </c>
    </row>
    <row r="918" spans="1:8">
      <c r="A918">
        <v>2</v>
      </c>
      <c r="B918" t="s">
        <v>31</v>
      </c>
      <c r="C918">
        <v>2017</v>
      </c>
      <c r="D918" t="s">
        <v>12</v>
      </c>
      <c r="E918" t="s">
        <v>4</v>
      </c>
      <c r="F918" t="s">
        <v>38</v>
      </c>
      <c r="G918" t="str">
        <f>VLOOKUP(A918,[1]Kreise!$A$1:$C$53,3,FALSE)</f>
        <v>K032</v>
      </c>
      <c r="H918">
        <v>338</v>
      </c>
    </row>
    <row r="919" spans="1:8">
      <c r="A919">
        <v>3</v>
      </c>
      <c r="B919" t="s">
        <v>32</v>
      </c>
      <c r="C919">
        <v>2017</v>
      </c>
      <c r="D919" t="s">
        <v>12</v>
      </c>
      <c r="E919" t="s">
        <v>4</v>
      </c>
      <c r="F919" t="s">
        <v>38</v>
      </c>
      <c r="G919" t="str">
        <f>VLOOKUP(A919,[1]Kreise!$A$1:$C$53,3,FALSE)</f>
        <v>K033</v>
      </c>
      <c r="H919">
        <v>163</v>
      </c>
    </row>
    <row r="920" spans="1:8">
      <c r="A920">
        <v>4</v>
      </c>
      <c r="B920" t="s">
        <v>33</v>
      </c>
      <c r="C920">
        <v>2017</v>
      </c>
      <c r="D920" t="s">
        <v>12</v>
      </c>
      <c r="E920" t="s">
        <v>4</v>
      </c>
      <c r="F920" t="s">
        <v>38</v>
      </c>
      <c r="G920" t="str">
        <f>VLOOKUP(A920,[1]Kreise!$A$1:$C$53,3,FALSE)</f>
        <v>K034</v>
      </c>
      <c r="H920">
        <v>275</v>
      </c>
    </row>
    <row r="921" spans="1:8">
      <c r="A921">
        <v>0</v>
      </c>
      <c r="B921" t="s">
        <v>34</v>
      </c>
      <c r="C921">
        <v>2017</v>
      </c>
      <c r="D921" t="s">
        <v>12</v>
      </c>
      <c r="E921" t="s">
        <v>4</v>
      </c>
      <c r="F921" t="s">
        <v>38</v>
      </c>
      <c r="G921" t="str">
        <f>VLOOKUP(A921,[1]Kreise!$A$1:$C$53,3,FALSE)</f>
        <v>K030</v>
      </c>
      <c r="H921">
        <v>1071</v>
      </c>
    </row>
    <row r="922" spans="1:8">
      <c r="A922">
        <v>1</v>
      </c>
      <c r="B922" t="s">
        <v>30</v>
      </c>
      <c r="C922">
        <v>2016</v>
      </c>
      <c r="D922" t="s">
        <v>12</v>
      </c>
      <c r="E922" t="s">
        <v>4</v>
      </c>
      <c r="F922" t="s">
        <v>38</v>
      </c>
      <c r="G922" t="str">
        <f>VLOOKUP(A922,[1]Kreise!$A$1:$C$53,3,FALSE)</f>
        <v>K031</v>
      </c>
      <c r="H922">
        <v>265</v>
      </c>
    </row>
    <row r="923" spans="1:8">
      <c r="A923">
        <v>2</v>
      </c>
      <c r="B923" t="s">
        <v>31</v>
      </c>
      <c r="C923">
        <v>2016</v>
      </c>
      <c r="D923" t="s">
        <v>12</v>
      </c>
      <c r="E923" t="s">
        <v>4</v>
      </c>
      <c r="F923" t="s">
        <v>38</v>
      </c>
      <c r="G923" t="str">
        <f>VLOOKUP(A923,[1]Kreise!$A$1:$C$53,3,FALSE)</f>
        <v>K032</v>
      </c>
      <c r="H923">
        <v>293</v>
      </c>
    </row>
    <row r="924" spans="1:8">
      <c r="A924">
        <v>3</v>
      </c>
      <c r="B924" t="s">
        <v>32</v>
      </c>
      <c r="C924">
        <v>2016</v>
      </c>
      <c r="D924" t="s">
        <v>12</v>
      </c>
      <c r="E924" t="s">
        <v>4</v>
      </c>
      <c r="F924" t="s">
        <v>38</v>
      </c>
      <c r="G924" t="str">
        <f>VLOOKUP(A924,[1]Kreise!$A$1:$C$53,3,FALSE)</f>
        <v>K033</v>
      </c>
      <c r="H924">
        <v>186</v>
      </c>
    </row>
    <row r="925" spans="1:8">
      <c r="A925">
        <v>4</v>
      </c>
      <c r="B925" t="s">
        <v>33</v>
      </c>
      <c r="C925">
        <v>2016</v>
      </c>
      <c r="D925" t="s">
        <v>12</v>
      </c>
      <c r="E925" t="s">
        <v>4</v>
      </c>
      <c r="F925" t="s">
        <v>38</v>
      </c>
      <c r="G925" t="str">
        <f>VLOOKUP(A925,[1]Kreise!$A$1:$C$53,3,FALSE)</f>
        <v>K034</v>
      </c>
      <c r="H925">
        <v>322</v>
      </c>
    </row>
    <row r="926" spans="1:8">
      <c r="A926">
        <v>0</v>
      </c>
      <c r="B926" t="s">
        <v>34</v>
      </c>
      <c r="C926">
        <v>2016</v>
      </c>
      <c r="D926" t="s">
        <v>12</v>
      </c>
      <c r="E926" t="s">
        <v>4</v>
      </c>
      <c r="F926" t="s">
        <v>38</v>
      </c>
      <c r="G926" t="str">
        <f>VLOOKUP(A926,[1]Kreise!$A$1:$C$53,3,FALSE)</f>
        <v>K030</v>
      </c>
      <c r="H926">
        <v>1066</v>
      </c>
    </row>
    <row r="927" spans="1:8">
      <c r="A927">
        <v>1</v>
      </c>
      <c r="B927" t="s">
        <v>30</v>
      </c>
      <c r="C927">
        <v>2015</v>
      </c>
      <c r="D927" t="s">
        <v>12</v>
      </c>
      <c r="E927" t="s">
        <v>4</v>
      </c>
      <c r="F927" t="s">
        <v>38</v>
      </c>
      <c r="G927" t="str">
        <f>VLOOKUP(A927,[1]Kreise!$A$1:$C$53,3,FALSE)</f>
        <v>K031</v>
      </c>
      <c r="H927">
        <v>223</v>
      </c>
    </row>
    <row r="928" spans="1:8">
      <c r="A928">
        <v>2</v>
      </c>
      <c r="B928" t="s">
        <v>31</v>
      </c>
      <c r="C928">
        <v>2015</v>
      </c>
      <c r="D928" t="s">
        <v>12</v>
      </c>
      <c r="E928" t="s">
        <v>4</v>
      </c>
      <c r="F928" t="s">
        <v>38</v>
      </c>
      <c r="G928" t="str">
        <f>VLOOKUP(A928,[1]Kreise!$A$1:$C$53,3,FALSE)</f>
        <v>K032</v>
      </c>
      <c r="H928">
        <v>309</v>
      </c>
    </row>
    <row r="929" spans="1:8">
      <c r="A929">
        <v>3</v>
      </c>
      <c r="B929" t="s">
        <v>32</v>
      </c>
      <c r="C929">
        <v>2015</v>
      </c>
      <c r="D929" t="s">
        <v>12</v>
      </c>
      <c r="E929" t="s">
        <v>4</v>
      </c>
      <c r="F929" t="s">
        <v>38</v>
      </c>
      <c r="G929" t="str">
        <f>VLOOKUP(A929,[1]Kreise!$A$1:$C$53,3,FALSE)</f>
        <v>K033</v>
      </c>
      <c r="H929">
        <v>191</v>
      </c>
    </row>
    <row r="930" spans="1:8">
      <c r="A930">
        <v>4</v>
      </c>
      <c r="B930" t="s">
        <v>33</v>
      </c>
      <c r="C930">
        <v>2015</v>
      </c>
      <c r="D930" t="s">
        <v>12</v>
      </c>
      <c r="E930" t="s">
        <v>4</v>
      </c>
      <c r="F930" t="s">
        <v>38</v>
      </c>
      <c r="G930" t="str">
        <f>VLOOKUP(A930,[1]Kreise!$A$1:$C$53,3,FALSE)</f>
        <v>K034</v>
      </c>
      <c r="H930">
        <v>343</v>
      </c>
    </row>
    <row r="931" spans="1:8">
      <c r="A931">
        <v>0</v>
      </c>
      <c r="B931" t="s">
        <v>34</v>
      </c>
      <c r="C931">
        <v>2015</v>
      </c>
      <c r="D931" t="s">
        <v>12</v>
      </c>
      <c r="E931" t="s">
        <v>4</v>
      </c>
      <c r="F931" t="s">
        <v>38</v>
      </c>
      <c r="G931" t="str">
        <f>VLOOKUP(A931,[1]Kreise!$A$1:$C$53,3,FALSE)</f>
        <v>K030</v>
      </c>
      <c r="H931">
        <v>1066</v>
      </c>
    </row>
    <row r="932" spans="1:8">
      <c r="A932">
        <v>1</v>
      </c>
      <c r="B932" t="s">
        <v>145</v>
      </c>
      <c r="C932">
        <v>2014</v>
      </c>
      <c r="D932" t="s">
        <v>12</v>
      </c>
      <c r="E932" t="s">
        <v>4</v>
      </c>
      <c r="F932" t="s">
        <v>38</v>
      </c>
      <c r="G932" t="str">
        <f>VLOOKUP(A932,[1]Kreise!$A$1:$C$53,3,FALSE)</f>
        <v>K031</v>
      </c>
      <c r="H932">
        <v>238</v>
      </c>
    </row>
    <row r="933" spans="1:8">
      <c r="A933">
        <v>2</v>
      </c>
      <c r="B933" t="s">
        <v>146</v>
      </c>
      <c r="C933">
        <v>2014</v>
      </c>
      <c r="D933" t="s">
        <v>12</v>
      </c>
      <c r="E933" t="s">
        <v>4</v>
      </c>
      <c r="F933" t="s">
        <v>38</v>
      </c>
      <c r="G933" t="str">
        <f>VLOOKUP(A933,[1]Kreise!$A$1:$C$53,3,FALSE)</f>
        <v>K032</v>
      </c>
      <c r="H933">
        <v>310</v>
      </c>
    </row>
    <row r="934" spans="1:8">
      <c r="A934">
        <v>3</v>
      </c>
      <c r="B934" t="s">
        <v>147</v>
      </c>
      <c r="C934">
        <v>2014</v>
      </c>
      <c r="D934" t="s">
        <v>12</v>
      </c>
      <c r="E934" t="s">
        <v>4</v>
      </c>
      <c r="F934" t="s">
        <v>38</v>
      </c>
      <c r="G934" t="str">
        <f>VLOOKUP(A934,[1]Kreise!$A$1:$C$53,3,FALSE)</f>
        <v>K033</v>
      </c>
      <c r="H934">
        <v>233</v>
      </c>
    </row>
    <row r="935" spans="1:8">
      <c r="A935">
        <v>4</v>
      </c>
      <c r="B935" t="s">
        <v>148</v>
      </c>
      <c r="C935">
        <v>2014</v>
      </c>
      <c r="D935" t="s">
        <v>12</v>
      </c>
      <c r="E935" t="s">
        <v>4</v>
      </c>
      <c r="F935" t="s">
        <v>38</v>
      </c>
      <c r="G935" t="str">
        <f>VLOOKUP(A935,[1]Kreise!$A$1:$C$53,3,FALSE)</f>
        <v>K034</v>
      </c>
      <c r="H935">
        <v>411</v>
      </c>
    </row>
    <row r="936" spans="1:8">
      <c r="A936">
        <v>0</v>
      </c>
      <c r="B936" t="s">
        <v>34</v>
      </c>
      <c r="C936">
        <v>2014</v>
      </c>
      <c r="D936" t="s">
        <v>12</v>
      </c>
      <c r="E936" t="s">
        <v>4</v>
      </c>
      <c r="F936" t="s">
        <v>38</v>
      </c>
      <c r="G936" t="str">
        <f>VLOOKUP(A936,[1]Kreise!$A$1:$C$53,3,FALSE)</f>
        <v>K030</v>
      </c>
      <c r="H936">
        <v>1192</v>
      </c>
    </row>
    <row r="937" spans="1:8">
      <c r="A937">
        <v>1</v>
      </c>
      <c r="B937" t="s">
        <v>30</v>
      </c>
      <c r="C937">
        <v>2013</v>
      </c>
      <c r="D937" t="s">
        <v>12</v>
      </c>
      <c r="E937" t="s">
        <v>4</v>
      </c>
      <c r="F937" t="s">
        <v>38</v>
      </c>
      <c r="G937" t="str">
        <f>VLOOKUP(A937,[1]Kreise!$A$1:$C$53,3,FALSE)</f>
        <v>K031</v>
      </c>
      <c r="H937">
        <v>261</v>
      </c>
    </row>
    <row r="938" spans="1:8">
      <c r="A938">
        <v>2</v>
      </c>
      <c r="B938" t="s">
        <v>31</v>
      </c>
      <c r="C938">
        <v>2013</v>
      </c>
      <c r="D938" t="s">
        <v>12</v>
      </c>
      <c r="E938" t="s">
        <v>4</v>
      </c>
      <c r="F938" t="s">
        <v>38</v>
      </c>
      <c r="G938" t="str">
        <f>VLOOKUP(A938,[1]Kreise!$A$1:$C$53,3,FALSE)</f>
        <v>K032</v>
      </c>
      <c r="H938">
        <v>431</v>
      </c>
    </row>
    <row r="939" spans="1:8">
      <c r="A939">
        <v>3</v>
      </c>
      <c r="B939" t="s">
        <v>32</v>
      </c>
      <c r="C939">
        <v>2013</v>
      </c>
      <c r="D939" t="s">
        <v>12</v>
      </c>
      <c r="E939" t="s">
        <v>4</v>
      </c>
      <c r="F939" t="s">
        <v>38</v>
      </c>
      <c r="G939" t="str">
        <f>VLOOKUP(A939,[1]Kreise!$A$1:$C$53,3,FALSE)</f>
        <v>K033</v>
      </c>
      <c r="H939">
        <v>287</v>
      </c>
    </row>
    <row r="940" spans="1:8">
      <c r="A940">
        <v>4</v>
      </c>
      <c r="B940" t="s">
        <v>33</v>
      </c>
      <c r="C940">
        <v>2013</v>
      </c>
      <c r="D940" t="s">
        <v>12</v>
      </c>
      <c r="E940" t="s">
        <v>4</v>
      </c>
      <c r="F940" t="s">
        <v>38</v>
      </c>
      <c r="G940" t="str">
        <f>VLOOKUP(A940,[1]Kreise!$A$1:$C$53,3,FALSE)</f>
        <v>K034</v>
      </c>
      <c r="H940">
        <v>491</v>
      </c>
    </row>
    <row r="941" spans="1:8">
      <c r="A941">
        <v>0</v>
      </c>
      <c r="B941" t="s">
        <v>34</v>
      </c>
      <c r="C941">
        <v>2013</v>
      </c>
      <c r="D941" t="s">
        <v>12</v>
      </c>
      <c r="E941" t="s">
        <v>4</v>
      </c>
      <c r="F941" t="s">
        <v>38</v>
      </c>
      <c r="G941" t="str">
        <f>VLOOKUP(A941,[1]Kreise!$A$1:$C$53,3,FALSE)</f>
        <v>K030</v>
      </c>
      <c r="H941">
        <v>1470</v>
      </c>
    </row>
    <row r="942" spans="1:8">
      <c r="A942">
        <v>1</v>
      </c>
      <c r="B942" t="s">
        <v>145</v>
      </c>
      <c r="C942">
        <v>2012</v>
      </c>
      <c r="D942" t="s">
        <v>12</v>
      </c>
      <c r="E942" t="s">
        <v>4</v>
      </c>
      <c r="F942" t="s">
        <v>38</v>
      </c>
      <c r="G942" t="str">
        <f>VLOOKUP(A942,[1]Kreise!$A$1:$C$53,3,FALSE)</f>
        <v>K031</v>
      </c>
      <c r="H942">
        <v>303</v>
      </c>
    </row>
    <row r="943" spans="1:8">
      <c r="A943">
        <v>2</v>
      </c>
      <c r="B943" t="s">
        <v>146</v>
      </c>
      <c r="C943">
        <v>2012</v>
      </c>
      <c r="D943" t="s">
        <v>12</v>
      </c>
      <c r="E943" t="s">
        <v>4</v>
      </c>
      <c r="F943" t="s">
        <v>38</v>
      </c>
      <c r="G943" t="str">
        <f>VLOOKUP(A943,[1]Kreise!$A$1:$C$53,3,FALSE)</f>
        <v>K032</v>
      </c>
      <c r="H943">
        <v>469</v>
      </c>
    </row>
    <row r="944" spans="1:8">
      <c r="A944">
        <v>3</v>
      </c>
      <c r="B944" t="s">
        <v>147</v>
      </c>
      <c r="C944">
        <v>2012</v>
      </c>
      <c r="D944" t="s">
        <v>12</v>
      </c>
      <c r="E944" t="s">
        <v>4</v>
      </c>
      <c r="F944" t="s">
        <v>38</v>
      </c>
      <c r="G944" t="str">
        <f>VLOOKUP(A944,[1]Kreise!$A$1:$C$53,3,FALSE)</f>
        <v>K033</v>
      </c>
      <c r="H944">
        <v>326</v>
      </c>
    </row>
    <row r="945" spans="1:8">
      <c r="A945">
        <v>4</v>
      </c>
      <c r="B945" t="s">
        <v>148</v>
      </c>
      <c r="C945">
        <v>2012</v>
      </c>
      <c r="D945" t="s">
        <v>12</v>
      </c>
      <c r="E945" t="s">
        <v>4</v>
      </c>
      <c r="F945" t="s">
        <v>38</v>
      </c>
      <c r="G945" t="str">
        <f>VLOOKUP(A945,[1]Kreise!$A$1:$C$53,3,FALSE)</f>
        <v>K034</v>
      </c>
      <c r="H945">
        <v>558</v>
      </c>
    </row>
    <row r="946" spans="1:8">
      <c r="A946">
        <v>0</v>
      </c>
      <c r="B946" t="s">
        <v>34</v>
      </c>
      <c r="C946">
        <v>2012</v>
      </c>
      <c r="D946" t="s">
        <v>12</v>
      </c>
      <c r="E946" t="s">
        <v>4</v>
      </c>
      <c r="F946" t="s">
        <v>38</v>
      </c>
      <c r="G946" t="str">
        <f>VLOOKUP(A946,[1]Kreise!$A$1:$C$53,3,FALSE)</f>
        <v>K030</v>
      </c>
      <c r="H946">
        <v>1656</v>
      </c>
    </row>
    <row r="947" spans="1:8">
      <c r="A947">
        <v>1</v>
      </c>
      <c r="B947" t="s">
        <v>30</v>
      </c>
      <c r="C947">
        <v>2011</v>
      </c>
      <c r="D947" t="s">
        <v>12</v>
      </c>
      <c r="E947" t="s">
        <v>4</v>
      </c>
      <c r="F947" t="s">
        <v>38</v>
      </c>
      <c r="G947" t="str">
        <f>VLOOKUP(A947,[1]Kreise!$A$1:$C$53,3,FALSE)</f>
        <v>K031</v>
      </c>
      <c r="H947">
        <v>328</v>
      </c>
    </row>
    <row r="948" spans="1:8">
      <c r="A948">
        <v>2</v>
      </c>
      <c r="B948" t="s">
        <v>31</v>
      </c>
      <c r="C948">
        <v>2011</v>
      </c>
      <c r="D948" t="s">
        <v>12</v>
      </c>
      <c r="E948" t="s">
        <v>4</v>
      </c>
      <c r="F948" t="s">
        <v>38</v>
      </c>
      <c r="G948" t="str">
        <f>VLOOKUP(A948,[1]Kreise!$A$1:$C$53,3,FALSE)</f>
        <v>K032</v>
      </c>
      <c r="H948">
        <v>497</v>
      </c>
    </row>
    <row r="949" spans="1:8">
      <c r="A949">
        <v>3</v>
      </c>
      <c r="B949" t="s">
        <v>32</v>
      </c>
      <c r="C949">
        <v>2011</v>
      </c>
      <c r="D949" t="s">
        <v>12</v>
      </c>
      <c r="E949" t="s">
        <v>4</v>
      </c>
      <c r="F949" t="s">
        <v>38</v>
      </c>
      <c r="G949" t="str">
        <f>VLOOKUP(A949,[1]Kreise!$A$1:$C$53,3,FALSE)</f>
        <v>K033</v>
      </c>
      <c r="H949">
        <v>351</v>
      </c>
    </row>
    <row r="950" spans="1:8">
      <c r="A950">
        <v>4</v>
      </c>
      <c r="B950" t="s">
        <v>33</v>
      </c>
      <c r="C950">
        <v>2011</v>
      </c>
      <c r="D950" t="s">
        <v>12</v>
      </c>
      <c r="E950" t="s">
        <v>4</v>
      </c>
      <c r="F950" t="s">
        <v>38</v>
      </c>
      <c r="G950" t="str">
        <f>VLOOKUP(A950,[1]Kreise!$A$1:$C$53,3,FALSE)</f>
        <v>K034</v>
      </c>
      <c r="H950">
        <v>613</v>
      </c>
    </row>
    <row r="951" spans="1:8">
      <c r="A951">
        <v>0</v>
      </c>
      <c r="B951" t="s">
        <v>34</v>
      </c>
      <c r="C951">
        <v>2011</v>
      </c>
      <c r="D951" t="s">
        <v>12</v>
      </c>
      <c r="E951" t="s">
        <v>4</v>
      </c>
      <c r="F951" t="s">
        <v>38</v>
      </c>
      <c r="G951" t="str">
        <f>VLOOKUP(A951,[1]Kreise!$A$1:$C$53,3,FALSE)</f>
        <v>K030</v>
      </c>
      <c r="H951">
        <v>1789</v>
      </c>
    </row>
    <row r="952" spans="1:8">
      <c r="A952">
        <v>1</v>
      </c>
      <c r="B952" t="s">
        <v>145</v>
      </c>
      <c r="C952">
        <v>2010</v>
      </c>
      <c r="D952" t="s">
        <v>12</v>
      </c>
      <c r="E952" t="s">
        <v>4</v>
      </c>
      <c r="F952" t="s">
        <v>38</v>
      </c>
      <c r="G952" t="str">
        <f>VLOOKUP(A952,[1]Kreise!$A$1:$C$53,3,FALSE)</f>
        <v>K031</v>
      </c>
      <c r="H952">
        <v>378</v>
      </c>
    </row>
    <row r="953" spans="1:8">
      <c r="A953">
        <v>2</v>
      </c>
      <c r="B953" t="s">
        <v>146</v>
      </c>
      <c r="C953">
        <v>2010</v>
      </c>
      <c r="D953" t="s">
        <v>12</v>
      </c>
      <c r="E953" t="s">
        <v>4</v>
      </c>
      <c r="F953" t="s">
        <v>38</v>
      </c>
      <c r="G953" t="str">
        <f>VLOOKUP(A953,[1]Kreise!$A$1:$C$53,3,FALSE)</f>
        <v>K032</v>
      </c>
      <c r="H953">
        <v>538</v>
      </c>
    </row>
    <row r="954" spans="1:8">
      <c r="A954">
        <v>3</v>
      </c>
      <c r="B954" t="s">
        <v>147</v>
      </c>
      <c r="C954">
        <v>2010</v>
      </c>
      <c r="D954" t="s">
        <v>12</v>
      </c>
      <c r="E954" t="s">
        <v>4</v>
      </c>
      <c r="F954" t="s">
        <v>38</v>
      </c>
      <c r="G954" t="str">
        <f>VLOOKUP(A954,[1]Kreise!$A$1:$C$53,3,FALSE)</f>
        <v>K033</v>
      </c>
      <c r="H954">
        <v>357</v>
      </c>
    </row>
    <row r="955" spans="1:8">
      <c r="A955">
        <v>4</v>
      </c>
      <c r="B955" t="s">
        <v>148</v>
      </c>
      <c r="C955">
        <v>2010</v>
      </c>
      <c r="D955" t="s">
        <v>12</v>
      </c>
      <c r="E955" t="s">
        <v>4</v>
      </c>
      <c r="F955" t="s">
        <v>38</v>
      </c>
      <c r="G955" t="str">
        <f>VLOOKUP(A955,[1]Kreise!$A$1:$C$53,3,FALSE)</f>
        <v>K034</v>
      </c>
      <c r="H955">
        <v>571</v>
      </c>
    </row>
    <row r="956" spans="1:8">
      <c r="A956">
        <v>0</v>
      </c>
      <c r="B956" t="s">
        <v>34</v>
      </c>
      <c r="C956">
        <v>2010</v>
      </c>
      <c r="D956" t="s">
        <v>12</v>
      </c>
      <c r="E956" t="s">
        <v>4</v>
      </c>
      <c r="F956" t="s">
        <v>38</v>
      </c>
      <c r="G956" t="str">
        <f>VLOOKUP(A956,[1]Kreise!$A$1:$C$53,3,FALSE)</f>
        <v>K030</v>
      </c>
      <c r="H956">
        <v>1844</v>
      </c>
    </row>
    <row r="957" spans="1:8">
      <c r="A957">
        <v>1</v>
      </c>
      <c r="B957" t="s">
        <v>145</v>
      </c>
      <c r="C957">
        <v>2005</v>
      </c>
      <c r="D957" t="s">
        <v>12</v>
      </c>
      <c r="E957" t="s">
        <v>4</v>
      </c>
      <c r="F957" t="s">
        <v>38</v>
      </c>
      <c r="G957" t="str">
        <f>VLOOKUP(A957,[1]Kreise!$A$1:$C$53,3,FALSE)</f>
        <v>K031</v>
      </c>
      <c r="H957">
        <v>555</v>
      </c>
    </row>
    <row r="958" spans="1:8">
      <c r="A958">
        <v>2</v>
      </c>
      <c r="B958" t="s">
        <v>146</v>
      </c>
      <c r="C958">
        <v>2005</v>
      </c>
      <c r="D958" t="s">
        <v>12</v>
      </c>
      <c r="E958" t="s">
        <v>4</v>
      </c>
      <c r="F958" t="s">
        <v>38</v>
      </c>
      <c r="G958" t="str">
        <f>VLOOKUP(A958,[1]Kreise!$A$1:$C$53,3,FALSE)</f>
        <v>K032</v>
      </c>
      <c r="H958">
        <v>686</v>
      </c>
    </row>
    <row r="959" spans="1:8">
      <c r="A959">
        <v>3</v>
      </c>
      <c r="B959" t="s">
        <v>147</v>
      </c>
      <c r="C959">
        <v>2005</v>
      </c>
      <c r="D959" t="s">
        <v>12</v>
      </c>
      <c r="E959" t="s">
        <v>4</v>
      </c>
      <c r="F959" t="s">
        <v>38</v>
      </c>
      <c r="G959" t="str">
        <f>VLOOKUP(A959,[1]Kreise!$A$1:$C$53,3,FALSE)</f>
        <v>K033</v>
      </c>
      <c r="H959">
        <v>527</v>
      </c>
    </row>
    <row r="960" spans="1:8">
      <c r="A960">
        <v>4</v>
      </c>
      <c r="B960" t="s">
        <v>148</v>
      </c>
      <c r="C960">
        <v>2005</v>
      </c>
      <c r="D960" t="s">
        <v>12</v>
      </c>
      <c r="E960" t="s">
        <v>4</v>
      </c>
      <c r="F960" t="s">
        <v>38</v>
      </c>
      <c r="G960" t="str">
        <f>VLOOKUP(A960,[1]Kreise!$A$1:$C$53,3,FALSE)</f>
        <v>K034</v>
      </c>
      <c r="H960">
        <v>699</v>
      </c>
    </row>
    <row r="961" spans="1:8">
      <c r="A961">
        <v>0</v>
      </c>
      <c r="B961" t="s">
        <v>34</v>
      </c>
      <c r="C961">
        <v>2005</v>
      </c>
      <c r="D961" t="s">
        <v>12</v>
      </c>
      <c r="E961" t="s">
        <v>4</v>
      </c>
      <c r="F961" t="s">
        <v>38</v>
      </c>
      <c r="G961" t="str">
        <f>VLOOKUP(A961,[1]Kreise!$A$1:$C$53,3,FALSE)</f>
        <v>K030</v>
      </c>
      <c r="H961">
        <v>2467</v>
      </c>
    </row>
    <row r="962" spans="1:8">
      <c r="A962">
        <v>1</v>
      </c>
      <c r="B962" t="s">
        <v>30</v>
      </c>
      <c r="C962">
        <v>2020</v>
      </c>
      <c r="D962" t="s">
        <v>11</v>
      </c>
      <c r="E962" t="s">
        <v>5</v>
      </c>
      <c r="F962" t="s">
        <v>38</v>
      </c>
      <c r="G962" t="str">
        <f>VLOOKUP(A962,[1]Kreise!$A$1:$C$53,3,FALSE)</f>
        <v>K031</v>
      </c>
      <c r="H962">
        <v>2251</v>
      </c>
    </row>
    <row r="963" spans="1:8">
      <c r="A963">
        <v>2</v>
      </c>
      <c r="B963" t="s">
        <v>31</v>
      </c>
      <c r="C963">
        <v>2020</v>
      </c>
      <c r="D963" t="s">
        <v>11</v>
      </c>
      <c r="E963" t="s">
        <v>5</v>
      </c>
      <c r="F963" t="s">
        <v>38</v>
      </c>
      <c r="G963" t="str">
        <f>VLOOKUP(A963,[1]Kreise!$A$1:$C$53,3,FALSE)</f>
        <v>K032</v>
      </c>
      <c r="H963">
        <v>2600</v>
      </c>
    </row>
    <row r="964" spans="1:8">
      <c r="A964">
        <v>3</v>
      </c>
      <c r="B964" t="s">
        <v>32</v>
      </c>
      <c r="C964">
        <v>2020</v>
      </c>
      <c r="D964" t="s">
        <v>11</v>
      </c>
      <c r="E964" t="s">
        <v>5</v>
      </c>
      <c r="F964" t="s">
        <v>38</v>
      </c>
      <c r="G964" t="str">
        <f>VLOOKUP(A964,[1]Kreise!$A$1:$C$53,3,FALSE)</f>
        <v>K033</v>
      </c>
      <c r="H964">
        <v>1904</v>
      </c>
    </row>
    <row r="965" spans="1:8">
      <c r="A965">
        <v>4</v>
      </c>
      <c r="B965" t="s">
        <v>33</v>
      </c>
      <c r="C965">
        <v>2020</v>
      </c>
      <c r="D965" t="s">
        <v>11</v>
      </c>
      <c r="E965" t="s">
        <v>5</v>
      </c>
      <c r="F965" t="s">
        <v>38</v>
      </c>
      <c r="G965" t="str">
        <f>VLOOKUP(A965,[1]Kreise!$A$1:$C$53,3,FALSE)</f>
        <v>K034</v>
      </c>
      <c r="H965">
        <v>2473</v>
      </c>
    </row>
    <row r="966" spans="1:8">
      <c r="A966">
        <v>0</v>
      </c>
      <c r="B966" t="s">
        <v>34</v>
      </c>
      <c r="C966">
        <v>2020</v>
      </c>
      <c r="D966" t="s">
        <v>11</v>
      </c>
      <c r="E966" t="s">
        <v>5</v>
      </c>
      <c r="F966" t="s">
        <v>38</v>
      </c>
      <c r="G966" t="str">
        <f>VLOOKUP(A966,[1]Kreise!$A$1:$C$53,3,FALSE)</f>
        <v>K030</v>
      </c>
      <c r="H966">
        <v>9228</v>
      </c>
    </row>
    <row r="967" spans="1:8">
      <c r="A967">
        <v>1</v>
      </c>
      <c r="B967" t="s">
        <v>30</v>
      </c>
      <c r="C967">
        <v>2019</v>
      </c>
      <c r="D967" t="s">
        <v>11</v>
      </c>
      <c r="E967" t="s">
        <v>5</v>
      </c>
      <c r="F967" t="s">
        <v>38</v>
      </c>
      <c r="G967" t="str">
        <f>VLOOKUP(A967,[1]Kreise!$A$1:$C$53,3,FALSE)</f>
        <v>K031</v>
      </c>
      <c r="H967">
        <v>2329</v>
      </c>
    </row>
    <row r="968" spans="1:8">
      <c r="A968">
        <v>2</v>
      </c>
      <c r="B968" t="s">
        <v>31</v>
      </c>
      <c r="C968">
        <v>2019</v>
      </c>
      <c r="D968" t="s">
        <v>11</v>
      </c>
      <c r="E968" t="s">
        <v>5</v>
      </c>
      <c r="F968" t="s">
        <v>38</v>
      </c>
      <c r="G968" t="str">
        <f>VLOOKUP(A968,[1]Kreise!$A$1:$C$53,3,FALSE)</f>
        <v>K032</v>
      </c>
      <c r="H968">
        <v>2703</v>
      </c>
    </row>
    <row r="969" spans="1:8">
      <c r="A969">
        <v>3</v>
      </c>
      <c r="B969" t="s">
        <v>32</v>
      </c>
      <c r="C969">
        <v>2019</v>
      </c>
      <c r="D969" t="s">
        <v>11</v>
      </c>
      <c r="E969" t="s">
        <v>5</v>
      </c>
      <c r="F969" t="s">
        <v>38</v>
      </c>
      <c r="G969" t="str">
        <f>VLOOKUP(A969,[1]Kreise!$A$1:$C$53,3,FALSE)</f>
        <v>K033</v>
      </c>
      <c r="H969">
        <v>2009</v>
      </c>
    </row>
    <row r="970" spans="1:8">
      <c r="A970">
        <v>4</v>
      </c>
      <c r="B970" t="s">
        <v>33</v>
      </c>
      <c r="C970">
        <v>2019</v>
      </c>
      <c r="D970" t="s">
        <v>11</v>
      </c>
      <c r="E970" t="s">
        <v>5</v>
      </c>
      <c r="F970" t="s">
        <v>38</v>
      </c>
      <c r="G970" t="str">
        <f>VLOOKUP(A970,[1]Kreise!$A$1:$C$53,3,FALSE)</f>
        <v>K034</v>
      </c>
      <c r="H970">
        <v>2791</v>
      </c>
    </row>
    <row r="971" spans="1:8">
      <c r="A971">
        <v>0</v>
      </c>
      <c r="B971" t="s">
        <v>34</v>
      </c>
      <c r="C971">
        <v>2019</v>
      </c>
      <c r="D971" t="s">
        <v>11</v>
      </c>
      <c r="E971" t="s">
        <v>5</v>
      </c>
      <c r="F971" t="s">
        <v>38</v>
      </c>
      <c r="G971" t="str">
        <f>VLOOKUP(A971,[1]Kreise!$A$1:$C$53,3,FALSE)</f>
        <v>K030</v>
      </c>
      <c r="H971">
        <v>9832</v>
      </c>
    </row>
    <row r="972" spans="1:8">
      <c r="A972">
        <v>1</v>
      </c>
      <c r="B972" t="s">
        <v>30</v>
      </c>
      <c r="C972">
        <v>2018</v>
      </c>
      <c r="D972" t="s">
        <v>11</v>
      </c>
      <c r="E972" t="s">
        <v>5</v>
      </c>
      <c r="F972" t="s">
        <v>38</v>
      </c>
      <c r="G972" t="str">
        <f>VLOOKUP(A972,[1]Kreise!$A$1:$C$53,3,FALSE)</f>
        <v>K031</v>
      </c>
      <c r="H972">
        <v>2369</v>
      </c>
    </row>
    <row r="973" spans="1:8">
      <c r="A973">
        <v>2</v>
      </c>
      <c r="B973" t="s">
        <v>31</v>
      </c>
      <c r="C973">
        <v>2018</v>
      </c>
      <c r="D973" t="s">
        <v>11</v>
      </c>
      <c r="E973" t="s">
        <v>5</v>
      </c>
      <c r="F973" t="s">
        <v>38</v>
      </c>
      <c r="G973" t="str">
        <f>VLOOKUP(A973,[1]Kreise!$A$1:$C$53,3,FALSE)</f>
        <v>K032</v>
      </c>
      <c r="H973">
        <v>2956</v>
      </c>
    </row>
    <row r="974" spans="1:8">
      <c r="A974">
        <v>3</v>
      </c>
      <c r="B974" t="s">
        <v>32</v>
      </c>
      <c r="C974">
        <v>2018</v>
      </c>
      <c r="D974" t="s">
        <v>11</v>
      </c>
      <c r="E974" t="s">
        <v>5</v>
      </c>
      <c r="F974" t="s">
        <v>38</v>
      </c>
      <c r="G974" t="str">
        <f>VLOOKUP(A974,[1]Kreise!$A$1:$C$53,3,FALSE)</f>
        <v>K033</v>
      </c>
      <c r="H974">
        <v>2107</v>
      </c>
    </row>
    <row r="975" spans="1:8">
      <c r="A975">
        <v>4</v>
      </c>
      <c r="B975" t="s">
        <v>33</v>
      </c>
      <c r="C975">
        <v>2018</v>
      </c>
      <c r="D975" t="s">
        <v>11</v>
      </c>
      <c r="E975" t="s">
        <v>5</v>
      </c>
      <c r="F975" t="s">
        <v>38</v>
      </c>
      <c r="G975" t="str">
        <f>VLOOKUP(A975,[1]Kreise!$A$1:$C$53,3,FALSE)</f>
        <v>K034</v>
      </c>
      <c r="H975">
        <v>2932</v>
      </c>
    </row>
    <row r="976" spans="1:8">
      <c r="A976">
        <v>0</v>
      </c>
      <c r="B976" t="s">
        <v>34</v>
      </c>
      <c r="C976">
        <v>2018</v>
      </c>
      <c r="D976" t="s">
        <v>11</v>
      </c>
      <c r="E976" t="s">
        <v>5</v>
      </c>
      <c r="F976" t="s">
        <v>38</v>
      </c>
      <c r="G976" t="str">
        <f>VLOOKUP(A976,[1]Kreise!$A$1:$C$53,3,FALSE)</f>
        <v>K030</v>
      </c>
      <c r="H976">
        <v>10364</v>
      </c>
    </row>
    <row r="977" spans="1:8">
      <c r="A977">
        <v>1</v>
      </c>
      <c r="B977" t="s">
        <v>30</v>
      </c>
      <c r="C977">
        <v>2017</v>
      </c>
      <c r="D977" t="s">
        <v>11</v>
      </c>
      <c r="E977" t="s">
        <v>5</v>
      </c>
      <c r="F977" t="s">
        <v>38</v>
      </c>
      <c r="G977" t="str">
        <f>VLOOKUP(A977,[1]Kreise!$A$1:$C$53,3,FALSE)</f>
        <v>K031</v>
      </c>
      <c r="H977">
        <v>2487</v>
      </c>
    </row>
    <row r="978" spans="1:8">
      <c r="A978">
        <v>2</v>
      </c>
      <c r="B978" t="s">
        <v>31</v>
      </c>
      <c r="C978">
        <v>2017</v>
      </c>
      <c r="D978" t="s">
        <v>11</v>
      </c>
      <c r="E978" t="s">
        <v>5</v>
      </c>
      <c r="F978" t="s">
        <v>38</v>
      </c>
      <c r="G978" t="str">
        <f>VLOOKUP(A978,[1]Kreise!$A$1:$C$53,3,FALSE)</f>
        <v>K032</v>
      </c>
      <c r="H978">
        <v>3186</v>
      </c>
    </row>
    <row r="979" spans="1:8">
      <c r="A979">
        <v>3</v>
      </c>
      <c r="B979" t="s">
        <v>32</v>
      </c>
      <c r="C979">
        <v>2017</v>
      </c>
      <c r="D979" t="s">
        <v>11</v>
      </c>
      <c r="E979" t="s">
        <v>5</v>
      </c>
      <c r="F979" t="s">
        <v>38</v>
      </c>
      <c r="G979" t="str">
        <f>VLOOKUP(A979,[1]Kreise!$A$1:$C$53,3,FALSE)</f>
        <v>K033</v>
      </c>
      <c r="H979">
        <v>2174</v>
      </c>
    </row>
    <row r="980" spans="1:8">
      <c r="A980">
        <v>4</v>
      </c>
      <c r="B980" t="s">
        <v>33</v>
      </c>
      <c r="C980">
        <v>2017</v>
      </c>
      <c r="D980" t="s">
        <v>11</v>
      </c>
      <c r="E980" t="s">
        <v>5</v>
      </c>
      <c r="F980" t="s">
        <v>38</v>
      </c>
      <c r="G980" t="str">
        <f>VLOOKUP(A980,[1]Kreise!$A$1:$C$53,3,FALSE)</f>
        <v>K034</v>
      </c>
      <c r="H980">
        <v>3507</v>
      </c>
    </row>
    <row r="981" spans="1:8">
      <c r="A981">
        <v>0</v>
      </c>
      <c r="B981" t="s">
        <v>34</v>
      </c>
      <c r="C981">
        <v>2017</v>
      </c>
      <c r="D981" t="s">
        <v>11</v>
      </c>
      <c r="E981" t="s">
        <v>5</v>
      </c>
      <c r="F981" t="s">
        <v>38</v>
      </c>
      <c r="G981" t="str">
        <f>VLOOKUP(A981,[1]Kreise!$A$1:$C$53,3,FALSE)</f>
        <v>K030</v>
      </c>
      <c r="H981">
        <v>11354</v>
      </c>
    </row>
    <row r="982" spans="1:8">
      <c r="A982">
        <v>1</v>
      </c>
      <c r="B982" t="s">
        <v>30</v>
      </c>
      <c r="C982">
        <v>2016</v>
      </c>
      <c r="D982" t="s">
        <v>11</v>
      </c>
      <c r="E982" t="s">
        <v>5</v>
      </c>
      <c r="F982" t="s">
        <v>38</v>
      </c>
      <c r="G982" t="str">
        <f>VLOOKUP(A982,[1]Kreise!$A$1:$C$53,3,FALSE)</f>
        <v>K031</v>
      </c>
      <c r="H982">
        <v>2545</v>
      </c>
    </row>
    <row r="983" spans="1:8">
      <c r="A983">
        <v>2</v>
      </c>
      <c r="B983" t="s">
        <v>31</v>
      </c>
      <c r="C983">
        <v>2016</v>
      </c>
      <c r="D983" t="s">
        <v>11</v>
      </c>
      <c r="E983" t="s">
        <v>5</v>
      </c>
      <c r="F983" t="s">
        <v>38</v>
      </c>
      <c r="G983" t="str">
        <f>VLOOKUP(A983,[1]Kreise!$A$1:$C$53,3,FALSE)</f>
        <v>K032</v>
      </c>
      <c r="H983">
        <v>3486</v>
      </c>
    </row>
    <row r="984" spans="1:8">
      <c r="A984">
        <v>3</v>
      </c>
      <c r="B984" t="s">
        <v>32</v>
      </c>
      <c r="C984">
        <v>2016</v>
      </c>
      <c r="D984" t="s">
        <v>11</v>
      </c>
      <c r="E984" t="s">
        <v>5</v>
      </c>
      <c r="F984" t="s">
        <v>38</v>
      </c>
      <c r="G984" t="str">
        <f>VLOOKUP(A984,[1]Kreise!$A$1:$C$53,3,FALSE)</f>
        <v>K033</v>
      </c>
      <c r="H984">
        <v>2448</v>
      </c>
    </row>
    <row r="985" spans="1:8">
      <c r="A985">
        <v>4</v>
      </c>
      <c r="B985" t="s">
        <v>33</v>
      </c>
      <c r="C985">
        <v>2016</v>
      </c>
      <c r="D985" t="s">
        <v>11</v>
      </c>
      <c r="E985" t="s">
        <v>5</v>
      </c>
      <c r="F985" t="s">
        <v>38</v>
      </c>
      <c r="G985" t="str">
        <f>VLOOKUP(A985,[1]Kreise!$A$1:$C$53,3,FALSE)</f>
        <v>K034</v>
      </c>
      <c r="H985">
        <v>4151</v>
      </c>
    </row>
    <row r="986" spans="1:8">
      <c r="A986">
        <v>0</v>
      </c>
      <c r="B986" t="s">
        <v>34</v>
      </c>
      <c r="C986">
        <v>2016</v>
      </c>
      <c r="D986" t="s">
        <v>11</v>
      </c>
      <c r="E986" t="s">
        <v>5</v>
      </c>
      <c r="F986" t="s">
        <v>38</v>
      </c>
      <c r="G986" t="str">
        <f>VLOOKUP(A986,[1]Kreise!$A$1:$C$53,3,FALSE)</f>
        <v>K030</v>
      </c>
      <c r="H986">
        <v>12630</v>
      </c>
    </row>
    <row r="987" spans="1:8">
      <c r="A987">
        <v>1</v>
      </c>
      <c r="B987" t="s">
        <v>30</v>
      </c>
      <c r="C987">
        <v>2015</v>
      </c>
      <c r="D987" t="s">
        <v>11</v>
      </c>
      <c r="E987" t="s">
        <v>5</v>
      </c>
      <c r="F987" t="s">
        <v>38</v>
      </c>
      <c r="G987" t="str">
        <f>VLOOKUP(A987,[1]Kreise!$A$1:$C$53,3,FALSE)</f>
        <v>K031</v>
      </c>
      <c r="H987">
        <v>2856</v>
      </c>
    </row>
    <row r="988" spans="1:8">
      <c r="A988">
        <v>2</v>
      </c>
      <c r="B988" t="s">
        <v>31</v>
      </c>
      <c r="C988">
        <v>2015</v>
      </c>
      <c r="D988" t="s">
        <v>11</v>
      </c>
      <c r="E988" t="s">
        <v>5</v>
      </c>
      <c r="F988" t="s">
        <v>38</v>
      </c>
      <c r="G988" t="str">
        <f>VLOOKUP(A988,[1]Kreise!$A$1:$C$53,3,FALSE)</f>
        <v>K032</v>
      </c>
      <c r="H988">
        <v>3782</v>
      </c>
    </row>
    <row r="989" spans="1:8">
      <c r="A989">
        <v>3</v>
      </c>
      <c r="B989" t="s">
        <v>32</v>
      </c>
      <c r="C989">
        <v>2015</v>
      </c>
      <c r="D989" t="s">
        <v>11</v>
      </c>
      <c r="E989" t="s">
        <v>5</v>
      </c>
      <c r="F989" t="s">
        <v>38</v>
      </c>
      <c r="G989" t="str">
        <f>VLOOKUP(A989,[1]Kreise!$A$1:$C$53,3,FALSE)</f>
        <v>K033</v>
      </c>
      <c r="H989">
        <v>2824</v>
      </c>
    </row>
    <row r="990" spans="1:8">
      <c r="A990">
        <v>4</v>
      </c>
      <c r="B990" t="s">
        <v>33</v>
      </c>
      <c r="C990">
        <v>2015</v>
      </c>
      <c r="D990" t="s">
        <v>11</v>
      </c>
      <c r="E990" t="s">
        <v>5</v>
      </c>
      <c r="F990" t="s">
        <v>38</v>
      </c>
      <c r="G990" t="str">
        <f>VLOOKUP(A990,[1]Kreise!$A$1:$C$53,3,FALSE)</f>
        <v>K034</v>
      </c>
      <c r="H990">
        <v>4786</v>
      </c>
    </row>
    <row r="991" spans="1:8">
      <c r="A991">
        <v>0</v>
      </c>
      <c r="B991" t="s">
        <v>34</v>
      </c>
      <c r="C991">
        <v>2015</v>
      </c>
      <c r="D991" t="s">
        <v>11</v>
      </c>
      <c r="E991" t="s">
        <v>5</v>
      </c>
      <c r="F991" t="s">
        <v>38</v>
      </c>
      <c r="G991" t="str">
        <f>VLOOKUP(A991,[1]Kreise!$A$1:$C$53,3,FALSE)</f>
        <v>K030</v>
      </c>
      <c r="H991">
        <v>14248</v>
      </c>
    </row>
    <row r="992" spans="1:8">
      <c r="A992">
        <v>1</v>
      </c>
      <c r="B992" t="s">
        <v>145</v>
      </c>
      <c r="C992">
        <v>2014</v>
      </c>
      <c r="D992" t="s">
        <v>11</v>
      </c>
      <c r="E992" t="s">
        <v>5</v>
      </c>
      <c r="F992" t="s">
        <v>38</v>
      </c>
      <c r="G992" t="str">
        <f>VLOOKUP(A992,[1]Kreise!$A$1:$C$53,3,FALSE)</f>
        <v>K031</v>
      </c>
      <c r="H992">
        <v>3550</v>
      </c>
    </row>
    <row r="993" spans="1:8">
      <c r="A993">
        <v>2</v>
      </c>
      <c r="B993" t="s">
        <v>146</v>
      </c>
      <c r="C993">
        <v>2014</v>
      </c>
      <c r="D993" t="s">
        <v>11</v>
      </c>
      <c r="E993" t="s">
        <v>5</v>
      </c>
      <c r="F993" t="s">
        <v>38</v>
      </c>
      <c r="G993" t="str">
        <f>VLOOKUP(A993,[1]Kreise!$A$1:$C$53,3,FALSE)</f>
        <v>K032</v>
      </c>
      <c r="H993">
        <v>4372</v>
      </c>
    </row>
    <row r="994" spans="1:8">
      <c r="A994">
        <v>3</v>
      </c>
      <c r="B994" t="s">
        <v>147</v>
      </c>
      <c r="C994">
        <v>2014</v>
      </c>
      <c r="D994" t="s">
        <v>11</v>
      </c>
      <c r="E994" t="s">
        <v>5</v>
      </c>
      <c r="F994" t="s">
        <v>38</v>
      </c>
      <c r="G994" t="str">
        <f>VLOOKUP(A994,[1]Kreise!$A$1:$C$53,3,FALSE)</f>
        <v>K033</v>
      </c>
      <c r="H994">
        <v>4787</v>
      </c>
    </row>
    <row r="995" spans="1:8">
      <c r="A995">
        <v>4</v>
      </c>
      <c r="B995" t="s">
        <v>148</v>
      </c>
      <c r="C995">
        <v>2014</v>
      </c>
      <c r="D995" t="s">
        <v>11</v>
      </c>
      <c r="E995" t="s">
        <v>5</v>
      </c>
      <c r="F995" t="s">
        <v>38</v>
      </c>
      <c r="G995" t="str">
        <f>VLOOKUP(A995,[1]Kreise!$A$1:$C$53,3,FALSE)</f>
        <v>K034</v>
      </c>
      <c r="H995">
        <v>6470</v>
      </c>
    </row>
    <row r="996" spans="1:8">
      <c r="A996">
        <v>0</v>
      </c>
      <c r="B996" t="s">
        <v>34</v>
      </c>
      <c r="C996">
        <v>2014</v>
      </c>
      <c r="D996" t="s">
        <v>11</v>
      </c>
      <c r="E996" t="s">
        <v>5</v>
      </c>
      <c r="F996" t="s">
        <v>38</v>
      </c>
      <c r="G996" t="str">
        <f>VLOOKUP(A996,[1]Kreise!$A$1:$C$53,3,FALSE)</f>
        <v>K030</v>
      </c>
      <c r="H996">
        <v>19179</v>
      </c>
    </row>
    <row r="997" spans="1:8">
      <c r="A997">
        <v>1</v>
      </c>
      <c r="B997" t="s">
        <v>30</v>
      </c>
      <c r="C997">
        <v>2013</v>
      </c>
      <c r="D997" t="s">
        <v>11</v>
      </c>
      <c r="E997" t="s">
        <v>5</v>
      </c>
      <c r="F997" t="s">
        <v>38</v>
      </c>
      <c r="G997" t="str">
        <f>VLOOKUP(A997,[1]Kreise!$A$1:$C$53,3,FALSE)</f>
        <v>K031</v>
      </c>
      <c r="H997">
        <v>4394</v>
      </c>
    </row>
    <row r="998" spans="1:8">
      <c r="A998">
        <v>2</v>
      </c>
      <c r="B998" t="s">
        <v>31</v>
      </c>
      <c r="C998">
        <v>2013</v>
      </c>
      <c r="D998" t="s">
        <v>11</v>
      </c>
      <c r="E998" t="s">
        <v>5</v>
      </c>
      <c r="F998" t="s">
        <v>38</v>
      </c>
      <c r="G998" t="str">
        <f>VLOOKUP(A998,[1]Kreise!$A$1:$C$53,3,FALSE)</f>
        <v>K032</v>
      </c>
      <c r="H998">
        <v>5719</v>
      </c>
    </row>
    <row r="999" spans="1:8">
      <c r="A999">
        <v>3</v>
      </c>
      <c r="B999" t="s">
        <v>32</v>
      </c>
      <c r="C999">
        <v>2013</v>
      </c>
      <c r="D999" t="s">
        <v>11</v>
      </c>
      <c r="E999" t="s">
        <v>5</v>
      </c>
      <c r="F999" t="s">
        <v>38</v>
      </c>
      <c r="G999" t="str">
        <f>VLOOKUP(A999,[1]Kreise!$A$1:$C$53,3,FALSE)</f>
        <v>K033</v>
      </c>
      <c r="H999">
        <v>7449</v>
      </c>
    </row>
    <row r="1000" spans="1:8">
      <c r="A1000">
        <v>4</v>
      </c>
      <c r="B1000" t="s">
        <v>33</v>
      </c>
      <c r="C1000">
        <v>2013</v>
      </c>
      <c r="D1000" t="s">
        <v>11</v>
      </c>
      <c r="E1000" t="s">
        <v>5</v>
      </c>
      <c r="F1000" t="s">
        <v>38</v>
      </c>
      <c r="G1000" t="str">
        <f>VLOOKUP(A1000,[1]Kreise!$A$1:$C$53,3,FALSE)</f>
        <v>K034</v>
      </c>
      <c r="H1000">
        <v>10212</v>
      </c>
    </row>
    <row r="1001" spans="1:8">
      <c r="A1001">
        <v>0</v>
      </c>
      <c r="B1001" t="s">
        <v>34</v>
      </c>
      <c r="C1001">
        <v>2013</v>
      </c>
      <c r="D1001" t="s">
        <v>11</v>
      </c>
      <c r="E1001" t="s">
        <v>5</v>
      </c>
      <c r="F1001" t="s">
        <v>38</v>
      </c>
      <c r="G1001" t="str">
        <f>VLOOKUP(A1001,[1]Kreise!$A$1:$C$53,3,FALSE)</f>
        <v>K030</v>
      </c>
      <c r="H1001">
        <v>27774</v>
      </c>
    </row>
    <row r="1002" spans="1:8">
      <c r="A1002">
        <v>1</v>
      </c>
      <c r="B1002" t="s">
        <v>145</v>
      </c>
      <c r="C1002">
        <v>2012</v>
      </c>
      <c r="D1002" t="s">
        <v>11</v>
      </c>
      <c r="E1002" t="s">
        <v>5</v>
      </c>
      <c r="F1002" t="s">
        <v>38</v>
      </c>
      <c r="G1002" t="str">
        <f>VLOOKUP(A1002,[1]Kreise!$A$1:$C$53,3,FALSE)</f>
        <v>K031</v>
      </c>
      <c r="H1002">
        <v>4822</v>
      </c>
    </row>
    <row r="1003" spans="1:8">
      <c r="A1003">
        <v>2</v>
      </c>
      <c r="B1003" t="s">
        <v>146</v>
      </c>
      <c r="C1003">
        <v>2012</v>
      </c>
      <c r="D1003" t="s">
        <v>11</v>
      </c>
      <c r="E1003" t="s">
        <v>5</v>
      </c>
      <c r="F1003" t="s">
        <v>38</v>
      </c>
      <c r="G1003" t="str">
        <f>VLOOKUP(A1003,[1]Kreise!$A$1:$C$53,3,FALSE)</f>
        <v>K032</v>
      </c>
      <c r="H1003">
        <v>6253</v>
      </c>
    </row>
    <row r="1004" spans="1:8">
      <c r="A1004">
        <v>3</v>
      </c>
      <c r="B1004" t="s">
        <v>147</v>
      </c>
      <c r="C1004">
        <v>2012</v>
      </c>
      <c r="D1004" t="s">
        <v>11</v>
      </c>
      <c r="E1004" t="s">
        <v>5</v>
      </c>
      <c r="F1004" t="s">
        <v>38</v>
      </c>
      <c r="G1004" t="str">
        <f>VLOOKUP(A1004,[1]Kreise!$A$1:$C$53,3,FALSE)</f>
        <v>K033</v>
      </c>
      <c r="H1004">
        <v>7418</v>
      </c>
    </row>
    <row r="1005" spans="1:8">
      <c r="A1005">
        <v>4</v>
      </c>
      <c r="B1005" t="s">
        <v>148</v>
      </c>
      <c r="C1005">
        <v>2012</v>
      </c>
      <c r="D1005" t="s">
        <v>11</v>
      </c>
      <c r="E1005" t="s">
        <v>5</v>
      </c>
      <c r="F1005" t="s">
        <v>38</v>
      </c>
      <c r="G1005" t="str">
        <f>VLOOKUP(A1005,[1]Kreise!$A$1:$C$53,3,FALSE)</f>
        <v>K034</v>
      </c>
      <c r="H1005">
        <v>10652</v>
      </c>
    </row>
    <row r="1006" spans="1:8">
      <c r="A1006">
        <v>0</v>
      </c>
      <c r="B1006" t="s">
        <v>34</v>
      </c>
      <c r="C1006">
        <v>2012</v>
      </c>
      <c r="D1006" t="s">
        <v>11</v>
      </c>
      <c r="E1006" t="s">
        <v>5</v>
      </c>
      <c r="F1006" t="s">
        <v>38</v>
      </c>
      <c r="G1006" t="str">
        <f>VLOOKUP(A1006,[1]Kreise!$A$1:$C$53,3,FALSE)</f>
        <v>K030</v>
      </c>
      <c r="H1006">
        <v>29145</v>
      </c>
    </row>
    <row r="1007" spans="1:8">
      <c r="A1007">
        <v>1</v>
      </c>
      <c r="B1007" t="s">
        <v>30</v>
      </c>
      <c r="C1007">
        <v>2011</v>
      </c>
      <c r="D1007" t="s">
        <v>11</v>
      </c>
      <c r="E1007" t="s">
        <v>5</v>
      </c>
      <c r="F1007" t="s">
        <v>38</v>
      </c>
      <c r="G1007" t="str">
        <f>VLOOKUP(A1007,[1]Kreise!$A$1:$C$53,3,FALSE)</f>
        <v>K031</v>
      </c>
      <c r="H1007">
        <v>5244</v>
      </c>
    </row>
    <row r="1008" spans="1:8">
      <c r="A1008">
        <v>2</v>
      </c>
      <c r="B1008" t="s">
        <v>31</v>
      </c>
      <c r="C1008">
        <v>2011</v>
      </c>
      <c r="D1008" t="s">
        <v>11</v>
      </c>
      <c r="E1008" t="s">
        <v>5</v>
      </c>
      <c r="F1008" t="s">
        <v>38</v>
      </c>
      <c r="G1008" t="str">
        <f>VLOOKUP(A1008,[1]Kreise!$A$1:$C$53,3,FALSE)</f>
        <v>K032</v>
      </c>
      <c r="H1008">
        <v>7156</v>
      </c>
    </row>
    <row r="1009" spans="1:8">
      <c r="A1009">
        <v>3</v>
      </c>
      <c r="B1009" t="s">
        <v>32</v>
      </c>
      <c r="C1009">
        <v>2011</v>
      </c>
      <c r="D1009" t="s">
        <v>11</v>
      </c>
      <c r="E1009" t="s">
        <v>5</v>
      </c>
      <c r="F1009" t="s">
        <v>38</v>
      </c>
      <c r="G1009" t="str">
        <f>VLOOKUP(A1009,[1]Kreise!$A$1:$C$53,3,FALSE)</f>
        <v>K033</v>
      </c>
      <c r="H1009">
        <v>7851</v>
      </c>
    </row>
    <row r="1010" spans="1:8">
      <c r="A1010">
        <v>4</v>
      </c>
      <c r="B1010" t="s">
        <v>33</v>
      </c>
      <c r="C1010">
        <v>2011</v>
      </c>
      <c r="D1010" t="s">
        <v>11</v>
      </c>
      <c r="E1010" t="s">
        <v>5</v>
      </c>
      <c r="F1010" t="s">
        <v>38</v>
      </c>
      <c r="G1010" t="str">
        <f>VLOOKUP(A1010,[1]Kreise!$A$1:$C$53,3,FALSE)</f>
        <v>K034</v>
      </c>
      <c r="H1010">
        <v>11289</v>
      </c>
    </row>
    <row r="1011" spans="1:8">
      <c r="A1011">
        <v>0</v>
      </c>
      <c r="B1011" t="s">
        <v>34</v>
      </c>
      <c r="C1011">
        <v>2011</v>
      </c>
      <c r="D1011" t="s">
        <v>11</v>
      </c>
      <c r="E1011" t="s">
        <v>5</v>
      </c>
      <c r="F1011" t="s">
        <v>38</v>
      </c>
      <c r="G1011" t="str">
        <f>VLOOKUP(A1011,[1]Kreise!$A$1:$C$53,3,FALSE)</f>
        <v>K030</v>
      </c>
      <c r="H1011">
        <v>31777</v>
      </c>
    </row>
    <row r="1012" spans="1:8">
      <c r="A1012">
        <v>1</v>
      </c>
      <c r="B1012" t="s">
        <v>145</v>
      </c>
      <c r="C1012">
        <v>2010</v>
      </c>
      <c r="D1012" t="s">
        <v>11</v>
      </c>
      <c r="E1012" t="s">
        <v>5</v>
      </c>
      <c r="F1012" t="s">
        <v>38</v>
      </c>
      <c r="G1012" t="str">
        <f>VLOOKUP(A1012,[1]Kreise!$A$1:$C$53,3,FALSE)</f>
        <v>K031</v>
      </c>
      <c r="H1012">
        <v>5306</v>
      </c>
    </row>
    <row r="1013" spans="1:8">
      <c r="A1013">
        <v>2</v>
      </c>
      <c r="B1013" t="s">
        <v>146</v>
      </c>
      <c r="C1013">
        <v>2010</v>
      </c>
      <c r="D1013" t="s">
        <v>11</v>
      </c>
      <c r="E1013" t="s">
        <v>5</v>
      </c>
      <c r="F1013" t="s">
        <v>38</v>
      </c>
      <c r="G1013" t="str">
        <f>VLOOKUP(A1013,[1]Kreise!$A$1:$C$53,3,FALSE)</f>
        <v>K032</v>
      </c>
      <c r="H1013">
        <v>6804</v>
      </c>
    </row>
    <row r="1014" spans="1:8">
      <c r="A1014">
        <v>3</v>
      </c>
      <c r="B1014" t="s">
        <v>147</v>
      </c>
      <c r="C1014">
        <v>2010</v>
      </c>
      <c r="D1014" t="s">
        <v>11</v>
      </c>
      <c r="E1014" t="s">
        <v>5</v>
      </c>
      <c r="F1014" t="s">
        <v>38</v>
      </c>
      <c r="G1014" t="str">
        <f>VLOOKUP(A1014,[1]Kreise!$A$1:$C$53,3,FALSE)</f>
        <v>K033</v>
      </c>
      <c r="H1014">
        <v>7849</v>
      </c>
    </row>
    <row r="1015" spans="1:8">
      <c r="A1015">
        <v>4</v>
      </c>
      <c r="B1015" t="s">
        <v>148</v>
      </c>
      <c r="C1015">
        <v>2010</v>
      </c>
      <c r="D1015" t="s">
        <v>11</v>
      </c>
      <c r="E1015" t="s">
        <v>5</v>
      </c>
      <c r="F1015" t="s">
        <v>38</v>
      </c>
      <c r="G1015" t="str">
        <f>VLOOKUP(A1015,[1]Kreise!$A$1:$C$53,3,FALSE)</f>
        <v>K034</v>
      </c>
      <c r="H1015">
        <v>11296</v>
      </c>
    </row>
    <row r="1016" spans="1:8">
      <c r="A1016">
        <v>0</v>
      </c>
      <c r="B1016" t="s">
        <v>34</v>
      </c>
      <c r="C1016">
        <v>2010</v>
      </c>
      <c r="D1016" t="s">
        <v>11</v>
      </c>
      <c r="E1016" t="s">
        <v>5</v>
      </c>
      <c r="F1016" t="s">
        <v>38</v>
      </c>
      <c r="G1016" t="str">
        <f>VLOOKUP(A1016,[1]Kreise!$A$1:$C$53,3,FALSE)</f>
        <v>K030</v>
      </c>
      <c r="H1016">
        <v>31255</v>
      </c>
    </row>
    <row r="1017" spans="1:8">
      <c r="A1017">
        <v>1</v>
      </c>
      <c r="B1017" t="s">
        <v>145</v>
      </c>
      <c r="C1017">
        <v>2005</v>
      </c>
      <c r="D1017" t="s">
        <v>11</v>
      </c>
      <c r="E1017" t="s">
        <v>5</v>
      </c>
      <c r="F1017" t="s">
        <v>38</v>
      </c>
      <c r="G1017" t="str">
        <f>VLOOKUP(A1017,[1]Kreise!$A$1:$C$53,3,FALSE)</f>
        <v>K031</v>
      </c>
      <c r="H1017">
        <v>6073</v>
      </c>
    </row>
    <row r="1018" spans="1:8">
      <c r="A1018">
        <v>2</v>
      </c>
      <c r="B1018" t="s">
        <v>146</v>
      </c>
      <c r="C1018">
        <v>2005</v>
      </c>
      <c r="D1018" t="s">
        <v>11</v>
      </c>
      <c r="E1018" t="s">
        <v>5</v>
      </c>
      <c r="F1018" t="s">
        <v>38</v>
      </c>
      <c r="G1018" t="str">
        <f>VLOOKUP(A1018,[1]Kreise!$A$1:$C$53,3,FALSE)</f>
        <v>K032</v>
      </c>
      <c r="H1018">
        <v>7446</v>
      </c>
    </row>
    <row r="1019" spans="1:8">
      <c r="A1019">
        <v>3</v>
      </c>
      <c r="B1019" t="s">
        <v>147</v>
      </c>
      <c r="C1019">
        <v>2005</v>
      </c>
      <c r="D1019" t="s">
        <v>11</v>
      </c>
      <c r="E1019" t="s">
        <v>5</v>
      </c>
      <c r="F1019" t="s">
        <v>38</v>
      </c>
      <c r="G1019" t="str">
        <f>VLOOKUP(A1019,[1]Kreise!$A$1:$C$53,3,FALSE)</f>
        <v>K033</v>
      </c>
      <c r="H1019">
        <v>7733</v>
      </c>
    </row>
    <row r="1020" spans="1:8">
      <c r="A1020">
        <v>4</v>
      </c>
      <c r="B1020" t="s">
        <v>148</v>
      </c>
      <c r="C1020">
        <v>2005</v>
      </c>
      <c r="D1020" t="s">
        <v>11</v>
      </c>
      <c r="E1020" t="s">
        <v>5</v>
      </c>
      <c r="F1020" t="s">
        <v>38</v>
      </c>
      <c r="G1020" t="str">
        <f>VLOOKUP(A1020,[1]Kreise!$A$1:$C$53,3,FALSE)</f>
        <v>K034</v>
      </c>
      <c r="H1020">
        <v>11015</v>
      </c>
    </row>
    <row r="1021" spans="1:8">
      <c r="A1021">
        <v>0</v>
      </c>
      <c r="B1021" t="s">
        <v>34</v>
      </c>
      <c r="C1021">
        <v>2005</v>
      </c>
      <c r="D1021" t="s">
        <v>11</v>
      </c>
      <c r="E1021" t="s">
        <v>5</v>
      </c>
      <c r="F1021" t="s">
        <v>38</v>
      </c>
      <c r="G1021" t="str">
        <f>VLOOKUP(A1021,[1]Kreise!$A$1:$C$53,3,FALSE)</f>
        <v>K030</v>
      </c>
      <c r="H1021">
        <v>32267</v>
      </c>
    </row>
    <row r="1022" spans="1:8">
      <c r="A1022">
        <v>1</v>
      </c>
      <c r="B1022" t="s">
        <v>30</v>
      </c>
      <c r="C1022">
        <v>2020</v>
      </c>
      <c r="D1022" t="s">
        <v>12</v>
      </c>
      <c r="E1022" t="s">
        <v>5</v>
      </c>
      <c r="F1022" t="s">
        <v>38</v>
      </c>
      <c r="G1022" t="str">
        <f>VLOOKUP(A1022,[1]Kreise!$A$1:$C$53,3,FALSE)</f>
        <v>K031</v>
      </c>
      <c r="H1022">
        <v>282</v>
      </c>
    </row>
    <row r="1023" spans="1:8">
      <c r="A1023">
        <v>2</v>
      </c>
      <c r="B1023" t="s">
        <v>31</v>
      </c>
      <c r="C1023">
        <v>2020</v>
      </c>
      <c r="D1023" t="s">
        <v>12</v>
      </c>
      <c r="E1023" t="s">
        <v>5</v>
      </c>
      <c r="F1023" t="s">
        <v>38</v>
      </c>
      <c r="G1023" t="str">
        <f>VLOOKUP(A1023,[1]Kreise!$A$1:$C$53,3,FALSE)</f>
        <v>K032</v>
      </c>
      <c r="H1023">
        <v>391</v>
      </c>
    </row>
    <row r="1024" spans="1:8">
      <c r="A1024">
        <v>3</v>
      </c>
      <c r="B1024" t="s">
        <v>32</v>
      </c>
      <c r="C1024">
        <v>2020</v>
      </c>
      <c r="D1024" t="s">
        <v>12</v>
      </c>
      <c r="E1024" t="s">
        <v>5</v>
      </c>
      <c r="F1024" t="s">
        <v>38</v>
      </c>
      <c r="G1024" t="str">
        <f>VLOOKUP(A1024,[1]Kreise!$A$1:$C$53,3,FALSE)</f>
        <v>K033</v>
      </c>
      <c r="H1024">
        <v>176</v>
      </c>
    </row>
    <row r="1025" spans="1:8">
      <c r="A1025">
        <v>4</v>
      </c>
      <c r="B1025" t="s">
        <v>33</v>
      </c>
      <c r="C1025">
        <v>2020</v>
      </c>
      <c r="D1025" t="s">
        <v>12</v>
      </c>
      <c r="E1025" t="s">
        <v>5</v>
      </c>
      <c r="F1025" t="s">
        <v>38</v>
      </c>
      <c r="G1025" t="str">
        <f>VLOOKUP(A1025,[1]Kreise!$A$1:$C$53,3,FALSE)</f>
        <v>K034</v>
      </c>
      <c r="H1025">
        <v>269</v>
      </c>
    </row>
    <row r="1026" spans="1:8">
      <c r="A1026">
        <v>0</v>
      </c>
      <c r="B1026" t="s">
        <v>34</v>
      </c>
      <c r="C1026">
        <v>2020</v>
      </c>
      <c r="D1026" t="s">
        <v>12</v>
      </c>
      <c r="E1026" t="s">
        <v>5</v>
      </c>
      <c r="F1026" t="s">
        <v>38</v>
      </c>
      <c r="G1026" t="str">
        <f>VLOOKUP(A1026,[1]Kreise!$A$1:$C$53,3,FALSE)</f>
        <v>K030</v>
      </c>
      <c r="H1026">
        <v>1118</v>
      </c>
    </row>
    <row r="1027" spans="1:8">
      <c r="A1027">
        <v>1</v>
      </c>
      <c r="B1027" t="s">
        <v>30</v>
      </c>
      <c r="C1027">
        <v>2019</v>
      </c>
      <c r="D1027" t="s">
        <v>12</v>
      </c>
      <c r="E1027" t="s">
        <v>5</v>
      </c>
      <c r="F1027" t="s">
        <v>38</v>
      </c>
      <c r="G1027" t="str">
        <f>VLOOKUP(A1027,[1]Kreise!$A$1:$C$53,3,FALSE)</f>
        <v>K031</v>
      </c>
      <c r="H1027">
        <v>297</v>
      </c>
    </row>
    <row r="1028" spans="1:8">
      <c r="A1028">
        <v>2</v>
      </c>
      <c r="B1028" t="s">
        <v>31</v>
      </c>
      <c r="C1028">
        <v>2019</v>
      </c>
      <c r="D1028" t="s">
        <v>12</v>
      </c>
      <c r="E1028" t="s">
        <v>5</v>
      </c>
      <c r="F1028" t="s">
        <v>38</v>
      </c>
      <c r="G1028" t="str">
        <f>VLOOKUP(A1028,[1]Kreise!$A$1:$C$53,3,FALSE)</f>
        <v>K032</v>
      </c>
      <c r="H1028">
        <v>400</v>
      </c>
    </row>
    <row r="1029" spans="1:8">
      <c r="A1029">
        <v>3</v>
      </c>
      <c r="B1029" t="s">
        <v>32</v>
      </c>
      <c r="C1029">
        <v>2019</v>
      </c>
      <c r="D1029" t="s">
        <v>12</v>
      </c>
      <c r="E1029" t="s">
        <v>5</v>
      </c>
      <c r="F1029" t="s">
        <v>38</v>
      </c>
      <c r="G1029" t="str">
        <f>VLOOKUP(A1029,[1]Kreise!$A$1:$C$53,3,FALSE)</f>
        <v>K033</v>
      </c>
      <c r="H1029">
        <v>159</v>
      </c>
    </row>
    <row r="1030" spans="1:8">
      <c r="A1030">
        <v>4</v>
      </c>
      <c r="B1030" t="s">
        <v>33</v>
      </c>
      <c r="C1030">
        <v>2019</v>
      </c>
      <c r="D1030" t="s">
        <v>12</v>
      </c>
      <c r="E1030" t="s">
        <v>5</v>
      </c>
      <c r="F1030" t="s">
        <v>38</v>
      </c>
      <c r="G1030" t="str">
        <f>VLOOKUP(A1030,[1]Kreise!$A$1:$C$53,3,FALSE)</f>
        <v>K034</v>
      </c>
      <c r="H1030">
        <v>249</v>
      </c>
    </row>
    <row r="1031" spans="1:8">
      <c r="A1031">
        <v>0</v>
      </c>
      <c r="B1031" t="s">
        <v>34</v>
      </c>
      <c r="C1031">
        <v>2019</v>
      </c>
      <c r="D1031" t="s">
        <v>12</v>
      </c>
      <c r="E1031" t="s">
        <v>5</v>
      </c>
      <c r="F1031" t="s">
        <v>38</v>
      </c>
      <c r="G1031" t="str">
        <f>VLOOKUP(A1031,[1]Kreise!$A$1:$C$53,3,FALSE)</f>
        <v>K030</v>
      </c>
      <c r="H1031">
        <v>1105</v>
      </c>
    </row>
    <row r="1032" spans="1:8">
      <c r="A1032">
        <v>1</v>
      </c>
      <c r="B1032" t="s">
        <v>30</v>
      </c>
      <c r="C1032">
        <v>2018</v>
      </c>
      <c r="D1032" t="s">
        <v>12</v>
      </c>
      <c r="E1032" t="s">
        <v>5</v>
      </c>
      <c r="F1032" t="s">
        <v>38</v>
      </c>
      <c r="G1032" t="str">
        <f>VLOOKUP(A1032,[1]Kreise!$A$1:$C$53,3,FALSE)</f>
        <v>K031</v>
      </c>
      <c r="H1032">
        <v>247</v>
      </c>
    </row>
    <row r="1033" spans="1:8">
      <c r="A1033">
        <v>2</v>
      </c>
      <c r="B1033" t="s">
        <v>31</v>
      </c>
      <c r="C1033">
        <v>2018</v>
      </c>
      <c r="D1033" t="s">
        <v>12</v>
      </c>
      <c r="E1033" t="s">
        <v>5</v>
      </c>
      <c r="F1033" t="s">
        <v>38</v>
      </c>
      <c r="G1033" t="str">
        <f>VLOOKUP(A1033,[1]Kreise!$A$1:$C$53,3,FALSE)</f>
        <v>K032</v>
      </c>
      <c r="H1033">
        <v>471</v>
      </c>
    </row>
    <row r="1034" spans="1:8">
      <c r="A1034">
        <v>3</v>
      </c>
      <c r="B1034" t="s">
        <v>32</v>
      </c>
      <c r="C1034">
        <v>2018</v>
      </c>
      <c r="D1034" t="s">
        <v>12</v>
      </c>
      <c r="E1034" t="s">
        <v>5</v>
      </c>
      <c r="F1034" t="s">
        <v>38</v>
      </c>
      <c r="G1034" t="str">
        <f>VLOOKUP(A1034,[1]Kreise!$A$1:$C$53,3,FALSE)</f>
        <v>K033</v>
      </c>
      <c r="H1034">
        <v>146</v>
      </c>
    </row>
    <row r="1035" spans="1:8">
      <c r="A1035">
        <v>4</v>
      </c>
      <c r="B1035" t="s">
        <v>33</v>
      </c>
      <c r="C1035">
        <v>2018</v>
      </c>
      <c r="D1035" t="s">
        <v>12</v>
      </c>
      <c r="E1035" t="s">
        <v>5</v>
      </c>
      <c r="F1035" t="s">
        <v>38</v>
      </c>
      <c r="G1035" t="str">
        <f>VLOOKUP(A1035,[1]Kreise!$A$1:$C$53,3,FALSE)</f>
        <v>K034</v>
      </c>
      <c r="H1035">
        <v>260</v>
      </c>
    </row>
    <row r="1036" spans="1:8">
      <c r="A1036">
        <v>0</v>
      </c>
      <c r="B1036" t="s">
        <v>34</v>
      </c>
      <c r="C1036">
        <v>2018</v>
      </c>
      <c r="D1036" t="s">
        <v>12</v>
      </c>
      <c r="E1036" t="s">
        <v>5</v>
      </c>
      <c r="F1036" t="s">
        <v>38</v>
      </c>
      <c r="G1036" t="str">
        <f>VLOOKUP(A1036,[1]Kreise!$A$1:$C$53,3,FALSE)</f>
        <v>K030</v>
      </c>
      <c r="H1036">
        <v>1124</v>
      </c>
    </row>
    <row r="1037" spans="1:8">
      <c r="A1037">
        <v>1</v>
      </c>
      <c r="B1037" t="s">
        <v>30</v>
      </c>
      <c r="C1037">
        <v>2017</v>
      </c>
      <c r="D1037" t="s">
        <v>12</v>
      </c>
      <c r="E1037" t="s">
        <v>5</v>
      </c>
      <c r="F1037" t="s">
        <v>38</v>
      </c>
      <c r="G1037" t="str">
        <f>VLOOKUP(A1037,[1]Kreise!$A$1:$C$53,3,FALSE)</f>
        <v>K031</v>
      </c>
      <c r="H1037">
        <v>257</v>
      </c>
    </row>
    <row r="1038" spans="1:8">
      <c r="A1038">
        <v>2</v>
      </c>
      <c r="B1038" t="s">
        <v>31</v>
      </c>
      <c r="C1038">
        <v>2017</v>
      </c>
      <c r="D1038" t="s">
        <v>12</v>
      </c>
      <c r="E1038" t="s">
        <v>5</v>
      </c>
      <c r="F1038" t="s">
        <v>38</v>
      </c>
      <c r="G1038" t="str">
        <f>VLOOKUP(A1038,[1]Kreise!$A$1:$C$53,3,FALSE)</f>
        <v>K032</v>
      </c>
      <c r="H1038">
        <v>418</v>
      </c>
    </row>
    <row r="1039" spans="1:8">
      <c r="A1039">
        <v>3</v>
      </c>
      <c r="B1039" t="s">
        <v>32</v>
      </c>
      <c r="C1039">
        <v>2017</v>
      </c>
      <c r="D1039" t="s">
        <v>12</v>
      </c>
      <c r="E1039" t="s">
        <v>5</v>
      </c>
      <c r="F1039" t="s">
        <v>38</v>
      </c>
      <c r="G1039" t="str">
        <f>VLOOKUP(A1039,[1]Kreise!$A$1:$C$53,3,FALSE)</f>
        <v>K033</v>
      </c>
      <c r="H1039">
        <v>138</v>
      </c>
    </row>
    <row r="1040" spans="1:8">
      <c r="A1040">
        <v>4</v>
      </c>
      <c r="B1040" t="s">
        <v>33</v>
      </c>
      <c r="C1040">
        <v>2017</v>
      </c>
      <c r="D1040" t="s">
        <v>12</v>
      </c>
      <c r="E1040" t="s">
        <v>5</v>
      </c>
      <c r="F1040" t="s">
        <v>38</v>
      </c>
      <c r="G1040" t="str">
        <f>VLOOKUP(A1040,[1]Kreise!$A$1:$C$53,3,FALSE)</f>
        <v>K034</v>
      </c>
      <c r="H1040">
        <v>278</v>
      </c>
    </row>
    <row r="1041" spans="1:8">
      <c r="A1041">
        <v>0</v>
      </c>
      <c r="B1041" t="s">
        <v>34</v>
      </c>
      <c r="C1041">
        <v>2017</v>
      </c>
      <c r="D1041" t="s">
        <v>12</v>
      </c>
      <c r="E1041" t="s">
        <v>5</v>
      </c>
      <c r="F1041" t="s">
        <v>38</v>
      </c>
      <c r="G1041" t="str">
        <f>VLOOKUP(A1041,[1]Kreise!$A$1:$C$53,3,FALSE)</f>
        <v>K030</v>
      </c>
      <c r="H1041">
        <v>1091</v>
      </c>
    </row>
    <row r="1042" spans="1:8">
      <c r="A1042">
        <v>1</v>
      </c>
      <c r="B1042" t="s">
        <v>30</v>
      </c>
      <c r="C1042">
        <v>2016</v>
      </c>
      <c r="D1042" t="s">
        <v>12</v>
      </c>
      <c r="E1042" t="s">
        <v>5</v>
      </c>
      <c r="F1042" t="s">
        <v>38</v>
      </c>
      <c r="G1042" t="str">
        <f>VLOOKUP(A1042,[1]Kreise!$A$1:$C$53,3,FALSE)</f>
        <v>K031</v>
      </c>
      <c r="H1042">
        <v>272</v>
      </c>
    </row>
    <row r="1043" spans="1:8">
      <c r="A1043">
        <v>2</v>
      </c>
      <c r="B1043" t="s">
        <v>31</v>
      </c>
      <c r="C1043">
        <v>2016</v>
      </c>
      <c r="D1043" t="s">
        <v>12</v>
      </c>
      <c r="E1043" t="s">
        <v>5</v>
      </c>
      <c r="F1043" t="s">
        <v>38</v>
      </c>
      <c r="G1043" t="str">
        <f>VLOOKUP(A1043,[1]Kreise!$A$1:$C$53,3,FALSE)</f>
        <v>K032</v>
      </c>
      <c r="H1043">
        <v>404</v>
      </c>
    </row>
    <row r="1044" spans="1:8">
      <c r="A1044">
        <v>3</v>
      </c>
      <c r="B1044" t="s">
        <v>32</v>
      </c>
      <c r="C1044">
        <v>2016</v>
      </c>
      <c r="D1044" t="s">
        <v>12</v>
      </c>
      <c r="E1044" t="s">
        <v>5</v>
      </c>
      <c r="F1044" t="s">
        <v>38</v>
      </c>
      <c r="G1044" t="str">
        <f>VLOOKUP(A1044,[1]Kreise!$A$1:$C$53,3,FALSE)</f>
        <v>K033</v>
      </c>
      <c r="H1044">
        <v>152</v>
      </c>
    </row>
    <row r="1045" spans="1:8">
      <c r="A1045">
        <v>4</v>
      </c>
      <c r="B1045" t="s">
        <v>33</v>
      </c>
      <c r="C1045">
        <v>2016</v>
      </c>
      <c r="D1045" t="s">
        <v>12</v>
      </c>
      <c r="E1045" t="s">
        <v>5</v>
      </c>
      <c r="F1045" t="s">
        <v>38</v>
      </c>
      <c r="G1045" t="str">
        <f>VLOOKUP(A1045,[1]Kreise!$A$1:$C$53,3,FALSE)</f>
        <v>K034</v>
      </c>
      <c r="H1045">
        <v>279</v>
      </c>
    </row>
    <row r="1046" spans="1:8">
      <c r="A1046">
        <v>0</v>
      </c>
      <c r="B1046" t="s">
        <v>34</v>
      </c>
      <c r="C1046">
        <v>2016</v>
      </c>
      <c r="D1046" t="s">
        <v>12</v>
      </c>
      <c r="E1046" t="s">
        <v>5</v>
      </c>
      <c r="F1046" t="s">
        <v>38</v>
      </c>
      <c r="G1046" t="str">
        <f>VLOOKUP(A1046,[1]Kreise!$A$1:$C$53,3,FALSE)</f>
        <v>K030</v>
      </c>
      <c r="H1046">
        <v>1107</v>
      </c>
    </row>
    <row r="1047" spans="1:8">
      <c r="A1047">
        <v>1</v>
      </c>
      <c r="B1047" t="s">
        <v>30</v>
      </c>
      <c r="C1047">
        <v>2015</v>
      </c>
      <c r="D1047" t="s">
        <v>12</v>
      </c>
      <c r="E1047" t="s">
        <v>5</v>
      </c>
      <c r="F1047" t="s">
        <v>38</v>
      </c>
      <c r="G1047" t="str">
        <f>VLOOKUP(A1047,[1]Kreise!$A$1:$C$53,3,FALSE)</f>
        <v>K031</v>
      </c>
      <c r="H1047">
        <v>209</v>
      </c>
    </row>
    <row r="1048" spans="1:8">
      <c r="A1048">
        <v>2</v>
      </c>
      <c r="B1048" t="s">
        <v>31</v>
      </c>
      <c r="C1048">
        <v>2015</v>
      </c>
      <c r="D1048" t="s">
        <v>12</v>
      </c>
      <c r="E1048" t="s">
        <v>5</v>
      </c>
      <c r="F1048" t="s">
        <v>38</v>
      </c>
      <c r="G1048" t="str">
        <f>VLOOKUP(A1048,[1]Kreise!$A$1:$C$53,3,FALSE)</f>
        <v>K032</v>
      </c>
      <c r="H1048">
        <v>359</v>
      </c>
    </row>
    <row r="1049" spans="1:8">
      <c r="A1049">
        <v>3</v>
      </c>
      <c r="B1049" t="s">
        <v>32</v>
      </c>
      <c r="C1049">
        <v>2015</v>
      </c>
      <c r="D1049" t="s">
        <v>12</v>
      </c>
      <c r="E1049" t="s">
        <v>5</v>
      </c>
      <c r="F1049" t="s">
        <v>38</v>
      </c>
      <c r="G1049" t="str">
        <f>VLOOKUP(A1049,[1]Kreise!$A$1:$C$53,3,FALSE)</f>
        <v>K033</v>
      </c>
      <c r="H1049">
        <v>106</v>
      </c>
    </row>
    <row r="1050" spans="1:8">
      <c r="A1050">
        <v>4</v>
      </c>
      <c r="B1050" t="s">
        <v>33</v>
      </c>
      <c r="C1050">
        <v>2015</v>
      </c>
      <c r="D1050" t="s">
        <v>12</v>
      </c>
      <c r="E1050" t="s">
        <v>5</v>
      </c>
      <c r="F1050" t="s">
        <v>38</v>
      </c>
      <c r="G1050" t="str">
        <f>VLOOKUP(A1050,[1]Kreise!$A$1:$C$53,3,FALSE)</f>
        <v>K034</v>
      </c>
      <c r="H1050">
        <v>244</v>
      </c>
    </row>
    <row r="1051" spans="1:8">
      <c r="A1051">
        <v>0</v>
      </c>
      <c r="B1051" t="s">
        <v>34</v>
      </c>
      <c r="C1051">
        <v>2015</v>
      </c>
      <c r="D1051" t="s">
        <v>12</v>
      </c>
      <c r="E1051" t="s">
        <v>5</v>
      </c>
      <c r="F1051" t="s">
        <v>38</v>
      </c>
      <c r="G1051" t="str">
        <f>VLOOKUP(A1051,[1]Kreise!$A$1:$C$53,3,FALSE)</f>
        <v>K030</v>
      </c>
      <c r="H1051">
        <v>918</v>
      </c>
    </row>
    <row r="1052" spans="1:8">
      <c r="A1052">
        <v>1</v>
      </c>
      <c r="B1052" t="s">
        <v>145</v>
      </c>
      <c r="C1052">
        <v>2014</v>
      </c>
      <c r="D1052" t="s">
        <v>12</v>
      </c>
      <c r="E1052" t="s">
        <v>5</v>
      </c>
      <c r="F1052" t="s">
        <v>38</v>
      </c>
      <c r="G1052" t="str">
        <f>VLOOKUP(A1052,[1]Kreise!$A$1:$C$53,3,FALSE)</f>
        <v>K031</v>
      </c>
      <c r="H1052">
        <v>234</v>
      </c>
    </row>
    <row r="1053" spans="1:8">
      <c r="A1053">
        <v>2</v>
      </c>
      <c r="B1053" t="s">
        <v>146</v>
      </c>
      <c r="C1053">
        <v>2014</v>
      </c>
      <c r="D1053" t="s">
        <v>12</v>
      </c>
      <c r="E1053" t="s">
        <v>5</v>
      </c>
      <c r="F1053" t="s">
        <v>38</v>
      </c>
      <c r="G1053" t="str">
        <f>VLOOKUP(A1053,[1]Kreise!$A$1:$C$53,3,FALSE)</f>
        <v>K032</v>
      </c>
      <c r="H1053">
        <v>393</v>
      </c>
    </row>
    <row r="1054" spans="1:8">
      <c r="A1054">
        <v>3</v>
      </c>
      <c r="B1054" t="s">
        <v>147</v>
      </c>
      <c r="C1054">
        <v>2014</v>
      </c>
      <c r="D1054" t="s">
        <v>12</v>
      </c>
      <c r="E1054" t="s">
        <v>5</v>
      </c>
      <c r="F1054" t="s">
        <v>38</v>
      </c>
      <c r="G1054" t="str">
        <f>VLOOKUP(A1054,[1]Kreise!$A$1:$C$53,3,FALSE)</f>
        <v>K033</v>
      </c>
      <c r="H1054">
        <v>163</v>
      </c>
    </row>
    <row r="1055" spans="1:8">
      <c r="A1055">
        <v>4</v>
      </c>
      <c r="B1055" t="s">
        <v>148</v>
      </c>
      <c r="C1055">
        <v>2014</v>
      </c>
      <c r="D1055" t="s">
        <v>12</v>
      </c>
      <c r="E1055" t="s">
        <v>5</v>
      </c>
      <c r="F1055" t="s">
        <v>38</v>
      </c>
      <c r="G1055" t="str">
        <f>VLOOKUP(A1055,[1]Kreise!$A$1:$C$53,3,FALSE)</f>
        <v>K034</v>
      </c>
      <c r="H1055">
        <v>351</v>
      </c>
    </row>
    <row r="1056" spans="1:8">
      <c r="A1056">
        <v>0</v>
      </c>
      <c r="B1056" t="s">
        <v>34</v>
      </c>
      <c r="C1056">
        <v>2014</v>
      </c>
      <c r="D1056" t="s">
        <v>12</v>
      </c>
      <c r="E1056" t="s">
        <v>5</v>
      </c>
      <c r="F1056" t="s">
        <v>38</v>
      </c>
      <c r="G1056" t="str">
        <f>VLOOKUP(A1056,[1]Kreise!$A$1:$C$53,3,FALSE)</f>
        <v>K030</v>
      </c>
      <c r="H1056">
        <v>1141</v>
      </c>
    </row>
    <row r="1057" spans="1:8">
      <c r="A1057">
        <v>1</v>
      </c>
      <c r="B1057" t="s">
        <v>30</v>
      </c>
      <c r="C1057">
        <v>2013</v>
      </c>
      <c r="D1057" t="s">
        <v>12</v>
      </c>
      <c r="E1057" t="s">
        <v>5</v>
      </c>
      <c r="F1057" t="s">
        <v>38</v>
      </c>
      <c r="G1057" t="str">
        <f>VLOOKUP(A1057,[1]Kreise!$A$1:$C$53,3,FALSE)</f>
        <v>K031</v>
      </c>
      <c r="H1057">
        <v>367</v>
      </c>
    </row>
    <row r="1058" spans="1:8">
      <c r="A1058">
        <v>2</v>
      </c>
      <c r="B1058" t="s">
        <v>31</v>
      </c>
      <c r="C1058">
        <v>2013</v>
      </c>
      <c r="D1058" t="s">
        <v>12</v>
      </c>
      <c r="E1058" t="s">
        <v>5</v>
      </c>
      <c r="F1058" t="s">
        <v>38</v>
      </c>
      <c r="G1058" t="str">
        <f>VLOOKUP(A1058,[1]Kreise!$A$1:$C$53,3,FALSE)</f>
        <v>K032</v>
      </c>
      <c r="H1058">
        <v>523</v>
      </c>
    </row>
    <row r="1059" spans="1:8">
      <c r="A1059">
        <v>3</v>
      </c>
      <c r="B1059" t="s">
        <v>32</v>
      </c>
      <c r="C1059">
        <v>2013</v>
      </c>
      <c r="D1059" t="s">
        <v>12</v>
      </c>
      <c r="E1059" t="s">
        <v>5</v>
      </c>
      <c r="F1059" t="s">
        <v>38</v>
      </c>
      <c r="G1059" t="str">
        <f>VLOOKUP(A1059,[1]Kreise!$A$1:$C$53,3,FALSE)</f>
        <v>K033</v>
      </c>
      <c r="H1059">
        <v>233</v>
      </c>
    </row>
    <row r="1060" spans="1:8">
      <c r="A1060">
        <v>4</v>
      </c>
      <c r="B1060" t="s">
        <v>33</v>
      </c>
      <c r="C1060">
        <v>2013</v>
      </c>
      <c r="D1060" t="s">
        <v>12</v>
      </c>
      <c r="E1060" t="s">
        <v>5</v>
      </c>
      <c r="F1060" t="s">
        <v>38</v>
      </c>
      <c r="G1060" t="str">
        <f>VLOOKUP(A1060,[1]Kreise!$A$1:$C$53,3,FALSE)</f>
        <v>K034</v>
      </c>
      <c r="H1060">
        <v>470</v>
      </c>
    </row>
    <row r="1061" spans="1:8">
      <c r="A1061">
        <v>0</v>
      </c>
      <c r="B1061" t="s">
        <v>34</v>
      </c>
      <c r="C1061">
        <v>2013</v>
      </c>
      <c r="D1061" t="s">
        <v>12</v>
      </c>
      <c r="E1061" t="s">
        <v>5</v>
      </c>
      <c r="F1061" t="s">
        <v>38</v>
      </c>
      <c r="G1061" t="str">
        <f>VLOOKUP(A1061,[1]Kreise!$A$1:$C$53,3,FALSE)</f>
        <v>K030</v>
      </c>
      <c r="H1061">
        <v>1593</v>
      </c>
    </row>
    <row r="1062" spans="1:8">
      <c r="A1062">
        <v>1</v>
      </c>
      <c r="B1062" t="s">
        <v>145</v>
      </c>
      <c r="C1062">
        <v>2012</v>
      </c>
      <c r="D1062" t="s">
        <v>12</v>
      </c>
      <c r="E1062" t="s">
        <v>5</v>
      </c>
      <c r="F1062" t="s">
        <v>38</v>
      </c>
      <c r="G1062" t="str">
        <f>VLOOKUP(A1062,[1]Kreise!$A$1:$C$53,3,FALSE)</f>
        <v>K031</v>
      </c>
      <c r="H1062">
        <v>371</v>
      </c>
    </row>
    <row r="1063" spans="1:8">
      <c r="A1063">
        <v>2</v>
      </c>
      <c r="B1063" t="s">
        <v>146</v>
      </c>
      <c r="C1063">
        <v>2012</v>
      </c>
      <c r="D1063" t="s">
        <v>12</v>
      </c>
      <c r="E1063" t="s">
        <v>5</v>
      </c>
      <c r="F1063" t="s">
        <v>38</v>
      </c>
      <c r="G1063" t="str">
        <f>VLOOKUP(A1063,[1]Kreise!$A$1:$C$53,3,FALSE)</f>
        <v>K032</v>
      </c>
      <c r="H1063">
        <v>617</v>
      </c>
    </row>
    <row r="1064" spans="1:8">
      <c r="A1064">
        <v>3</v>
      </c>
      <c r="B1064" t="s">
        <v>147</v>
      </c>
      <c r="C1064">
        <v>2012</v>
      </c>
      <c r="D1064" t="s">
        <v>12</v>
      </c>
      <c r="E1064" t="s">
        <v>5</v>
      </c>
      <c r="F1064" t="s">
        <v>38</v>
      </c>
      <c r="G1064" t="str">
        <f>VLOOKUP(A1064,[1]Kreise!$A$1:$C$53,3,FALSE)</f>
        <v>K033</v>
      </c>
      <c r="H1064">
        <v>258</v>
      </c>
    </row>
    <row r="1065" spans="1:8">
      <c r="A1065">
        <v>4</v>
      </c>
      <c r="B1065" t="s">
        <v>148</v>
      </c>
      <c r="C1065">
        <v>2012</v>
      </c>
      <c r="D1065" t="s">
        <v>12</v>
      </c>
      <c r="E1065" t="s">
        <v>5</v>
      </c>
      <c r="F1065" t="s">
        <v>38</v>
      </c>
      <c r="G1065" t="str">
        <f>VLOOKUP(A1065,[1]Kreise!$A$1:$C$53,3,FALSE)</f>
        <v>K034</v>
      </c>
      <c r="H1065">
        <v>507</v>
      </c>
    </row>
    <row r="1066" spans="1:8">
      <c r="A1066">
        <v>0</v>
      </c>
      <c r="B1066" t="s">
        <v>34</v>
      </c>
      <c r="C1066">
        <v>2012</v>
      </c>
      <c r="D1066" t="s">
        <v>12</v>
      </c>
      <c r="E1066" t="s">
        <v>5</v>
      </c>
      <c r="F1066" t="s">
        <v>38</v>
      </c>
      <c r="G1066" t="str">
        <f>VLOOKUP(A1066,[1]Kreise!$A$1:$C$53,3,FALSE)</f>
        <v>K030</v>
      </c>
      <c r="H1066">
        <v>1753</v>
      </c>
    </row>
    <row r="1067" spans="1:8">
      <c r="A1067">
        <v>1</v>
      </c>
      <c r="B1067" t="s">
        <v>30</v>
      </c>
      <c r="C1067">
        <v>2011</v>
      </c>
      <c r="D1067" t="s">
        <v>12</v>
      </c>
      <c r="E1067" t="s">
        <v>5</v>
      </c>
      <c r="F1067" t="s">
        <v>38</v>
      </c>
      <c r="G1067" t="str">
        <f>VLOOKUP(A1067,[1]Kreise!$A$1:$C$53,3,FALSE)</f>
        <v>K031</v>
      </c>
      <c r="H1067">
        <v>636</v>
      </c>
    </row>
    <row r="1068" spans="1:8">
      <c r="A1068">
        <v>2</v>
      </c>
      <c r="B1068" t="s">
        <v>31</v>
      </c>
      <c r="C1068">
        <v>2011</v>
      </c>
      <c r="D1068" t="s">
        <v>12</v>
      </c>
      <c r="E1068" t="s">
        <v>5</v>
      </c>
      <c r="F1068" t="s">
        <v>38</v>
      </c>
      <c r="G1068" t="str">
        <f>VLOOKUP(A1068,[1]Kreise!$A$1:$C$53,3,FALSE)</f>
        <v>K032</v>
      </c>
      <c r="H1068">
        <v>667</v>
      </c>
    </row>
    <row r="1069" spans="1:8">
      <c r="A1069">
        <v>3</v>
      </c>
      <c r="B1069" t="s">
        <v>32</v>
      </c>
      <c r="C1069">
        <v>2011</v>
      </c>
      <c r="D1069" t="s">
        <v>12</v>
      </c>
      <c r="E1069" t="s">
        <v>5</v>
      </c>
      <c r="F1069" t="s">
        <v>38</v>
      </c>
      <c r="G1069" t="str">
        <f>VLOOKUP(A1069,[1]Kreise!$A$1:$C$53,3,FALSE)</f>
        <v>K033</v>
      </c>
      <c r="H1069">
        <v>288</v>
      </c>
    </row>
    <row r="1070" spans="1:8">
      <c r="A1070">
        <v>4</v>
      </c>
      <c r="B1070" t="s">
        <v>33</v>
      </c>
      <c r="C1070">
        <v>2011</v>
      </c>
      <c r="D1070" t="s">
        <v>12</v>
      </c>
      <c r="E1070" t="s">
        <v>5</v>
      </c>
      <c r="F1070" t="s">
        <v>38</v>
      </c>
      <c r="G1070" t="str">
        <f>VLOOKUP(A1070,[1]Kreise!$A$1:$C$53,3,FALSE)</f>
        <v>K034</v>
      </c>
      <c r="H1070">
        <v>537</v>
      </c>
    </row>
    <row r="1071" spans="1:8">
      <c r="A1071">
        <v>0</v>
      </c>
      <c r="B1071" t="s">
        <v>34</v>
      </c>
      <c r="C1071">
        <v>2011</v>
      </c>
      <c r="D1071" t="s">
        <v>12</v>
      </c>
      <c r="E1071" t="s">
        <v>5</v>
      </c>
      <c r="F1071" t="s">
        <v>38</v>
      </c>
      <c r="G1071" t="str">
        <f>VLOOKUP(A1071,[1]Kreise!$A$1:$C$53,3,FALSE)</f>
        <v>K030</v>
      </c>
      <c r="H1071">
        <v>1891</v>
      </c>
    </row>
    <row r="1072" spans="1:8">
      <c r="A1072">
        <v>1</v>
      </c>
      <c r="B1072" t="s">
        <v>145</v>
      </c>
      <c r="C1072">
        <v>2010</v>
      </c>
      <c r="D1072" t="s">
        <v>12</v>
      </c>
      <c r="E1072" t="s">
        <v>5</v>
      </c>
      <c r="F1072" t="s">
        <v>38</v>
      </c>
      <c r="G1072" t="str">
        <f>VLOOKUP(A1072,[1]Kreise!$A$1:$C$53,3,FALSE)</f>
        <v>K031</v>
      </c>
      <c r="H1072">
        <v>391</v>
      </c>
    </row>
    <row r="1073" spans="1:8">
      <c r="A1073">
        <v>2</v>
      </c>
      <c r="B1073" t="s">
        <v>146</v>
      </c>
      <c r="C1073">
        <v>2010</v>
      </c>
      <c r="D1073" t="s">
        <v>12</v>
      </c>
      <c r="E1073" t="s">
        <v>5</v>
      </c>
      <c r="F1073" t="s">
        <v>38</v>
      </c>
      <c r="G1073" t="str">
        <f>VLOOKUP(A1073,[1]Kreise!$A$1:$C$53,3,FALSE)</f>
        <v>K032</v>
      </c>
      <c r="H1073">
        <v>684</v>
      </c>
    </row>
    <row r="1074" spans="1:8">
      <c r="A1074">
        <v>3</v>
      </c>
      <c r="B1074" t="s">
        <v>147</v>
      </c>
      <c r="C1074">
        <v>2010</v>
      </c>
      <c r="D1074" t="s">
        <v>12</v>
      </c>
      <c r="E1074" t="s">
        <v>5</v>
      </c>
      <c r="F1074" t="s">
        <v>38</v>
      </c>
      <c r="G1074" t="str">
        <f>VLOOKUP(A1074,[1]Kreise!$A$1:$C$53,3,FALSE)</f>
        <v>K033</v>
      </c>
      <c r="H1074">
        <v>271</v>
      </c>
    </row>
    <row r="1075" spans="1:8">
      <c r="A1075">
        <v>4</v>
      </c>
      <c r="B1075" t="s">
        <v>148</v>
      </c>
      <c r="C1075">
        <v>2010</v>
      </c>
      <c r="D1075" t="s">
        <v>12</v>
      </c>
      <c r="E1075" t="s">
        <v>5</v>
      </c>
      <c r="F1075" t="s">
        <v>38</v>
      </c>
      <c r="G1075" t="str">
        <f>VLOOKUP(A1075,[1]Kreise!$A$1:$C$53,3,FALSE)</f>
        <v>K034</v>
      </c>
      <c r="H1075">
        <v>483</v>
      </c>
    </row>
    <row r="1076" spans="1:8">
      <c r="A1076">
        <v>0</v>
      </c>
      <c r="B1076" t="s">
        <v>34</v>
      </c>
      <c r="C1076">
        <v>2010</v>
      </c>
      <c r="D1076" t="s">
        <v>12</v>
      </c>
      <c r="E1076" t="s">
        <v>5</v>
      </c>
      <c r="F1076" t="s">
        <v>38</v>
      </c>
      <c r="G1076" t="str">
        <f>VLOOKUP(A1076,[1]Kreise!$A$1:$C$53,3,FALSE)</f>
        <v>K030</v>
      </c>
      <c r="H1076">
        <v>1829</v>
      </c>
    </row>
    <row r="1077" spans="1:8">
      <c r="A1077">
        <v>1</v>
      </c>
      <c r="B1077" t="s">
        <v>145</v>
      </c>
      <c r="C1077">
        <v>2005</v>
      </c>
      <c r="D1077" t="s">
        <v>12</v>
      </c>
      <c r="E1077" t="s">
        <v>5</v>
      </c>
      <c r="F1077" t="s">
        <v>38</v>
      </c>
      <c r="G1077" t="str">
        <f>VLOOKUP(A1077,[1]Kreise!$A$1:$C$53,3,FALSE)</f>
        <v>K031</v>
      </c>
      <c r="H1077">
        <v>418</v>
      </c>
    </row>
    <row r="1078" spans="1:8">
      <c r="A1078">
        <v>2</v>
      </c>
      <c r="B1078" t="s">
        <v>146</v>
      </c>
      <c r="C1078">
        <v>2005</v>
      </c>
      <c r="D1078" t="s">
        <v>12</v>
      </c>
      <c r="E1078" t="s">
        <v>5</v>
      </c>
      <c r="F1078" t="s">
        <v>38</v>
      </c>
      <c r="G1078" t="str">
        <f>VLOOKUP(A1078,[1]Kreise!$A$1:$C$53,3,FALSE)</f>
        <v>K032</v>
      </c>
      <c r="H1078">
        <v>758</v>
      </c>
    </row>
    <row r="1079" spans="1:8">
      <c r="A1079">
        <v>3</v>
      </c>
      <c r="B1079" t="s">
        <v>147</v>
      </c>
      <c r="C1079">
        <v>2005</v>
      </c>
      <c r="D1079" t="s">
        <v>12</v>
      </c>
      <c r="E1079" t="s">
        <v>5</v>
      </c>
      <c r="F1079" t="s">
        <v>38</v>
      </c>
      <c r="G1079" t="str">
        <f>VLOOKUP(A1079,[1]Kreise!$A$1:$C$53,3,FALSE)</f>
        <v>K033</v>
      </c>
      <c r="H1079">
        <v>269</v>
      </c>
    </row>
    <row r="1080" spans="1:8">
      <c r="A1080">
        <v>4</v>
      </c>
      <c r="B1080" t="s">
        <v>148</v>
      </c>
      <c r="C1080">
        <v>2005</v>
      </c>
      <c r="D1080" t="s">
        <v>12</v>
      </c>
      <c r="E1080" t="s">
        <v>5</v>
      </c>
      <c r="F1080" t="s">
        <v>38</v>
      </c>
      <c r="G1080" t="str">
        <f>VLOOKUP(A1080,[1]Kreise!$A$1:$C$53,3,FALSE)</f>
        <v>K034</v>
      </c>
      <c r="H1080">
        <v>455</v>
      </c>
    </row>
    <row r="1081" spans="1:8">
      <c r="A1081">
        <v>0</v>
      </c>
      <c r="B1081" t="s">
        <v>34</v>
      </c>
      <c r="C1081">
        <v>2005</v>
      </c>
      <c r="D1081" t="s">
        <v>12</v>
      </c>
      <c r="E1081" t="s">
        <v>5</v>
      </c>
      <c r="F1081" t="s">
        <v>38</v>
      </c>
      <c r="G1081" t="str">
        <f>VLOOKUP(A1081,[1]Kreise!$A$1:$C$53,3,FALSE)</f>
        <v>K030</v>
      </c>
      <c r="H1081">
        <v>1900</v>
      </c>
    </row>
    <row r="1082" spans="1:8">
      <c r="A1082">
        <v>1</v>
      </c>
      <c r="B1082" t="s">
        <v>30</v>
      </c>
      <c r="C1082">
        <v>2020</v>
      </c>
      <c r="D1082" t="s">
        <v>11</v>
      </c>
      <c r="E1082" t="s">
        <v>139</v>
      </c>
      <c r="F1082" t="s">
        <v>38</v>
      </c>
      <c r="G1082" t="str">
        <f>VLOOKUP(A1082,[1]Kreise!$A$1:$C$53,3,FALSE)</f>
        <v>K031</v>
      </c>
      <c r="H1082">
        <v>1361</v>
      </c>
    </row>
    <row r="1083" spans="1:8">
      <c r="A1083">
        <v>2</v>
      </c>
      <c r="B1083" t="s">
        <v>31</v>
      </c>
      <c r="C1083">
        <v>2020</v>
      </c>
      <c r="D1083" t="s">
        <v>11</v>
      </c>
      <c r="E1083" t="s">
        <v>139</v>
      </c>
      <c r="F1083" t="s">
        <v>38</v>
      </c>
      <c r="G1083" t="str">
        <f>VLOOKUP(A1083,[1]Kreise!$A$1:$C$53,3,FALSE)</f>
        <v>K032</v>
      </c>
      <c r="H1083">
        <v>2500</v>
      </c>
    </row>
    <row r="1084" spans="1:8">
      <c r="A1084">
        <v>3</v>
      </c>
      <c r="B1084" t="s">
        <v>32</v>
      </c>
      <c r="C1084">
        <v>2020</v>
      </c>
      <c r="D1084" t="s">
        <v>11</v>
      </c>
      <c r="E1084" t="s">
        <v>139</v>
      </c>
      <c r="F1084" t="s">
        <v>38</v>
      </c>
      <c r="G1084" t="str">
        <f>VLOOKUP(A1084,[1]Kreise!$A$1:$C$53,3,FALSE)</f>
        <v>K033</v>
      </c>
      <c r="H1084">
        <v>4606</v>
      </c>
    </row>
    <row r="1085" spans="1:8">
      <c r="A1085">
        <v>4</v>
      </c>
      <c r="B1085" t="s">
        <v>33</v>
      </c>
      <c r="C1085">
        <v>2020</v>
      </c>
      <c r="D1085" t="s">
        <v>11</v>
      </c>
      <c r="E1085" t="s">
        <v>139</v>
      </c>
      <c r="F1085" t="s">
        <v>38</v>
      </c>
      <c r="G1085" t="str">
        <f>VLOOKUP(A1085,[1]Kreise!$A$1:$C$53,3,FALSE)</f>
        <v>K034</v>
      </c>
      <c r="H1085">
        <v>7108</v>
      </c>
    </row>
    <row r="1086" spans="1:8">
      <c r="A1086">
        <v>0</v>
      </c>
      <c r="B1086" t="s">
        <v>34</v>
      </c>
      <c r="C1086">
        <v>2020</v>
      </c>
      <c r="D1086" t="s">
        <v>11</v>
      </c>
      <c r="E1086" t="s">
        <v>139</v>
      </c>
      <c r="F1086" t="s">
        <v>38</v>
      </c>
      <c r="G1086" t="str">
        <f>VLOOKUP(A1086,[1]Kreise!$A$1:$C$53,3,FALSE)</f>
        <v>K030</v>
      </c>
      <c r="H1086">
        <v>15575</v>
      </c>
    </row>
    <row r="1087" spans="1:8">
      <c r="A1087">
        <v>1</v>
      </c>
      <c r="B1087" t="s">
        <v>30</v>
      </c>
      <c r="C1087">
        <v>2019</v>
      </c>
      <c r="D1087" t="s">
        <v>11</v>
      </c>
      <c r="E1087" t="s">
        <v>139</v>
      </c>
      <c r="F1087" t="s">
        <v>38</v>
      </c>
      <c r="G1087" t="str">
        <f>VLOOKUP(A1087,[1]Kreise!$A$1:$C$53,3,FALSE)</f>
        <v>K031</v>
      </c>
      <c r="H1087">
        <v>1426</v>
      </c>
    </row>
    <row r="1088" spans="1:8">
      <c r="A1088">
        <v>2</v>
      </c>
      <c r="B1088" t="s">
        <v>31</v>
      </c>
      <c r="C1088">
        <v>2019</v>
      </c>
      <c r="D1088" t="s">
        <v>11</v>
      </c>
      <c r="E1088" t="s">
        <v>139</v>
      </c>
      <c r="F1088" t="s">
        <v>38</v>
      </c>
      <c r="G1088" t="str">
        <f>VLOOKUP(A1088,[1]Kreise!$A$1:$C$53,3,FALSE)</f>
        <v>K032</v>
      </c>
      <c r="H1088">
        <v>2379</v>
      </c>
    </row>
    <row r="1089" spans="1:8">
      <c r="A1089">
        <v>3</v>
      </c>
      <c r="B1089" t="s">
        <v>32</v>
      </c>
      <c r="C1089">
        <v>2019</v>
      </c>
      <c r="D1089" t="s">
        <v>11</v>
      </c>
      <c r="E1089" t="s">
        <v>139</v>
      </c>
      <c r="F1089" t="s">
        <v>38</v>
      </c>
      <c r="G1089" t="str">
        <f>VLOOKUP(A1089,[1]Kreise!$A$1:$C$53,3,FALSE)</f>
        <v>K033</v>
      </c>
      <c r="H1089">
        <v>4863</v>
      </c>
    </row>
    <row r="1090" spans="1:8">
      <c r="A1090">
        <v>4</v>
      </c>
      <c r="B1090" t="s">
        <v>33</v>
      </c>
      <c r="C1090">
        <v>2019</v>
      </c>
      <c r="D1090" t="s">
        <v>11</v>
      </c>
      <c r="E1090" t="s">
        <v>139</v>
      </c>
      <c r="F1090" t="s">
        <v>38</v>
      </c>
      <c r="G1090" t="str">
        <f>VLOOKUP(A1090,[1]Kreise!$A$1:$C$53,3,FALSE)</f>
        <v>K034</v>
      </c>
      <c r="H1090">
        <v>7530</v>
      </c>
    </row>
    <row r="1091" spans="1:8">
      <c r="A1091">
        <v>0</v>
      </c>
      <c r="B1091" t="s">
        <v>34</v>
      </c>
      <c r="C1091">
        <v>2019</v>
      </c>
      <c r="D1091" t="s">
        <v>11</v>
      </c>
      <c r="E1091" t="s">
        <v>139</v>
      </c>
      <c r="F1091" t="s">
        <v>38</v>
      </c>
      <c r="G1091" t="str">
        <f>VLOOKUP(A1091,[1]Kreise!$A$1:$C$53,3,FALSE)</f>
        <v>K030</v>
      </c>
      <c r="H1091">
        <v>16198</v>
      </c>
    </row>
    <row r="1092" spans="1:8">
      <c r="A1092">
        <v>1</v>
      </c>
      <c r="B1092" t="s">
        <v>30</v>
      </c>
      <c r="C1092">
        <v>2018</v>
      </c>
      <c r="D1092" t="s">
        <v>11</v>
      </c>
      <c r="E1092" t="s">
        <v>139</v>
      </c>
      <c r="F1092" t="s">
        <v>38</v>
      </c>
      <c r="G1092" t="str">
        <f>VLOOKUP(A1092,[1]Kreise!$A$1:$C$53,3,FALSE)</f>
        <v>K031</v>
      </c>
      <c r="H1092">
        <v>1402</v>
      </c>
    </row>
    <row r="1093" spans="1:8">
      <c r="A1093">
        <v>2</v>
      </c>
      <c r="B1093" t="s">
        <v>31</v>
      </c>
      <c r="C1093">
        <v>2018</v>
      </c>
      <c r="D1093" t="s">
        <v>11</v>
      </c>
      <c r="E1093" t="s">
        <v>139</v>
      </c>
      <c r="F1093" t="s">
        <v>38</v>
      </c>
      <c r="G1093" t="str">
        <f>VLOOKUP(A1093,[1]Kreise!$A$1:$C$53,3,FALSE)</f>
        <v>K032</v>
      </c>
      <c r="H1093">
        <v>2437</v>
      </c>
    </row>
    <row r="1094" spans="1:8">
      <c r="A1094">
        <v>3</v>
      </c>
      <c r="B1094" t="s">
        <v>32</v>
      </c>
      <c r="C1094">
        <v>2018</v>
      </c>
      <c r="D1094" t="s">
        <v>11</v>
      </c>
      <c r="E1094" t="s">
        <v>139</v>
      </c>
      <c r="F1094" t="s">
        <v>38</v>
      </c>
      <c r="G1094" t="str">
        <f>VLOOKUP(A1094,[1]Kreise!$A$1:$C$53,3,FALSE)</f>
        <v>K033</v>
      </c>
      <c r="H1094">
        <v>4997</v>
      </c>
    </row>
    <row r="1095" spans="1:8">
      <c r="A1095">
        <v>4</v>
      </c>
      <c r="B1095" t="s">
        <v>33</v>
      </c>
      <c r="C1095">
        <v>2018</v>
      </c>
      <c r="D1095" t="s">
        <v>11</v>
      </c>
      <c r="E1095" t="s">
        <v>139</v>
      </c>
      <c r="F1095" t="s">
        <v>38</v>
      </c>
      <c r="G1095" t="str">
        <f>VLOOKUP(A1095,[1]Kreise!$A$1:$C$53,3,FALSE)</f>
        <v>K034</v>
      </c>
      <c r="H1095">
        <v>7673</v>
      </c>
    </row>
    <row r="1096" spans="1:8">
      <c r="A1096">
        <v>0</v>
      </c>
      <c r="B1096" t="s">
        <v>34</v>
      </c>
      <c r="C1096">
        <v>2018</v>
      </c>
      <c r="D1096" t="s">
        <v>11</v>
      </c>
      <c r="E1096" t="s">
        <v>139</v>
      </c>
      <c r="F1096" t="s">
        <v>38</v>
      </c>
      <c r="G1096" t="str">
        <f>VLOOKUP(A1096,[1]Kreise!$A$1:$C$53,3,FALSE)</f>
        <v>K030</v>
      </c>
      <c r="H1096">
        <v>16509</v>
      </c>
    </row>
    <row r="1097" spans="1:8">
      <c r="A1097">
        <v>1</v>
      </c>
      <c r="B1097" t="s">
        <v>30</v>
      </c>
      <c r="C1097">
        <v>2017</v>
      </c>
      <c r="D1097" t="s">
        <v>11</v>
      </c>
      <c r="E1097" t="s">
        <v>139</v>
      </c>
      <c r="F1097" t="s">
        <v>38</v>
      </c>
      <c r="G1097" t="str">
        <f>VLOOKUP(A1097,[1]Kreise!$A$1:$C$53,3,FALSE)</f>
        <v>K031</v>
      </c>
      <c r="H1097">
        <v>1540</v>
      </c>
    </row>
    <row r="1098" spans="1:8">
      <c r="A1098">
        <v>2</v>
      </c>
      <c r="B1098" t="s">
        <v>31</v>
      </c>
      <c r="C1098">
        <v>2017</v>
      </c>
      <c r="D1098" t="s">
        <v>11</v>
      </c>
      <c r="E1098" t="s">
        <v>139</v>
      </c>
      <c r="F1098" t="s">
        <v>38</v>
      </c>
      <c r="G1098" t="str">
        <f>VLOOKUP(A1098,[1]Kreise!$A$1:$C$53,3,FALSE)</f>
        <v>K032</v>
      </c>
      <c r="H1098">
        <v>2257</v>
      </c>
    </row>
    <row r="1099" spans="1:8">
      <c r="A1099">
        <v>3</v>
      </c>
      <c r="B1099" t="s">
        <v>32</v>
      </c>
      <c r="C1099">
        <v>2017</v>
      </c>
      <c r="D1099" t="s">
        <v>11</v>
      </c>
      <c r="E1099" t="s">
        <v>139</v>
      </c>
      <c r="F1099" t="s">
        <v>38</v>
      </c>
      <c r="G1099" t="str">
        <f>VLOOKUP(A1099,[1]Kreise!$A$1:$C$53,3,FALSE)</f>
        <v>K033</v>
      </c>
      <c r="H1099">
        <v>4981</v>
      </c>
    </row>
    <row r="1100" spans="1:8">
      <c r="A1100">
        <v>4</v>
      </c>
      <c r="B1100" t="s">
        <v>33</v>
      </c>
      <c r="C1100">
        <v>2017</v>
      </c>
      <c r="D1100" t="s">
        <v>11</v>
      </c>
      <c r="E1100" t="s">
        <v>139</v>
      </c>
      <c r="F1100" t="s">
        <v>38</v>
      </c>
      <c r="G1100" t="str">
        <f>VLOOKUP(A1100,[1]Kreise!$A$1:$C$53,3,FALSE)</f>
        <v>K034</v>
      </c>
      <c r="H1100">
        <v>7439</v>
      </c>
    </row>
    <row r="1101" spans="1:8">
      <c r="A1101">
        <v>0</v>
      </c>
      <c r="B1101" t="s">
        <v>34</v>
      </c>
      <c r="C1101">
        <v>2017</v>
      </c>
      <c r="D1101" t="s">
        <v>11</v>
      </c>
      <c r="E1101" t="s">
        <v>139</v>
      </c>
      <c r="F1101" t="s">
        <v>38</v>
      </c>
      <c r="G1101" t="str">
        <f>VLOOKUP(A1101,[1]Kreise!$A$1:$C$53,3,FALSE)</f>
        <v>K030</v>
      </c>
      <c r="H1101">
        <v>16217</v>
      </c>
    </row>
    <row r="1102" spans="1:8">
      <c r="A1102">
        <v>1</v>
      </c>
      <c r="B1102" t="s">
        <v>30</v>
      </c>
      <c r="C1102">
        <v>2016</v>
      </c>
      <c r="D1102" t="s">
        <v>11</v>
      </c>
      <c r="E1102" t="s">
        <v>139</v>
      </c>
      <c r="F1102" t="s">
        <v>38</v>
      </c>
      <c r="G1102" t="str">
        <f>VLOOKUP(A1102,[1]Kreise!$A$1:$C$53,3,FALSE)</f>
        <v>K031</v>
      </c>
      <c r="H1102">
        <v>1433</v>
      </c>
    </row>
    <row r="1103" spans="1:8">
      <c r="A1103">
        <v>2</v>
      </c>
      <c r="B1103" t="s">
        <v>31</v>
      </c>
      <c r="C1103">
        <v>2016</v>
      </c>
      <c r="D1103" t="s">
        <v>11</v>
      </c>
      <c r="E1103" t="s">
        <v>139</v>
      </c>
      <c r="F1103" t="s">
        <v>38</v>
      </c>
      <c r="G1103" t="str">
        <f>VLOOKUP(A1103,[1]Kreise!$A$1:$C$53,3,FALSE)</f>
        <v>K032</v>
      </c>
      <c r="H1103">
        <v>2140</v>
      </c>
    </row>
    <row r="1104" spans="1:8">
      <c r="A1104">
        <v>3</v>
      </c>
      <c r="B1104" t="s">
        <v>32</v>
      </c>
      <c r="C1104">
        <v>2016</v>
      </c>
      <c r="D1104" t="s">
        <v>11</v>
      </c>
      <c r="E1104" t="s">
        <v>139</v>
      </c>
      <c r="F1104" t="s">
        <v>38</v>
      </c>
      <c r="G1104" t="str">
        <f>VLOOKUP(A1104,[1]Kreise!$A$1:$C$53,3,FALSE)</f>
        <v>K033</v>
      </c>
      <c r="H1104">
        <v>4872</v>
      </c>
    </row>
    <row r="1105" spans="1:8">
      <c r="A1105">
        <v>4</v>
      </c>
      <c r="B1105" t="s">
        <v>33</v>
      </c>
      <c r="C1105">
        <v>2016</v>
      </c>
      <c r="D1105" t="s">
        <v>11</v>
      </c>
      <c r="E1105" t="s">
        <v>139</v>
      </c>
      <c r="F1105" t="s">
        <v>38</v>
      </c>
      <c r="G1105" t="str">
        <f>VLOOKUP(A1105,[1]Kreise!$A$1:$C$53,3,FALSE)</f>
        <v>K034</v>
      </c>
      <c r="H1105">
        <v>6651</v>
      </c>
    </row>
    <row r="1106" spans="1:8">
      <c r="A1106">
        <v>0</v>
      </c>
      <c r="B1106" t="s">
        <v>34</v>
      </c>
      <c r="C1106">
        <v>2016</v>
      </c>
      <c r="D1106" t="s">
        <v>11</v>
      </c>
      <c r="E1106" t="s">
        <v>139</v>
      </c>
      <c r="F1106" t="s">
        <v>38</v>
      </c>
      <c r="G1106" t="str">
        <f>VLOOKUP(A1106,[1]Kreise!$A$1:$C$53,3,FALSE)</f>
        <v>K030</v>
      </c>
      <c r="H1106">
        <v>15096</v>
      </c>
    </row>
    <row r="1107" spans="1:8">
      <c r="A1107">
        <v>1</v>
      </c>
      <c r="B1107" t="s">
        <v>30</v>
      </c>
      <c r="C1107">
        <v>2015</v>
      </c>
      <c r="D1107" t="s">
        <v>11</v>
      </c>
      <c r="E1107" t="s">
        <v>139</v>
      </c>
      <c r="F1107" t="s">
        <v>38</v>
      </c>
      <c r="G1107" t="str">
        <f>VLOOKUP(A1107,[1]Kreise!$A$1:$C$53,3,FALSE)</f>
        <v>K031</v>
      </c>
      <c r="H1107">
        <v>1421</v>
      </c>
    </row>
    <row r="1108" spans="1:8">
      <c r="A1108">
        <v>2</v>
      </c>
      <c r="B1108" t="s">
        <v>31</v>
      </c>
      <c r="C1108">
        <v>2015</v>
      </c>
      <c r="D1108" t="s">
        <v>11</v>
      </c>
      <c r="E1108" t="s">
        <v>139</v>
      </c>
      <c r="F1108" t="s">
        <v>38</v>
      </c>
      <c r="G1108" t="str">
        <f>VLOOKUP(A1108,[1]Kreise!$A$1:$C$53,3,FALSE)</f>
        <v>K032</v>
      </c>
      <c r="H1108">
        <v>2152</v>
      </c>
    </row>
    <row r="1109" spans="1:8">
      <c r="A1109">
        <v>3</v>
      </c>
      <c r="B1109" t="s">
        <v>32</v>
      </c>
      <c r="C1109">
        <v>2015</v>
      </c>
      <c r="D1109" t="s">
        <v>11</v>
      </c>
      <c r="E1109" t="s">
        <v>139</v>
      </c>
      <c r="F1109" t="s">
        <v>38</v>
      </c>
      <c r="G1109" t="str">
        <f>VLOOKUP(A1109,[1]Kreise!$A$1:$C$53,3,FALSE)</f>
        <v>K033</v>
      </c>
      <c r="H1109">
        <v>4759</v>
      </c>
    </row>
    <row r="1110" spans="1:8">
      <c r="A1110">
        <v>4</v>
      </c>
      <c r="B1110" t="s">
        <v>33</v>
      </c>
      <c r="C1110">
        <v>2015</v>
      </c>
      <c r="D1110" t="s">
        <v>11</v>
      </c>
      <c r="E1110" t="s">
        <v>139</v>
      </c>
      <c r="F1110" t="s">
        <v>38</v>
      </c>
      <c r="G1110" t="str">
        <f>VLOOKUP(A1110,[1]Kreise!$A$1:$C$53,3,FALSE)</f>
        <v>K034</v>
      </c>
      <c r="H1110">
        <v>6198</v>
      </c>
    </row>
    <row r="1111" spans="1:8">
      <c r="A1111">
        <v>0</v>
      </c>
      <c r="B1111" t="s">
        <v>34</v>
      </c>
      <c r="C1111">
        <v>2015</v>
      </c>
      <c r="D1111" t="s">
        <v>11</v>
      </c>
      <c r="E1111" t="s">
        <v>139</v>
      </c>
      <c r="F1111" t="s">
        <v>38</v>
      </c>
      <c r="G1111" t="str">
        <f>VLOOKUP(A1111,[1]Kreise!$A$1:$C$53,3,FALSE)</f>
        <v>K030</v>
      </c>
      <c r="H1111">
        <v>14530</v>
      </c>
    </row>
    <row r="1112" spans="1:8">
      <c r="A1112">
        <v>1</v>
      </c>
      <c r="B1112" t="s">
        <v>145</v>
      </c>
      <c r="C1112">
        <v>2014</v>
      </c>
      <c r="D1112" t="s">
        <v>11</v>
      </c>
      <c r="E1112" t="s">
        <v>139</v>
      </c>
      <c r="F1112" t="s">
        <v>38</v>
      </c>
      <c r="G1112" t="str">
        <f>VLOOKUP(A1112,[1]Kreise!$A$1:$C$53,3,FALSE)</f>
        <v>K031</v>
      </c>
      <c r="H1112">
        <v>1011</v>
      </c>
    </row>
    <row r="1113" spans="1:8">
      <c r="A1113">
        <v>2</v>
      </c>
      <c r="B1113" t="s">
        <v>146</v>
      </c>
      <c r="C1113">
        <v>2014</v>
      </c>
      <c r="D1113" t="s">
        <v>11</v>
      </c>
      <c r="E1113" t="s">
        <v>139</v>
      </c>
      <c r="F1113" t="s">
        <v>38</v>
      </c>
      <c r="G1113" t="str">
        <f>VLOOKUP(A1113,[1]Kreise!$A$1:$C$53,3,FALSE)</f>
        <v>K032</v>
      </c>
      <c r="H1113">
        <v>1507</v>
      </c>
    </row>
    <row r="1114" spans="1:8">
      <c r="A1114">
        <v>3</v>
      </c>
      <c r="B1114" t="s">
        <v>147</v>
      </c>
      <c r="C1114">
        <v>2014</v>
      </c>
      <c r="D1114" t="s">
        <v>11</v>
      </c>
      <c r="E1114" t="s">
        <v>139</v>
      </c>
      <c r="F1114" t="s">
        <v>38</v>
      </c>
      <c r="G1114" t="str">
        <f>VLOOKUP(A1114,[1]Kreise!$A$1:$C$53,3,FALSE)</f>
        <v>K033</v>
      </c>
      <c r="H1114">
        <v>2990</v>
      </c>
    </row>
    <row r="1115" spans="1:8">
      <c r="A1115">
        <v>4</v>
      </c>
      <c r="B1115" t="s">
        <v>148</v>
      </c>
      <c r="C1115">
        <v>2014</v>
      </c>
      <c r="D1115" t="s">
        <v>11</v>
      </c>
      <c r="E1115" t="s">
        <v>139</v>
      </c>
      <c r="F1115" t="s">
        <v>38</v>
      </c>
      <c r="G1115" t="str">
        <f>VLOOKUP(A1115,[1]Kreise!$A$1:$C$53,3,FALSE)</f>
        <v>K034</v>
      </c>
      <c r="H1115">
        <v>4094</v>
      </c>
    </row>
    <row r="1116" spans="1:8">
      <c r="A1116">
        <v>0</v>
      </c>
      <c r="B1116" t="s">
        <v>34</v>
      </c>
      <c r="C1116">
        <v>2014</v>
      </c>
      <c r="D1116" t="s">
        <v>11</v>
      </c>
      <c r="E1116" t="s">
        <v>139</v>
      </c>
      <c r="F1116" t="s">
        <v>38</v>
      </c>
      <c r="G1116" t="str">
        <f>VLOOKUP(A1116,[1]Kreise!$A$1:$C$53,3,FALSE)</f>
        <v>K030</v>
      </c>
      <c r="H1116">
        <v>9602</v>
      </c>
    </row>
    <row r="1117" spans="1:8">
      <c r="A1117">
        <v>1</v>
      </c>
      <c r="B1117" t="s">
        <v>30</v>
      </c>
      <c r="C1117">
        <v>2013</v>
      </c>
      <c r="D1117" t="s">
        <v>11</v>
      </c>
      <c r="E1117" t="s">
        <v>139</v>
      </c>
      <c r="F1117" t="s">
        <v>38</v>
      </c>
      <c r="G1117" t="str">
        <f>VLOOKUP(A1117,[1]Kreise!$A$1:$C$53,3,FALSE)</f>
        <v>K031</v>
      </c>
      <c r="H1117" t="s">
        <v>35</v>
      </c>
    </row>
    <row r="1118" spans="1:8">
      <c r="A1118">
        <v>2</v>
      </c>
      <c r="B1118" t="s">
        <v>31</v>
      </c>
      <c r="C1118">
        <v>2013</v>
      </c>
      <c r="D1118" t="s">
        <v>11</v>
      </c>
      <c r="E1118" t="s">
        <v>139</v>
      </c>
      <c r="F1118" t="s">
        <v>38</v>
      </c>
      <c r="G1118" t="str">
        <f>VLOOKUP(A1118,[1]Kreise!$A$1:$C$53,3,FALSE)</f>
        <v>K032</v>
      </c>
      <c r="H1118" t="s">
        <v>35</v>
      </c>
    </row>
    <row r="1119" spans="1:8">
      <c r="A1119">
        <v>3</v>
      </c>
      <c r="B1119" t="s">
        <v>32</v>
      </c>
      <c r="C1119">
        <v>2013</v>
      </c>
      <c r="D1119" t="s">
        <v>11</v>
      </c>
      <c r="E1119" t="s">
        <v>139</v>
      </c>
      <c r="F1119" t="s">
        <v>38</v>
      </c>
      <c r="G1119" t="str">
        <f>VLOOKUP(A1119,[1]Kreise!$A$1:$C$53,3,FALSE)</f>
        <v>K033</v>
      </c>
      <c r="H1119" t="s">
        <v>35</v>
      </c>
    </row>
    <row r="1120" spans="1:8">
      <c r="A1120">
        <v>4</v>
      </c>
      <c r="B1120" t="s">
        <v>33</v>
      </c>
      <c r="C1120">
        <v>2013</v>
      </c>
      <c r="D1120" t="s">
        <v>11</v>
      </c>
      <c r="E1120" t="s">
        <v>139</v>
      </c>
      <c r="F1120" t="s">
        <v>38</v>
      </c>
      <c r="G1120" t="str">
        <f>VLOOKUP(A1120,[1]Kreise!$A$1:$C$53,3,FALSE)</f>
        <v>K034</v>
      </c>
      <c r="H1120" t="s">
        <v>35</v>
      </c>
    </row>
    <row r="1121" spans="1:8">
      <c r="A1121">
        <v>0</v>
      </c>
      <c r="B1121" t="s">
        <v>34</v>
      </c>
      <c r="C1121">
        <v>2013</v>
      </c>
      <c r="D1121" t="s">
        <v>11</v>
      </c>
      <c r="E1121" t="s">
        <v>139</v>
      </c>
      <c r="F1121" t="s">
        <v>38</v>
      </c>
      <c r="G1121" t="str">
        <f>VLOOKUP(A1121,[1]Kreise!$A$1:$C$53,3,FALSE)</f>
        <v>K030</v>
      </c>
      <c r="H1121" t="s">
        <v>35</v>
      </c>
    </row>
    <row r="1122" spans="1:8">
      <c r="A1122">
        <v>1</v>
      </c>
      <c r="B1122" t="s">
        <v>145</v>
      </c>
      <c r="C1122">
        <v>2012</v>
      </c>
      <c r="D1122" t="s">
        <v>11</v>
      </c>
      <c r="E1122" t="s">
        <v>139</v>
      </c>
      <c r="F1122" t="s">
        <v>38</v>
      </c>
      <c r="G1122" t="str">
        <f>VLOOKUP(A1122,[1]Kreise!$A$1:$C$53,3,FALSE)</f>
        <v>K031</v>
      </c>
      <c r="H1122" t="s">
        <v>35</v>
      </c>
    </row>
    <row r="1123" spans="1:8">
      <c r="A1123">
        <v>2</v>
      </c>
      <c r="B1123" t="s">
        <v>146</v>
      </c>
      <c r="C1123">
        <v>2012</v>
      </c>
      <c r="D1123" t="s">
        <v>11</v>
      </c>
      <c r="E1123" t="s">
        <v>139</v>
      </c>
      <c r="F1123" t="s">
        <v>38</v>
      </c>
      <c r="G1123" t="str">
        <f>VLOOKUP(A1123,[1]Kreise!$A$1:$C$53,3,FALSE)</f>
        <v>K032</v>
      </c>
      <c r="H1123" t="s">
        <v>35</v>
      </c>
    </row>
    <row r="1124" spans="1:8">
      <c r="A1124">
        <v>3</v>
      </c>
      <c r="B1124" t="s">
        <v>147</v>
      </c>
      <c r="C1124">
        <v>2012</v>
      </c>
      <c r="D1124" t="s">
        <v>11</v>
      </c>
      <c r="E1124" t="s">
        <v>139</v>
      </c>
      <c r="F1124" t="s">
        <v>38</v>
      </c>
      <c r="G1124" t="str">
        <f>VLOOKUP(A1124,[1]Kreise!$A$1:$C$53,3,FALSE)</f>
        <v>K033</v>
      </c>
      <c r="H1124" t="s">
        <v>35</v>
      </c>
    </row>
    <row r="1125" spans="1:8">
      <c r="A1125">
        <v>4</v>
      </c>
      <c r="B1125" t="s">
        <v>148</v>
      </c>
      <c r="C1125">
        <v>2012</v>
      </c>
      <c r="D1125" t="s">
        <v>11</v>
      </c>
      <c r="E1125" t="s">
        <v>139</v>
      </c>
      <c r="F1125" t="s">
        <v>38</v>
      </c>
      <c r="G1125" t="str">
        <f>VLOOKUP(A1125,[1]Kreise!$A$1:$C$53,3,FALSE)</f>
        <v>K034</v>
      </c>
      <c r="H1125" t="s">
        <v>35</v>
      </c>
    </row>
    <row r="1126" spans="1:8">
      <c r="A1126">
        <v>0</v>
      </c>
      <c r="B1126" t="s">
        <v>34</v>
      </c>
      <c r="C1126">
        <v>2012</v>
      </c>
      <c r="D1126" t="s">
        <v>11</v>
      </c>
      <c r="E1126" t="s">
        <v>139</v>
      </c>
      <c r="F1126" t="s">
        <v>38</v>
      </c>
      <c r="G1126" t="str">
        <f>VLOOKUP(A1126,[1]Kreise!$A$1:$C$53,3,FALSE)</f>
        <v>K030</v>
      </c>
      <c r="H1126" t="s">
        <v>35</v>
      </c>
    </row>
    <row r="1127" spans="1:8">
      <c r="A1127">
        <v>1</v>
      </c>
      <c r="B1127" t="s">
        <v>30</v>
      </c>
      <c r="C1127">
        <v>2011</v>
      </c>
      <c r="D1127" t="s">
        <v>11</v>
      </c>
      <c r="E1127" t="s">
        <v>139</v>
      </c>
      <c r="F1127" t="s">
        <v>38</v>
      </c>
      <c r="G1127" t="str">
        <f>VLOOKUP(A1127,[1]Kreise!$A$1:$C$53,3,FALSE)</f>
        <v>K031</v>
      </c>
      <c r="H1127" t="s">
        <v>35</v>
      </c>
    </row>
    <row r="1128" spans="1:8">
      <c r="A1128">
        <v>2</v>
      </c>
      <c r="B1128" t="s">
        <v>31</v>
      </c>
      <c r="C1128">
        <v>2011</v>
      </c>
      <c r="D1128" t="s">
        <v>11</v>
      </c>
      <c r="E1128" t="s">
        <v>139</v>
      </c>
      <c r="F1128" t="s">
        <v>38</v>
      </c>
      <c r="G1128" t="str">
        <f>VLOOKUP(A1128,[1]Kreise!$A$1:$C$53,3,FALSE)</f>
        <v>K032</v>
      </c>
      <c r="H1128" t="s">
        <v>35</v>
      </c>
    </row>
    <row r="1129" spans="1:8">
      <c r="A1129">
        <v>3</v>
      </c>
      <c r="B1129" t="s">
        <v>32</v>
      </c>
      <c r="C1129">
        <v>2011</v>
      </c>
      <c r="D1129" t="s">
        <v>11</v>
      </c>
      <c r="E1129" t="s">
        <v>139</v>
      </c>
      <c r="F1129" t="s">
        <v>38</v>
      </c>
      <c r="G1129" t="str">
        <f>VLOOKUP(A1129,[1]Kreise!$A$1:$C$53,3,FALSE)</f>
        <v>K033</v>
      </c>
      <c r="H1129" t="s">
        <v>35</v>
      </c>
    </row>
    <row r="1130" spans="1:8">
      <c r="A1130">
        <v>4</v>
      </c>
      <c r="B1130" t="s">
        <v>33</v>
      </c>
      <c r="C1130">
        <v>2011</v>
      </c>
      <c r="D1130" t="s">
        <v>11</v>
      </c>
      <c r="E1130" t="s">
        <v>139</v>
      </c>
      <c r="F1130" t="s">
        <v>38</v>
      </c>
      <c r="G1130" t="str">
        <f>VLOOKUP(A1130,[1]Kreise!$A$1:$C$53,3,FALSE)</f>
        <v>K034</v>
      </c>
      <c r="H1130" t="s">
        <v>35</v>
      </c>
    </row>
    <row r="1131" spans="1:8">
      <c r="A1131">
        <v>0</v>
      </c>
      <c r="B1131" t="s">
        <v>34</v>
      </c>
      <c r="C1131">
        <v>2011</v>
      </c>
      <c r="D1131" t="s">
        <v>11</v>
      </c>
      <c r="E1131" t="s">
        <v>139</v>
      </c>
      <c r="F1131" t="s">
        <v>38</v>
      </c>
      <c r="G1131" t="str">
        <f>VLOOKUP(A1131,[1]Kreise!$A$1:$C$53,3,FALSE)</f>
        <v>K030</v>
      </c>
      <c r="H1131" t="s">
        <v>35</v>
      </c>
    </row>
    <row r="1132" spans="1:8">
      <c r="A1132">
        <v>1</v>
      </c>
      <c r="B1132" t="s">
        <v>145</v>
      </c>
      <c r="C1132">
        <v>2010</v>
      </c>
      <c r="D1132" t="s">
        <v>11</v>
      </c>
      <c r="E1132" t="s">
        <v>139</v>
      </c>
      <c r="F1132" t="s">
        <v>38</v>
      </c>
      <c r="G1132" t="str">
        <f>VLOOKUP(A1132,[1]Kreise!$A$1:$C$53,3,FALSE)</f>
        <v>K031</v>
      </c>
      <c r="H1132" t="s">
        <v>35</v>
      </c>
    </row>
    <row r="1133" spans="1:8">
      <c r="A1133">
        <v>2</v>
      </c>
      <c r="B1133" t="s">
        <v>146</v>
      </c>
      <c r="C1133">
        <v>2010</v>
      </c>
      <c r="D1133" t="s">
        <v>11</v>
      </c>
      <c r="E1133" t="s">
        <v>139</v>
      </c>
      <c r="F1133" t="s">
        <v>38</v>
      </c>
      <c r="G1133" t="str">
        <f>VLOOKUP(A1133,[1]Kreise!$A$1:$C$53,3,FALSE)</f>
        <v>K032</v>
      </c>
      <c r="H1133" t="s">
        <v>35</v>
      </c>
    </row>
    <row r="1134" spans="1:8">
      <c r="A1134">
        <v>3</v>
      </c>
      <c r="B1134" t="s">
        <v>147</v>
      </c>
      <c r="C1134">
        <v>2010</v>
      </c>
      <c r="D1134" t="s">
        <v>11</v>
      </c>
      <c r="E1134" t="s">
        <v>139</v>
      </c>
      <c r="F1134" t="s">
        <v>38</v>
      </c>
      <c r="G1134" t="str">
        <f>VLOOKUP(A1134,[1]Kreise!$A$1:$C$53,3,FALSE)</f>
        <v>K033</v>
      </c>
      <c r="H1134" t="s">
        <v>35</v>
      </c>
    </row>
    <row r="1135" spans="1:8">
      <c r="A1135">
        <v>4</v>
      </c>
      <c r="B1135" t="s">
        <v>148</v>
      </c>
      <c r="C1135">
        <v>2010</v>
      </c>
      <c r="D1135" t="s">
        <v>11</v>
      </c>
      <c r="E1135" t="s">
        <v>139</v>
      </c>
      <c r="F1135" t="s">
        <v>38</v>
      </c>
      <c r="G1135" t="str">
        <f>VLOOKUP(A1135,[1]Kreise!$A$1:$C$53,3,FALSE)</f>
        <v>K034</v>
      </c>
      <c r="H1135" t="s">
        <v>35</v>
      </c>
    </row>
    <row r="1136" spans="1:8">
      <c r="A1136">
        <v>0</v>
      </c>
      <c r="B1136" t="s">
        <v>34</v>
      </c>
      <c r="C1136">
        <v>2010</v>
      </c>
      <c r="D1136" t="s">
        <v>11</v>
      </c>
      <c r="E1136" t="s">
        <v>139</v>
      </c>
      <c r="F1136" t="s">
        <v>38</v>
      </c>
      <c r="G1136" t="str">
        <f>VLOOKUP(A1136,[1]Kreise!$A$1:$C$53,3,FALSE)</f>
        <v>K030</v>
      </c>
      <c r="H1136" t="s">
        <v>35</v>
      </c>
    </row>
    <row r="1137" spans="1:8">
      <c r="A1137">
        <v>1</v>
      </c>
      <c r="B1137" t="s">
        <v>145</v>
      </c>
      <c r="C1137">
        <v>2005</v>
      </c>
      <c r="D1137" t="s">
        <v>11</v>
      </c>
      <c r="E1137" t="s">
        <v>139</v>
      </c>
      <c r="F1137" t="s">
        <v>38</v>
      </c>
      <c r="G1137" t="str">
        <f>VLOOKUP(A1137,[1]Kreise!$A$1:$C$53,3,FALSE)</f>
        <v>K031</v>
      </c>
      <c r="H1137" t="s">
        <v>35</v>
      </c>
    </row>
    <row r="1138" spans="1:8">
      <c r="A1138">
        <v>2</v>
      </c>
      <c r="B1138" t="s">
        <v>146</v>
      </c>
      <c r="C1138">
        <v>2005</v>
      </c>
      <c r="D1138" t="s">
        <v>11</v>
      </c>
      <c r="E1138" t="s">
        <v>139</v>
      </c>
      <c r="F1138" t="s">
        <v>38</v>
      </c>
      <c r="G1138" t="str">
        <f>VLOOKUP(A1138,[1]Kreise!$A$1:$C$53,3,FALSE)</f>
        <v>K032</v>
      </c>
      <c r="H1138" t="s">
        <v>35</v>
      </c>
    </row>
    <row r="1139" spans="1:8">
      <c r="A1139">
        <v>3</v>
      </c>
      <c r="B1139" t="s">
        <v>147</v>
      </c>
      <c r="C1139">
        <v>2005</v>
      </c>
      <c r="D1139" t="s">
        <v>11</v>
      </c>
      <c r="E1139" t="s">
        <v>139</v>
      </c>
      <c r="F1139" t="s">
        <v>38</v>
      </c>
      <c r="G1139" t="str">
        <f>VLOOKUP(A1139,[1]Kreise!$A$1:$C$53,3,FALSE)</f>
        <v>K033</v>
      </c>
      <c r="H1139" t="s">
        <v>35</v>
      </c>
    </row>
    <row r="1140" spans="1:8">
      <c r="A1140">
        <v>4</v>
      </c>
      <c r="B1140" t="s">
        <v>148</v>
      </c>
      <c r="C1140">
        <v>2005</v>
      </c>
      <c r="D1140" t="s">
        <v>11</v>
      </c>
      <c r="E1140" t="s">
        <v>139</v>
      </c>
      <c r="F1140" t="s">
        <v>38</v>
      </c>
      <c r="G1140" t="str">
        <f>VLOOKUP(A1140,[1]Kreise!$A$1:$C$53,3,FALSE)</f>
        <v>K034</v>
      </c>
      <c r="H1140" t="s">
        <v>35</v>
      </c>
    </row>
    <row r="1141" spans="1:8">
      <c r="A1141">
        <v>0</v>
      </c>
      <c r="B1141" t="s">
        <v>34</v>
      </c>
      <c r="C1141">
        <v>2005</v>
      </c>
      <c r="D1141" t="s">
        <v>11</v>
      </c>
      <c r="E1141" t="s">
        <v>139</v>
      </c>
      <c r="F1141" t="s">
        <v>38</v>
      </c>
      <c r="G1141" t="str">
        <f>VLOOKUP(A1141,[1]Kreise!$A$1:$C$53,3,FALSE)</f>
        <v>K030</v>
      </c>
      <c r="H1141" t="s">
        <v>35</v>
      </c>
    </row>
    <row r="1142" spans="1:8">
      <c r="A1142">
        <v>1</v>
      </c>
      <c r="B1142" t="s">
        <v>30</v>
      </c>
      <c r="C1142">
        <v>2020</v>
      </c>
      <c r="D1142" t="s">
        <v>12</v>
      </c>
      <c r="E1142" t="s">
        <v>139</v>
      </c>
      <c r="F1142" t="s">
        <v>38</v>
      </c>
      <c r="G1142" t="str">
        <f>VLOOKUP(A1142,[1]Kreise!$A$1:$C$53,3,FALSE)</f>
        <v>K031</v>
      </c>
      <c r="H1142">
        <v>208</v>
      </c>
    </row>
    <row r="1143" spans="1:8">
      <c r="A1143">
        <v>2</v>
      </c>
      <c r="B1143" t="s">
        <v>31</v>
      </c>
      <c r="C1143">
        <v>2020</v>
      </c>
      <c r="D1143" t="s">
        <v>12</v>
      </c>
      <c r="E1143" t="s">
        <v>139</v>
      </c>
      <c r="F1143" t="s">
        <v>38</v>
      </c>
      <c r="G1143" t="str">
        <f>VLOOKUP(A1143,[1]Kreise!$A$1:$C$53,3,FALSE)</f>
        <v>K032</v>
      </c>
      <c r="H1143">
        <v>589</v>
      </c>
    </row>
    <row r="1144" spans="1:8">
      <c r="A1144">
        <v>3</v>
      </c>
      <c r="B1144" t="s">
        <v>32</v>
      </c>
      <c r="C1144">
        <v>2020</v>
      </c>
      <c r="D1144" t="s">
        <v>12</v>
      </c>
      <c r="E1144" t="s">
        <v>139</v>
      </c>
      <c r="F1144" t="s">
        <v>38</v>
      </c>
      <c r="G1144" t="str">
        <f>VLOOKUP(A1144,[1]Kreise!$A$1:$C$53,3,FALSE)</f>
        <v>K033</v>
      </c>
      <c r="H1144">
        <v>619</v>
      </c>
    </row>
    <row r="1145" spans="1:8">
      <c r="A1145">
        <v>4</v>
      </c>
      <c r="B1145" t="s">
        <v>33</v>
      </c>
      <c r="C1145">
        <v>2020</v>
      </c>
      <c r="D1145" t="s">
        <v>12</v>
      </c>
      <c r="E1145" t="s">
        <v>139</v>
      </c>
      <c r="F1145" t="s">
        <v>38</v>
      </c>
      <c r="G1145" t="str">
        <f>VLOOKUP(A1145,[1]Kreise!$A$1:$C$53,3,FALSE)</f>
        <v>K034</v>
      </c>
      <c r="H1145">
        <v>1368</v>
      </c>
    </row>
    <row r="1146" spans="1:8">
      <c r="A1146">
        <v>0</v>
      </c>
      <c r="B1146" t="s">
        <v>34</v>
      </c>
      <c r="C1146">
        <v>2020</v>
      </c>
      <c r="D1146" t="s">
        <v>12</v>
      </c>
      <c r="E1146" t="s">
        <v>139</v>
      </c>
      <c r="F1146" t="s">
        <v>38</v>
      </c>
      <c r="G1146" t="str">
        <f>VLOOKUP(A1146,[1]Kreise!$A$1:$C$53,3,FALSE)</f>
        <v>K030</v>
      </c>
      <c r="H1146">
        <v>2784</v>
      </c>
    </row>
    <row r="1147" spans="1:8">
      <c r="A1147">
        <v>1</v>
      </c>
      <c r="B1147" t="s">
        <v>30</v>
      </c>
      <c r="C1147">
        <v>2019</v>
      </c>
      <c r="D1147" t="s">
        <v>12</v>
      </c>
      <c r="E1147" t="s">
        <v>139</v>
      </c>
      <c r="F1147" t="s">
        <v>38</v>
      </c>
      <c r="G1147" t="str">
        <f>VLOOKUP(A1147,[1]Kreise!$A$1:$C$53,3,FALSE)</f>
        <v>K031</v>
      </c>
      <c r="H1147">
        <v>195</v>
      </c>
    </row>
    <row r="1148" spans="1:8">
      <c r="A1148">
        <v>2</v>
      </c>
      <c r="B1148" t="s">
        <v>31</v>
      </c>
      <c r="C1148">
        <v>2019</v>
      </c>
      <c r="D1148" t="s">
        <v>12</v>
      </c>
      <c r="E1148" t="s">
        <v>139</v>
      </c>
      <c r="F1148" t="s">
        <v>38</v>
      </c>
      <c r="G1148" t="str">
        <f>VLOOKUP(A1148,[1]Kreise!$A$1:$C$53,3,FALSE)</f>
        <v>K032</v>
      </c>
      <c r="H1148">
        <v>588</v>
      </c>
    </row>
    <row r="1149" spans="1:8">
      <c r="A1149">
        <v>3</v>
      </c>
      <c r="B1149" t="s">
        <v>32</v>
      </c>
      <c r="C1149">
        <v>2019</v>
      </c>
      <c r="D1149" t="s">
        <v>12</v>
      </c>
      <c r="E1149" t="s">
        <v>139</v>
      </c>
      <c r="F1149" t="s">
        <v>38</v>
      </c>
      <c r="G1149" t="str">
        <f>VLOOKUP(A1149,[1]Kreise!$A$1:$C$53,3,FALSE)</f>
        <v>K033</v>
      </c>
      <c r="H1149">
        <v>566</v>
      </c>
    </row>
    <row r="1150" spans="1:8">
      <c r="A1150">
        <v>4</v>
      </c>
      <c r="B1150" t="s">
        <v>33</v>
      </c>
      <c r="C1150">
        <v>2019</v>
      </c>
      <c r="D1150" t="s">
        <v>12</v>
      </c>
      <c r="E1150" t="s">
        <v>139</v>
      </c>
      <c r="F1150" t="s">
        <v>38</v>
      </c>
      <c r="G1150" t="str">
        <f>VLOOKUP(A1150,[1]Kreise!$A$1:$C$53,3,FALSE)</f>
        <v>K034</v>
      </c>
      <c r="H1150">
        <v>1280</v>
      </c>
    </row>
    <row r="1151" spans="1:8">
      <c r="A1151">
        <v>0</v>
      </c>
      <c r="B1151" t="s">
        <v>34</v>
      </c>
      <c r="C1151">
        <v>2019</v>
      </c>
      <c r="D1151" t="s">
        <v>12</v>
      </c>
      <c r="E1151" t="s">
        <v>139</v>
      </c>
      <c r="F1151" t="s">
        <v>38</v>
      </c>
      <c r="G1151" t="str">
        <f>VLOOKUP(A1151,[1]Kreise!$A$1:$C$53,3,FALSE)</f>
        <v>K030</v>
      </c>
      <c r="H1151">
        <v>2629</v>
      </c>
    </row>
    <row r="1152" spans="1:8">
      <c r="A1152">
        <v>1</v>
      </c>
      <c r="B1152" t="s">
        <v>30</v>
      </c>
      <c r="C1152">
        <v>2018</v>
      </c>
      <c r="D1152" t="s">
        <v>12</v>
      </c>
      <c r="E1152" t="s">
        <v>139</v>
      </c>
      <c r="F1152" t="s">
        <v>38</v>
      </c>
      <c r="G1152" t="str">
        <f>VLOOKUP(A1152,[1]Kreise!$A$1:$C$53,3,FALSE)</f>
        <v>K031</v>
      </c>
      <c r="H1152">
        <v>198</v>
      </c>
    </row>
    <row r="1153" spans="1:8">
      <c r="A1153">
        <v>2</v>
      </c>
      <c r="B1153" t="s">
        <v>31</v>
      </c>
      <c r="C1153">
        <v>2018</v>
      </c>
      <c r="D1153" t="s">
        <v>12</v>
      </c>
      <c r="E1153" t="s">
        <v>139</v>
      </c>
      <c r="F1153" t="s">
        <v>38</v>
      </c>
      <c r="G1153" t="str">
        <f>VLOOKUP(A1153,[1]Kreise!$A$1:$C$53,3,FALSE)</f>
        <v>K032</v>
      </c>
      <c r="H1153">
        <v>406</v>
      </c>
    </row>
    <row r="1154" spans="1:8">
      <c r="A1154">
        <v>3</v>
      </c>
      <c r="B1154" t="s">
        <v>32</v>
      </c>
      <c r="C1154">
        <v>2018</v>
      </c>
      <c r="D1154" t="s">
        <v>12</v>
      </c>
      <c r="E1154" t="s">
        <v>139</v>
      </c>
      <c r="F1154" t="s">
        <v>38</v>
      </c>
      <c r="G1154" t="str">
        <f>VLOOKUP(A1154,[1]Kreise!$A$1:$C$53,3,FALSE)</f>
        <v>K033</v>
      </c>
      <c r="H1154">
        <v>546</v>
      </c>
    </row>
    <row r="1155" spans="1:8">
      <c r="A1155">
        <v>4</v>
      </c>
      <c r="B1155" t="s">
        <v>33</v>
      </c>
      <c r="C1155">
        <v>2018</v>
      </c>
      <c r="D1155" t="s">
        <v>12</v>
      </c>
      <c r="E1155" t="s">
        <v>139</v>
      </c>
      <c r="F1155" t="s">
        <v>38</v>
      </c>
      <c r="G1155" t="str">
        <f>VLOOKUP(A1155,[1]Kreise!$A$1:$C$53,3,FALSE)</f>
        <v>K034</v>
      </c>
      <c r="H1155">
        <v>1064</v>
      </c>
    </row>
    <row r="1156" spans="1:8">
      <c r="A1156">
        <v>0</v>
      </c>
      <c r="B1156" t="s">
        <v>34</v>
      </c>
      <c r="C1156">
        <v>2018</v>
      </c>
      <c r="D1156" t="s">
        <v>12</v>
      </c>
      <c r="E1156" t="s">
        <v>139</v>
      </c>
      <c r="F1156" t="s">
        <v>38</v>
      </c>
      <c r="G1156" t="str">
        <f>VLOOKUP(A1156,[1]Kreise!$A$1:$C$53,3,FALSE)</f>
        <v>K030</v>
      </c>
      <c r="H1156">
        <v>2214</v>
      </c>
    </row>
    <row r="1157" spans="1:8">
      <c r="A1157">
        <v>1</v>
      </c>
      <c r="B1157" t="s">
        <v>30</v>
      </c>
      <c r="C1157">
        <v>2017</v>
      </c>
      <c r="D1157" t="s">
        <v>12</v>
      </c>
      <c r="E1157" t="s">
        <v>139</v>
      </c>
      <c r="F1157" t="s">
        <v>38</v>
      </c>
      <c r="G1157" t="str">
        <f>VLOOKUP(A1157,[1]Kreise!$A$1:$C$53,3,FALSE)</f>
        <v>K031</v>
      </c>
      <c r="H1157">
        <v>170</v>
      </c>
    </row>
    <row r="1158" spans="1:8">
      <c r="A1158">
        <v>2</v>
      </c>
      <c r="B1158" t="s">
        <v>31</v>
      </c>
      <c r="C1158">
        <v>2017</v>
      </c>
      <c r="D1158" t="s">
        <v>12</v>
      </c>
      <c r="E1158" t="s">
        <v>139</v>
      </c>
      <c r="F1158" t="s">
        <v>38</v>
      </c>
      <c r="G1158" t="str">
        <f>VLOOKUP(A1158,[1]Kreise!$A$1:$C$53,3,FALSE)</f>
        <v>K032</v>
      </c>
      <c r="H1158">
        <v>379</v>
      </c>
    </row>
    <row r="1159" spans="1:8">
      <c r="A1159">
        <v>3</v>
      </c>
      <c r="B1159" t="s">
        <v>32</v>
      </c>
      <c r="C1159">
        <v>2017</v>
      </c>
      <c r="D1159" t="s">
        <v>12</v>
      </c>
      <c r="E1159" t="s">
        <v>139</v>
      </c>
      <c r="F1159" t="s">
        <v>38</v>
      </c>
      <c r="G1159" t="str">
        <f>VLOOKUP(A1159,[1]Kreise!$A$1:$C$53,3,FALSE)</f>
        <v>K033</v>
      </c>
      <c r="H1159">
        <v>453</v>
      </c>
    </row>
    <row r="1160" spans="1:8">
      <c r="A1160">
        <v>4</v>
      </c>
      <c r="B1160" t="s">
        <v>33</v>
      </c>
      <c r="C1160">
        <v>2017</v>
      </c>
      <c r="D1160" t="s">
        <v>12</v>
      </c>
      <c r="E1160" t="s">
        <v>139</v>
      </c>
      <c r="F1160" t="s">
        <v>38</v>
      </c>
      <c r="G1160" t="str">
        <f>VLOOKUP(A1160,[1]Kreise!$A$1:$C$53,3,FALSE)</f>
        <v>K034</v>
      </c>
      <c r="H1160">
        <v>956</v>
      </c>
    </row>
    <row r="1161" spans="1:8">
      <c r="A1161">
        <v>0</v>
      </c>
      <c r="B1161" t="s">
        <v>34</v>
      </c>
      <c r="C1161">
        <v>2017</v>
      </c>
      <c r="D1161" t="s">
        <v>12</v>
      </c>
      <c r="E1161" t="s">
        <v>139</v>
      </c>
      <c r="F1161" t="s">
        <v>38</v>
      </c>
      <c r="G1161" t="str">
        <f>VLOOKUP(A1161,[1]Kreise!$A$1:$C$53,3,FALSE)</f>
        <v>K030</v>
      </c>
      <c r="H1161">
        <v>1958</v>
      </c>
    </row>
    <row r="1162" spans="1:8">
      <c r="A1162">
        <v>1</v>
      </c>
      <c r="B1162" t="s">
        <v>30</v>
      </c>
      <c r="C1162">
        <v>2016</v>
      </c>
      <c r="D1162" t="s">
        <v>12</v>
      </c>
      <c r="E1162" t="s">
        <v>139</v>
      </c>
      <c r="F1162" t="s">
        <v>38</v>
      </c>
      <c r="G1162" t="str">
        <f>VLOOKUP(A1162,[1]Kreise!$A$1:$C$53,3,FALSE)</f>
        <v>K031</v>
      </c>
      <c r="H1162">
        <v>130</v>
      </c>
    </row>
    <row r="1163" spans="1:8">
      <c r="A1163">
        <v>2</v>
      </c>
      <c r="B1163" t="s">
        <v>31</v>
      </c>
      <c r="C1163">
        <v>2016</v>
      </c>
      <c r="D1163" t="s">
        <v>12</v>
      </c>
      <c r="E1163" t="s">
        <v>139</v>
      </c>
      <c r="F1163" t="s">
        <v>38</v>
      </c>
      <c r="G1163" t="str">
        <f>VLOOKUP(A1163,[1]Kreise!$A$1:$C$53,3,FALSE)</f>
        <v>K032</v>
      </c>
      <c r="H1163">
        <v>254</v>
      </c>
    </row>
    <row r="1164" spans="1:8">
      <c r="A1164">
        <v>3</v>
      </c>
      <c r="B1164" t="s">
        <v>32</v>
      </c>
      <c r="C1164">
        <v>2016</v>
      </c>
      <c r="D1164" t="s">
        <v>12</v>
      </c>
      <c r="E1164" t="s">
        <v>139</v>
      </c>
      <c r="F1164" t="s">
        <v>38</v>
      </c>
      <c r="G1164" t="str">
        <f>VLOOKUP(A1164,[1]Kreise!$A$1:$C$53,3,FALSE)</f>
        <v>K033</v>
      </c>
      <c r="H1164">
        <v>356</v>
      </c>
    </row>
    <row r="1165" spans="1:8">
      <c r="A1165">
        <v>4</v>
      </c>
      <c r="B1165" t="s">
        <v>33</v>
      </c>
      <c r="C1165">
        <v>2016</v>
      </c>
      <c r="D1165" t="s">
        <v>12</v>
      </c>
      <c r="E1165" t="s">
        <v>139</v>
      </c>
      <c r="F1165" t="s">
        <v>38</v>
      </c>
      <c r="G1165" t="str">
        <f>VLOOKUP(A1165,[1]Kreise!$A$1:$C$53,3,FALSE)</f>
        <v>K034</v>
      </c>
      <c r="H1165">
        <v>675</v>
      </c>
    </row>
    <row r="1166" spans="1:8">
      <c r="A1166">
        <v>0</v>
      </c>
      <c r="B1166" t="s">
        <v>34</v>
      </c>
      <c r="C1166">
        <v>2016</v>
      </c>
      <c r="D1166" t="s">
        <v>12</v>
      </c>
      <c r="E1166" t="s">
        <v>139</v>
      </c>
      <c r="F1166" t="s">
        <v>38</v>
      </c>
      <c r="G1166" t="str">
        <f>VLOOKUP(A1166,[1]Kreise!$A$1:$C$53,3,FALSE)</f>
        <v>K030</v>
      </c>
      <c r="H1166">
        <v>1415</v>
      </c>
    </row>
    <row r="1167" spans="1:8">
      <c r="A1167">
        <v>1</v>
      </c>
      <c r="B1167" t="s">
        <v>30</v>
      </c>
      <c r="C1167">
        <v>2015</v>
      </c>
      <c r="D1167" t="s">
        <v>12</v>
      </c>
      <c r="E1167" t="s">
        <v>139</v>
      </c>
      <c r="F1167" t="s">
        <v>38</v>
      </c>
      <c r="G1167" t="str">
        <f>VLOOKUP(A1167,[1]Kreise!$A$1:$C$53,3,FALSE)</f>
        <v>K031</v>
      </c>
      <c r="H1167">
        <v>77</v>
      </c>
    </row>
    <row r="1168" spans="1:8">
      <c r="A1168">
        <v>2</v>
      </c>
      <c r="B1168" t="s">
        <v>31</v>
      </c>
      <c r="C1168">
        <v>2015</v>
      </c>
      <c r="D1168" t="s">
        <v>12</v>
      </c>
      <c r="E1168" t="s">
        <v>139</v>
      </c>
      <c r="F1168" t="s">
        <v>38</v>
      </c>
      <c r="G1168" t="str">
        <f>VLOOKUP(A1168,[1]Kreise!$A$1:$C$53,3,FALSE)</f>
        <v>K032</v>
      </c>
      <c r="H1168">
        <v>219</v>
      </c>
    </row>
    <row r="1169" spans="1:8">
      <c r="A1169">
        <v>3</v>
      </c>
      <c r="B1169" t="s">
        <v>32</v>
      </c>
      <c r="C1169">
        <v>2015</v>
      </c>
      <c r="D1169" t="s">
        <v>12</v>
      </c>
      <c r="E1169" t="s">
        <v>139</v>
      </c>
      <c r="F1169" t="s">
        <v>38</v>
      </c>
      <c r="G1169" t="str">
        <f>VLOOKUP(A1169,[1]Kreise!$A$1:$C$53,3,FALSE)</f>
        <v>K033</v>
      </c>
      <c r="H1169">
        <v>257</v>
      </c>
    </row>
    <row r="1170" spans="1:8">
      <c r="A1170">
        <v>4</v>
      </c>
      <c r="B1170" t="s">
        <v>33</v>
      </c>
      <c r="C1170">
        <v>2015</v>
      </c>
      <c r="D1170" t="s">
        <v>12</v>
      </c>
      <c r="E1170" t="s">
        <v>139</v>
      </c>
      <c r="F1170" t="s">
        <v>38</v>
      </c>
      <c r="G1170" t="str">
        <f>VLOOKUP(A1170,[1]Kreise!$A$1:$C$53,3,FALSE)</f>
        <v>K034</v>
      </c>
      <c r="H1170">
        <v>459</v>
      </c>
    </row>
    <row r="1171" spans="1:8">
      <c r="A1171">
        <v>0</v>
      </c>
      <c r="B1171" t="s">
        <v>34</v>
      </c>
      <c r="C1171">
        <v>2015</v>
      </c>
      <c r="D1171" t="s">
        <v>12</v>
      </c>
      <c r="E1171" t="s">
        <v>139</v>
      </c>
      <c r="F1171" t="s">
        <v>38</v>
      </c>
      <c r="G1171" t="str">
        <f>VLOOKUP(A1171,[1]Kreise!$A$1:$C$53,3,FALSE)</f>
        <v>K030</v>
      </c>
      <c r="H1171">
        <v>1012</v>
      </c>
    </row>
    <row r="1172" spans="1:8">
      <c r="A1172">
        <v>1</v>
      </c>
      <c r="B1172" t="s">
        <v>145</v>
      </c>
      <c r="C1172">
        <v>2014</v>
      </c>
      <c r="D1172" t="s">
        <v>12</v>
      </c>
      <c r="E1172" t="s">
        <v>139</v>
      </c>
      <c r="F1172" t="s">
        <v>38</v>
      </c>
      <c r="G1172" t="str">
        <f>VLOOKUP(A1172,[1]Kreise!$A$1:$C$53,3,FALSE)</f>
        <v>K031</v>
      </c>
      <c r="H1172">
        <v>36</v>
      </c>
    </row>
    <row r="1173" spans="1:8">
      <c r="A1173">
        <v>2</v>
      </c>
      <c r="B1173" t="s">
        <v>146</v>
      </c>
      <c r="C1173">
        <v>2014</v>
      </c>
      <c r="D1173" t="s">
        <v>12</v>
      </c>
      <c r="E1173" t="s">
        <v>139</v>
      </c>
      <c r="F1173" t="s">
        <v>38</v>
      </c>
      <c r="G1173" t="str">
        <f>VLOOKUP(A1173,[1]Kreise!$A$1:$C$53,3,FALSE)</f>
        <v>K032</v>
      </c>
      <c r="H1173">
        <v>126</v>
      </c>
    </row>
    <row r="1174" spans="1:8">
      <c r="A1174">
        <v>3</v>
      </c>
      <c r="B1174" t="s">
        <v>147</v>
      </c>
      <c r="C1174">
        <v>2014</v>
      </c>
      <c r="D1174" t="s">
        <v>12</v>
      </c>
      <c r="E1174" t="s">
        <v>139</v>
      </c>
      <c r="F1174" t="s">
        <v>38</v>
      </c>
      <c r="G1174" t="str">
        <f>VLOOKUP(A1174,[1]Kreise!$A$1:$C$53,3,FALSE)</f>
        <v>K033</v>
      </c>
      <c r="H1174">
        <v>120</v>
      </c>
    </row>
    <row r="1175" spans="1:8">
      <c r="A1175">
        <v>4</v>
      </c>
      <c r="B1175" t="s">
        <v>148</v>
      </c>
      <c r="C1175">
        <v>2014</v>
      </c>
      <c r="D1175" t="s">
        <v>12</v>
      </c>
      <c r="E1175" t="s">
        <v>139</v>
      </c>
      <c r="F1175" t="s">
        <v>38</v>
      </c>
      <c r="G1175" t="str">
        <f>VLOOKUP(A1175,[1]Kreise!$A$1:$C$53,3,FALSE)</f>
        <v>K034</v>
      </c>
      <c r="H1175">
        <v>218</v>
      </c>
    </row>
    <row r="1176" spans="1:8">
      <c r="A1176">
        <v>0</v>
      </c>
      <c r="B1176" t="s">
        <v>34</v>
      </c>
      <c r="C1176">
        <v>2014</v>
      </c>
      <c r="D1176" t="s">
        <v>12</v>
      </c>
      <c r="E1176" t="s">
        <v>139</v>
      </c>
      <c r="F1176" t="s">
        <v>38</v>
      </c>
      <c r="G1176" t="str">
        <f>VLOOKUP(A1176,[1]Kreise!$A$1:$C$53,3,FALSE)</f>
        <v>K030</v>
      </c>
      <c r="H1176">
        <v>500</v>
      </c>
    </row>
    <row r="1177" spans="1:8">
      <c r="A1177">
        <v>1</v>
      </c>
      <c r="B1177" t="s">
        <v>30</v>
      </c>
      <c r="C1177">
        <v>2013</v>
      </c>
      <c r="D1177" t="s">
        <v>12</v>
      </c>
      <c r="E1177" t="s">
        <v>139</v>
      </c>
      <c r="F1177" t="s">
        <v>38</v>
      </c>
      <c r="G1177" t="str">
        <f>VLOOKUP(A1177,[1]Kreise!$A$1:$C$53,3,FALSE)</f>
        <v>K031</v>
      </c>
      <c r="H1177" t="s">
        <v>35</v>
      </c>
    </row>
    <row r="1178" spans="1:8">
      <c r="A1178">
        <v>2</v>
      </c>
      <c r="B1178" t="s">
        <v>31</v>
      </c>
      <c r="C1178">
        <v>2013</v>
      </c>
      <c r="D1178" t="s">
        <v>12</v>
      </c>
      <c r="E1178" t="s">
        <v>139</v>
      </c>
      <c r="F1178" t="s">
        <v>38</v>
      </c>
      <c r="G1178" t="str">
        <f>VLOOKUP(A1178,[1]Kreise!$A$1:$C$53,3,FALSE)</f>
        <v>K032</v>
      </c>
      <c r="H1178" t="s">
        <v>35</v>
      </c>
    </row>
    <row r="1179" spans="1:8">
      <c r="A1179">
        <v>3</v>
      </c>
      <c r="B1179" t="s">
        <v>32</v>
      </c>
      <c r="C1179">
        <v>2013</v>
      </c>
      <c r="D1179" t="s">
        <v>12</v>
      </c>
      <c r="E1179" t="s">
        <v>139</v>
      </c>
      <c r="F1179" t="s">
        <v>38</v>
      </c>
      <c r="G1179" t="str">
        <f>VLOOKUP(A1179,[1]Kreise!$A$1:$C$53,3,FALSE)</f>
        <v>K033</v>
      </c>
      <c r="H1179" t="s">
        <v>35</v>
      </c>
    </row>
    <row r="1180" spans="1:8">
      <c r="A1180">
        <v>4</v>
      </c>
      <c r="B1180" t="s">
        <v>33</v>
      </c>
      <c r="C1180">
        <v>2013</v>
      </c>
      <c r="D1180" t="s">
        <v>12</v>
      </c>
      <c r="E1180" t="s">
        <v>139</v>
      </c>
      <c r="F1180" t="s">
        <v>38</v>
      </c>
      <c r="G1180" t="str">
        <f>VLOOKUP(A1180,[1]Kreise!$A$1:$C$53,3,FALSE)</f>
        <v>K034</v>
      </c>
      <c r="H1180" t="s">
        <v>35</v>
      </c>
    </row>
    <row r="1181" spans="1:8">
      <c r="A1181">
        <v>0</v>
      </c>
      <c r="B1181" t="s">
        <v>34</v>
      </c>
      <c r="C1181">
        <v>2013</v>
      </c>
      <c r="D1181" t="s">
        <v>12</v>
      </c>
      <c r="E1181" t="s">
        <v>139</v>
      </c>
      <c r="F1181" t="s">
        <v>38</v>
      </c>
      <c r="G1181" t="str">
        <f>VLOOKUP(A1181,[1]Kreise!$A$1:$C$53,3,FALSE)</f>
        <v>K030</v>
      </c>
      <c r="H1181" t="s">
        <v>35</v>
      </c>
    </row>
    <row r="1182" spans="1:8">
      <c r="A1182">
        <v>1</v>
      </c>
      <c r="B1182" t="s">
        <v>145</v>
      </c>
      <c r="C1182">
        <v>2012</v>
      </c>
      <c r="D1182" t="s">
        <v>12</v>
      </c>
      <c r="E1182" t="s">
        <v>139</v>
      </c>
      <c r="F1182" t="s">
        <v>38</v>
      </c>
      <c r="G1182" t="str">
        <f>VLOOKUP(A1182,[1]Kreise!$A$1:$C$53,3,FALSE)</f>
        <v>K031</v>
      </c>
      <c r="H1182" t="s">
        <v>35</v>
      </c>
    </row>
    <row r="1183" spans="1:8">
      <c r="A1183">
        <v>2</v>
      </c>
      <c r="B1183" t="s">
        <v>146</v>
      </c>
      <c r="C1183">
        <v>2012</v>
      </c>
      <c r="D1183" t="s">
        <v>12</v>
      </c>
      <c r="E1183" t="s">
        <v>139</v>
      </c>
      <c r="F1183" t="s">
        <v>38</v>
      </c>
      <c r="G1183" t="str">
        <f>VLOOKUP(A1183,[1]Kreise!$A$1:$C$53,3,FALSE)</f>
        <v>K032</v>
      </c>
      <c r="H1183" t="s">
        <v>35</v>
      </c>
    </row>
    <row r="1184" spans="1:8">
      <c r="A1184">
        <v>3</v>
      </c>
      <c r="B1184" t="s">
        <v>147</v>
      </c>
      <c r="C1184">
        <v>2012</v>
      </c>
      <c r="D1184" t="s">
        <v>12</v>
      </c>
      <c r="E1184" t="s">
        <v>139</v>
      </c>
      <c r="F1184" t="s">
        <v>38</v>
      </c>
      <c r="G1184" t="str">
        <f>VLOOKUP(A1184,[1]Kreise!$A$1:$C$53,3,FALSE)</f>
        <v>K033</v>
      </c>
      <c r="H1184" t="s">
        <v>35</v>
      </c>
    </row>
    <row r="1185" spans="1:8">
      <c r="A1185">
        <v>4</v>
      </c>
      <c r="B1185" t="s">
        <v>148</v>
      </c>
      <c r="C1185">
        <v>2012</v>
      </c>
      <c r="D1185" t="s">
        <v>12</v>
      </c>
      <c r="E1185" t="s">
        <v>139</v>
      </c>
      <c r="F1185" t="s">
        <v>38</v>
      </c>
      <c r="G1185" t="str">
        <f>VLOOKUP(A1185,[1]Kreise!$A$1:$C$53,3,FALSE)</f>
        <v>K034</v>
      </c>
      <c r="H1185" t="s">
        <v>35</v>
      </c>
    </row>
    <row r="1186" spans="1:8">
      <c r="A1186">
        <v>0</v>
      </c>
      <c r="B1186" t="s">
        <v>34</v>
      </c>
      <c r="C1186">
        <v>2012</v>
      </c>
      <c r="D1186" t="s">
        <v>12</v>
      </c>
      <c r="E1186" t="s">
        <v>139</v>
      </c>
      <c r="F1186" t="s">
        <v>38</v>
      </c>
      <c r="G1186" t="str">
        <f>VLOOKUP(A1186,[1]Kreise!$A$1:$C$53,3,FALSE)</f>
        <v>K030</v>
      </c>
      <c r="H1186" t="s">
        <v>35</v>
      </c>
    </row>
    <row r="1187" spans="1:8">
      <c r="A1187">
        <v>1</v>
      </c>
      <c r="B1187" t="s">
        <v>30</v>
      </c>
      <c r="C1187">
        <v>2011</v>
      </c>
      <c r="D1187" t="s">
        <v>12</v>
      </c>
      <c r="E1187" t="s">
        <v>139</v>
      </c>
      <c r="F1187" t="s">
        <v>38</v>
      </c>
      <c r="G1187" t="str">
        <f>VLOOKUP(A1187,[1]Kreise!$A$1:$C$53,3,FALSE)</f>
        <v>K031</v>
      </c>
      <c r="H1187" t="s">
        <v>35</v>
      </c>
    </row>
    <row r="1188" spans="1:8">
      <c r="A1188">
        <v>2</v>
      </c>
      <c r="B1188" t="s">
        <v>31</v>
      </c>
      <c r="C1188">
        <v>2011</v>
      </c>
      <c r="D1188" t="s">
        <v>12</v>
      </c>
      <c r="E1188" t="s">
        <v>139</v>
      </c>
      <c r="F1188" t="s">
        <v>38</v>
      </c>
      <c r="G1188" t="str">
        <f>VLOOKUP(A1188,[1]Kreise!$A$1:$C$53,3,FALSE)</f>
        <v>K032</v>
      </c>
      <c r="H1188" t="s">
        <v>35</v>
      </c>
    </row>
    <row r="1189" spans="1:8">
      <c r="A1189">
        <v>3</v>
      </c>
      <c r="B1189" t="s">
        <v>32</v>
      </c>
      <c r="C1189">
        <v>2011</v>
      </c>
      <c r="D1189" t="s">
        <v>12</v>
      </c>
      <c r="E1189" t="s">
        <v>139</v>
      </c>
      <c r="F1189" t="s">
        <v>38</v>
      </c>
      <c r="G1189" t="str">
        <f>VLOOKUP(A1189,[1]Kreise!$A$1:$C$53,3,FALSE)</f>
        <v>K033</v>
      </c>
      <c r="H1189" t="s">
        <v>35</v>
      </c>
    </row>
    <row r="1190" spans="1:8">
      <c r="A1190">
        <v>4</v>
      </c>
      <c r="B1190" t="s">
        <v>33</v>
      </c>
      <c r="C1190">
        <v>2011</v>
      </c>
      <c r="D1190" t="s">
        <v>12</v>
      </c>
      <c r="E1190" t="s">
        <v>139</v>
      </c>
      <c r="F1190" t="s">
        <v>38</v>
      </c>
      <c r="G1190" t="str">
        <f>VLOOKUP(A1190,[1]Kreise!$A$1:$C$53,3,FALSE)</f>
        <v>K034</v>
      </c>
      <c r="H1190" t="s">
        <v>35</v>
      </c>
    </row>
    <row r="1191" spans="1:8">
      <c r="A1191">
        <v>0</v>
      </c>
      <c r="B1191" t="s">
        <v>34</v>
      </c>
      <c r="C1191">
        <v>2011</v>
      </c>
      <c r="D1191" t="s">
        <v>12</v>
      </c>
      <c r="E1191" t="s">
        <v>139</v>
      </c>
      <c r="F1191" t="s">
        <v>38</v>
      </c>
      <c r="G1191" t="str">
        <f>VLOOKUP(A1191,[1]Kreise!$A$1:$C$53,3,FALSE)</f>
        <v>K030</v>
      </c>
      <c r="H1191" t="s">
        <v>35</v>
      </c>
    </row>
    <row r="1192" spans="1:8">
      <c r="A1192">
        <v>1</v>
      </c>
      <c r="B1192" t="s">
        <v>145</v>
      </c>
      <c r="C1192">
        <v>2010</v>
      </c>
      <c r="D1192" t="s">
        <v>12</v>
      </c>
      <c r="E1192" t="s">
        <v>139</v>
      </c>
      <c r="F1192" t="s">
        <v>38</v>
      </c>
      <c r="G1192" t="str">
        <f>VLOOKUP(A1192,[1]Kreise!$A$1:$C$53,3,FALSE)</f>
        <v>K031</v>
      </c>
      <c r="H1192" t="s">
        <v>35</v>
      </c>
    </row>
    <row r="1193" spans="1:8">
      <c r="A1193">
        <v>2</v>
      </c>
      <c r="B1193" t="s">
        <v>146</v>
      </c>
      <c r="C1193">
        <v>2010</v>
      </c>
      <c r="D1193" t="s">
        <v>12</v>
      </c>
      <c r="E1193" t="s">
        <v>139</v>
      </c>
      <c r="F1193" t="s">
        <v>38</v>
      </c>
      <c r="G1193" t="str">
        <f>VLOOKUP(A1193,[1]Kreise!$A$1:$C$53,3,FALSE)</f>
        <v>K032</v>
      </c>
      <c r="H1193" t="s">
        <v>35</v>
      </c>
    </row>
    <row r="1194" spans="1:8">
      <c r="A1194">
        <v>3</v>
      </c>
      <c r="B1194" t="s">
        <v>147</v>
      </c>
      <c r="C1194">
        <v>2010</v>
      </c>
      <c r="D1194" t="s">
        <v>12</v>
      </c>
      <c r="E1194" t="s">
        <v>139</v>
      </c>
      <c r="F1194" t="s">
        <v>38</v>
      </c>
      <c r="G1194" t="str">
        <f>VLOOKUP(A1194,[1]Kreise!$A$1:$C$53,3,FALSE)</f>
        <v>K033</v>
      </c>
      <c r="H1194" t="s">
        <v>35</v>
      </c>
    </row>
    <row r="1195" spans="1:8">
      <c r="A1195">
        <v>4</v>
      </c>
      <c r="B1195" t="s">
        <v>148</v>
      </c>
      <c r="C1195">
        <v>2010</v>
      </c>
      <c r="D1195" t="s">
        <v>12</v>
      </c>
      <c r="E1195" t="s">
        <v>139</v>
      </c>
      <c r="F1195" t="s">
        <v>38</v>
      </c>
      <c r="G1195" t="str">
        <f>VLOOKUP(A1195,[1]Kreise!$A$1:$C$53,3,FALSE)</f>
        <v>K034</v>
      </c>
      <c r="H1195" t="s">
        <v>35</v>
      </c>
    </row>
    <row r="1196" spans="1:8">
      <c r="A1196">
        <v>0</v>
      </c>
      <c r="B1196" t="s">
        <v>34</v>
      </c>
      <c r="C1196">
        <v>2010</v>
      </c>
      <c r="D1196" t="s">
        <v>12</v>
      </c>
      <c r="E1196" t="s">
        <v>139</v>
      </c>
      <c r="F1196" t="s">
        <v>38</v>
      </c>
      <c r="G1196" t="str">
        <f>VLOOKUP(A1196,[1]Kreise!$A$1:$C$53,3,FALSE)</f>
        <v>K030</v>
      </c>
      <c r="H1196" t="s">
        <v>35</v>
      </c>
    </row>
    <row r="1197" spans="1:8">
      <c r="A1197">
        <v>1</v>
      </c>
      <c r="B1197" t="s">
        <v>145</v>
      </c>
      <c r="C1197">
        <v>2005</v>
      </c>
      <c r="D1197" t="s">
        <v>12</v>
      </c>
      <c r="E1197" t="s">
        <v>139</v>
      </c>
      <c r="F1197" t="s">
        <v>38</v>
      </c>
      <c r="G1197" t="str">
        <f>VLOOKUP(A1197,[1]Kreise!$A$1:$C$53,3,FALSE)</f>
        <v>K031</v>
      </c>
      <c r="H1197" t="s">
        <v>35</v>
      </c>
    </row>
    <row r="1198" spans="1:8">
      <c r="A1198">
        <v>2</v>
      </c>
      <c r="B1198" t="s">
        <v>146</v>
      </c>
      <c r="C1198">
        <v>2005</v>
      </c>
      <c r="D1198" t="s">
        <v>12</v>
      </c>
      <c r="E1198" t="s">
        <v>139</v>
      </c>
      <c r="F1198" t="s">
        <v>38</v>
      </c>
      <c r="G1198" t="str">
        <f>VLOOKUP(A1198,[1]Kreise!$A$1:$C$53,3,FALSE)</f>
        <v>K032</v>
      </c>
      <c r="H1198" t="s">
        <v>35</v>
      </c>
    </row>
    <row r="1199" spans="1:8">
      <c r="A1199">
        <v>3</v>
      </c>
      <c r="B1199" t="s">
        <v>147</v>
      </c>
      <c r="C1199">
        <v>2005</v>
      </c>
      <c r="D1199" t="s">
        <v>12</v>
      </c>
      <c r="E1199" t="s">
        <v>139</v>
      </c>
      <c r="F1199" t="s">
        <v>38</v>
      </c>
      <c r="G1199" t="str">
        <f>VLOOKUP(A1199,[1]Kreise!$A$1:$C$53,3,FALSE)</f>
        <v>K033</v>
      </c>
      <c r="H1199" t="s">
        <v>35</v>
      </c>
    </row>
    <row r="1200" spans="1:8">
      <c r="A1200">
        <v>4</v>
      </c>
      <c r="B1200" t="s">
        <v>148</v>
      </c>
      <c r="C1200">
        <v>2005</v>
      </c>
      <c r="D1200" t="s">
        <v>12</v>
      </c>
      <c r="E1200" t="s">
        <v>139</v>
      </c>
      <c r="F1200" t="s">
        <v>38</v>
      </c>
      <c r="G1200" t="str">
        <f>VLOOKUP(A1200,[1]Kreise!$A$1:$C$53,3,FALSE)</f>
        <v>K034</v>
      </c>
      <c r="H1200" t="s">
        <v>35</v>
      </c>
    </row>
    <row r="1201" spans="1:8">
      <c r="A1201">
        <v>0</v>
      </c>
      <c r="B1201" t="s">
        <v>34</v>
      </c>
      <c r="C1201">
        <v>2005</v>
      </c>
      <c r="D1201" t="s">
        <v>12</v>
      </c>
      <c r="E1201" t="s">
        <v>139</v>
      </c>
      <c r="F1201" t="s">
        <v>38</v>
      </c>
      <c r="G1201" t="str">
        <f>VLOOKUP(A1201,[1]Kreise!$A$1:$C$53,3,FALSE)</f>
        <v>K030</v>
      </c>
      <c r="H1201" t="s">
        <v>35</v>
      </c>
    </row>
    <row r="1202" spans="1:8">
      <c r="A1202">
        <v>1</v>
      </c>
      <c r="B1202" t="s">
        <v>30</v>
      </c>
      <c r="C1202">
        <v>2020</v>
      </c>
      <c r="D1202" t="s">
        <v>11</v>
      </c>
      <c r="E1202" t="s">
        <v>7</v>
      </c>
      <c r="F1202" t="s">
        <v>38</v>
      </c>
      <c r="G1202" t="str">
        <f>VLOOKUP(A1202,[1]Kreise!$A$1:$C$53,3,FALSE)</f>
        <v>K031</v>
      </c>
      <c r="H1202">
        <v>5303</v>
      </c>
    </row>
    <row r="1203" spans="1:8">
      <c r="A1203">
        <v>2</v>
      </c>
      <c r="B1203" t="s">
        <v>31</v>
      </c>
      <c r="C1203">
        <v>2020</v>
      </c>
      <c r="D1203" t="s">
        <v>11</v>
      </c>
      <c r="E1203" t="s">
        <v>7</v>
      </c>
      <c r="F1203" t="s">
        <v>38</v>
      </c>
      <c r="G1203" t="str">
        <f>VLOOKUP(A1203,[1]Kreise!$A$1:$C$53,3,FALSE)</f>
        <v>K032</v>
      </c>
      <c r="H1203">
        <v>7718</v>
      </c>
    </row>
    <row r="1204" spans="1:8">
      <c r="A1204">
        <v>3</v>
      </c>
      <c r="B1204" t="s">
        <v>32</v>
      </c>
      <c r="C1204">
        <v>2020</v>
      </c>
      <c r="D1204" t="s">
        <v>11</v>
      </c>
      <c r="E1204" t="s">
        <v>7</v>
      </c>
      <c r="F1204" t="s">
        <v>38</v>
      </c>
      <c r="G1204" t="str">
        <f>VLOOKUP(A1204,[1]Kreise!$A$1:$C$53,3,FALSE)</f>
        <v>K033</v>
      </c>
      <c r="H1204">
        <v>6235</v>
      </c>
    </row>
    <row r="1205" spans="1:8">
      <c r="A1205">
        <v>4</v>
      </c>
      <c r="B1205" t="s">
        <v>33</v>
      </c>
      <c r="C1205">
        <v>2020</v>
      </c>
      <c r="D1205" t="s">
        <v>11</v>
      </c>
      <c r="E1205" t="s">
        <v>7</v>
      </c>
      <c r="F1205" t="s">
        <v>38</v>
      </c>
      <c r="G1205" t="str">
        <f>VLOOKUP(A1205,[1]Kreise!$A$1:$C$53,3,FALSE)</f>
        <v>K034</v>
      </c>
      <c r="H1205">
        <v>8180</v>
      </c>
    </row>
    <row r="1206" spans="1:8">
      <c r="A1206">
        <v>0</v>
      </c>
      <c r="B1206" t="s">
        <v>34</v>
      </c>
      <c r="C1206">
        <v>2020</v>
      </c>
      <c r="D1206" t="s">
        <v>11</v>
      </c>
      <c r="E1206" t="s">
        <v>7</v>
      </c>
      <c r="F1206" t="s">
        <v>38</v>
      </c>
      <c r="G1206" t="str">
        <f>VLOOKUP(A1206,[1]Kreise!$A$1:$C$53,3,FALSE)</f>
        <v>K030</v>
      </c>
      <c r="H1206">
        <v>27436</v>
      </c>
    </row>
    <row r="1207" spans="1:8">
      <c r="A1207">
        <v>1</v>
      </c>
      <c r="B1207" t="s">
        <v>30</v>
      </c>
      <c r="C1207">
        <v>2019</v>
      </c>
      <c r="D1207" t="s">
        <v>11</v>
      </c>
      <c r="E1207" t="s">
        <v>7</v>
      </c>
      <c r="F1207" t="s">
        <v>38</v>
      </c>
      <c r="G1207" t="str">
        <f>VLOOKUP(A1207,[1]Kreise!$A$1:$C$53,3,FALSE)</f>
        <v>K031</v>
      </c>
      <c r="H1207">
        <v>5336</v>
      </c>
    </row>
    <row r="1208" spans="1:8">
      <c r="A1208">
        <v>2</v>
      </c>
      <c r="B1208" t="s">
        <v>31</v>
      </c>
      <c r="C1208">
        <v>2019</v>
      </c>
      <c r="D1208" t="s">
        <v>11</v>
      </c>
      <c r="E1208" t="s">
        <v>7</v>
      </c>
      <c r="F1208" t="s">
        <v>38</v>
      </c>
      <c r="G1208" t="str">
        <f>VLOOKUP(A1208,[1]Kreise!$A$1:$C$53,3,FALSE)</f>
        <v>K032</v>
      </c>
      <c r="H1208">
        <v>7950</v>
      </c>
    </row>
    <row r="1209" spans="1:8">
      <c r="A1209">
        <v>3</v>
      </c>
      <c r="B1209" t="s">
        <v>32</v>
      </c>
      <c r="C1209">
        <v>2019</v>
      </c>
      <c r="D1209" t="s">
        <v>11</v>
      </c>
      <c r="E1209" t="s">
        <v>7</v>
      </c>
      <c r="F1209" t="s">
        <v>38</v>
      </c>
      <c r="G1209" t="str">
        <f>VLOOKUP(A1209,[1]Kreise!$A$1:$C$53,3,FALSE)</f>
        <v>K033</v>
      </c>
      <c r="H1209">
        <v>6350</v>
      </c>
    </row>
    <row r="1210" spans="1:8">
      <c r="A1210">
        <v>4</v>
      </c>
      <c r="B1210" t="s">
        <v>33</v>
      </c>
      <c r="C1210">
        <v>2019</v>
      </c>
      <c r="D1210" t="s">
        <v>11</v>
      </c>
      <c r="E1210" t="s">
        <v>7</v>
      </c>
      <c r="F1210" t="s">
        <v>38</v>
      </c>
      <c r="G1210" t="str">
        <f>VLOOKUP(A1210,[1]Kreise!$A$1:$C$53,3,FALSE)</f>
        <v>K034</v>
      </c>
      <c r="H1210">
        <v>8344</v>
      </c>
    </row>
    <row r="1211" spans="1:8">
      <c r="A1211">
        <v>0</v>
      </c>
      <c r="B1211" t="s">
        <v>34</v>
      </c>
      <c r="C1211">
        <v>2019</v>
      </c>
      <c r="D1211" t="s">
        <v>11</v>
      </c>
      <c r="E1211" t="s">
        <v>7</v>
      </c>
      <c r="F1211" t="s">
        <v>38</v>
      </c>
      <c r="G1211" t="str">
        <f>VLOOKUP(A1211,[1]Kreise!$A$1:$C$53,3,FALSE)</f>
        <v>K030</v>
      </c>
      <c r="H1211">
        <v>27980</v>
      </c>
    </row>
    <row r="1212" spans="1:8">
      <c r="A1212">
        <v>1</v>
      </c>
      <c r="B1212" t="s">
        <v>30</v>
      </c>
      <c r="C1212">
        <v>2018</v>
      </c>
      <c r="D1212" t="s">
        <v>11</v>
      </c>
      <c r="E1212" t="s">
        <v>7</v>
      </c>
      <c r="F1212" t="s">
        <v>38</v>
      </c>
      <c r="G1212" t="str">
        <f>VLOOKUP(A1212,[1]Kreise!$A$1:$C$53,3,FALSE)</f>
        <v>K031</v>
      </c>
      <c r="H1212">
        <v>5414</v>
      </c>
    </row>
    <row r="1213" spans="1:8">
      <c r="A1213">
        <v>2</v>
      </c>
      <c r="B1213" t="s">
        <v>31</v>
      </c>
      <c r="C1213">
        <v>2018</v>
      </c>
      <c r="D1213" t="s">
        <v>11</v>
      </c>
      <c r="E1213" t="s">
        <v>7</v>
      </c>
      <c r="F1213" t="s">
        <v>38</v>
      </c>
      <c r="G1213" t="str">
        <f>VLOOKUP(A1213,[1]Kreise!$A$1:$C$53,3,FALSE)</f>
        <v>K032</v>
      </c>
      <c r="H1213">
        <v>7927</v>
      </c>
    </row>
    <row r="1214" spans="1:8">
      <c r="A1214">
        <v>3</v>
      </c>
      <c r="B1214" t="s">
        <v>32</v>
      </c>
      <c r="C1214">
        <v>2018</v>
      </c>
      <c r="D1214" t="s">
        <v>11</v>
      </c>
      <c r="E1214" t="s">
        <v>7</v>
      </c>
      <c r="F1214" t="s">
        <v>38</v>
      </c>
      <c r="G1214" t="str">
        <f>VLOOKUP(A1214,[1]Kreise!$A$1:$C$53,3,FALSE)</f>
        <v>K033</v>
      </c>
      <c r="H1214">
        <v>6450</v>
      </c>
    </row>
    <row r="1215" spans="1:8">
      <c r="A1215">
        <v>4</v>
      </c>
      <c r="B1215" t="s">
        <v>33</v>
      </c>
      <c r="C1215">
        <v>2018</v>
      </c>
      <c r="D1215" t="s">
        <v>11</v>
      </c>
      <c r="E1215" t="s">
        <v>7</v>
      </c>
      <c r="F1215" t="s">
        <v>38</v>
      </c>
      <c r="G1215" t="str">
        <f>VLOOKUP(A1215,[1]Kreise!$A$1:$C$53,3,FALSE)</f>
        <v>K034</v>
      </c>
      <c r="H1215">
        <v>8930</v>
      </c>
    </row>
    <row r="1216" spans="1:8">
      <c r="A1216">
        <v>0</v>
      </c>
      <c r="B1216" t="s">
        <v>34</v>
      </c>
      <c r="C1216">
        <v>2018</v>
      </c>
      <c r="D1216" t="s">
        <v>11</v>
      </c>
      <c r="E1216" t="s">
        <v>7</v>
      </c>
      <c r="F1216" t="s">
        <v>38</v>
      </c>
      <c r="G1216" t="str">
        <f>VLOOKUP(A1216,[1]Kreise!$A$1:$C$53,3,FALSE)</f>
        <v>K030</v>
      </c>
      <c r="H1216">
        <v>28843</v>
      </c>
    </row>
    <row r="1217" spans="1:8">
      <c r="A1217">
        <v>1</v>
      </c>
      <c r="B1217" t="s">
        <v>30</v>
      </c>
      <c r="C1217">
        <v>2017</v>
      </c>
      <c r="D1217" t="s">
        <v>11</v>
      </c>
      <c r="E1217" t="s">
        <v>7</v>
      </c>
      <c r="F1217" t="s">
        <v>38</v>
      </c>
      <c r="G1217" t="str">
        <f>VLOOKUP(A1217,[1]Kreise!$A$1:$C$53,3,FALSE)</f>
        <v>K031</v>
      </c>
      <c r="H1217">
        <v>5394</v>
      </c>
    </row>
    <row r="1218" spans="1:8">
      <c r="A1218">
        <v>2</v>
      </c>
      <c r="B1218" t="s">
        <v>31</v>
      </c>
      <c r="C1218">
        <v>2017</v>
      </c>
      <c r="D1218" t="s">
        <v>11</v>
      </c>
      <c r="E1218" t="s">
        <v>7</v>
      </c>
      <c r="F1218" t="s">
        <v>38</v>
      </c>
      <c r="G1218" t="str">
        <f>VLOOKUP(A1218,[1]Kreise!$A$1:$C$53,3,FALSE)</f>
        <v>K032</v>
      </c>
      <c r="H1218">
        <v>7922</v>
      </c>
    </row>
    <row r="1219" spans="1:8">
      <c r="A1219">
        <v>3</v>
      </c>
      <c r="B1219" t="s">
        <v>32</v>
      </c>
      <c r="C1219">
        <v>2017</v>
      </c>
      <c r="D1219" t="s">
        <v>11</v>
      </c>
      <c r="E1219" t="s">
        <v>7</v>
      </c>
      <c r="F1219" t="s">
        <v>38</v>
      </c>
      <c r="G1219" t="str">
        <f>VLOOKUP(A1219,[1]Kreise!$A$1:$C$53,3,FALSE)</f>
        <v>K033</v>
      </c>
      <c r="H1219">
        <v>6726</v>
      </c>
    </row>
    <row r="1220" spans="1:8">
      <c r="A1220">
        <v>4</v>
      </c>
      <c r="B1220" t="s">
        <v>33</v>
      </c>
      <c r="C1220">
        <v>2017</v>
      </c>
      <c r="D1220" t="s">
        <v>11</v>
      </c>
      <c r="E1220" t="s">
        <v>7</v>
      </c>
      <c r="F1220" t="s">
        <v>38</v>
      </c>
      <c r="G1220" t="str">
        <f>VLOOKUP(A1220,[1]Kreise!$A$1:$C$53,3,FALSE)</f>
        <v>K034</v>
      </c>
      <c r="H1220">
        <v>8876</v>
      </c>
    </row>
    <row r="1221" spans="1:8">
      <c r="A1221">
        <v>0</v>
      </c>
      <c r="B1221" t="s">
        <v>34</v>
      </c>
      <c r="C1221">
        <v>2017</v>
      </c>
      <c r="D1221" t="s">
        <v>11</v>
      </c>
      <c r="E1221" t="s">
        <v>7</v>
      </c>
      <c r="F1221" t="s">
        <v>38</v>
      </c>
      <c r="G1221" t="str">
        <f>VLOOKUP(A1221,[1]Kreise!$A$1:$C$53,3,FALSE)</f>
        <v>K030</v>
      </c>
      <c r="H1221">
        <v>28918</v>
      </c>
    </row>
    <row r="1222" spans="1:8">
      <c r="A1222">
        <v>1</v>
      </c>
      <c r="B1222" t="s">
        <v>30</v>
      </c>
      <c r="C1222">
        <v>2016</v>
      </c>
      <c r="D1222" t="s">
        <v>11</v>
      </c>
      <c r="E1222" t="s">
        <v>7</v>
      </c>
      <c r="F1222" t="s">
        <v>38</v>
      </c>
      <c r="G1222" t="str">
        <f>VLOOKUP(A1222,[1]Kreise!$A$1:$C$53,3,FALSE)</f>
        <v>K031</v>
      </c>
      <c r="H1222">
        <v>5404</v>
      </c>
    </row>
    <row r="1223" spans="1:8">
      <c r="A1223">
        <v>2</v>
      </c>
      <c r="B1223" t="s">
        <v>31</v>
      </c>
      <c r="C1223">
        <v>2016</v>
      </c>
      <c r="D1223" t="s">
        <v>11</v>
      </c>
      <c r="E1223" t="s">
        <v>7</v>
      </c>
      <c r="F1223" t="s">
        <v>38</v>
      </c>
      <c r="G1223" t="str">
        <f>VLOOKUP(A1223,[1]Kreise!$A$1:$C$53,3,FALSE)</f>
        <v>K032</v>
      </c>
      <c r="H1223">
        <v>7807</v>
      </c>
    </row>
    <row r="1224" spans="1:8">
      <c r="A1224">
        <v>3</v>
      </c>
      <c r="B1224" t="s">
        <v>32</v>
      </c>
      <c r="C1224">
        <v>2016</v>
      </c>
      <c r="D1224" t="s">
        <v>11</v>
      </c>
      <c r="E1224" t="s">
        <v>7</v>
      </c>
      <c r="F1224" t="s">
        <v>38</v>
      </c>
      <c r="G1224" t="str">
        <f>VLOOKUP(A1224,[1]Kreise!$A$1:$C$53,3,FALSE)</f>
        <v>K033</v>
      </c>
      <c r="H1224">
        <v>6375</v>
      </c>
    </row>
    <row r="1225" spans="1:8">
      <c r="A1225">
        <v>4</v>
      </c>
      <c r="B1225" t="s">
        <v>33</v>
      </c>
      <c r="C1225">
        <v>2016</v>
      </c>
      <c r="D1225" t="s">
        <v>11</v>
      </c>
      <c r="E1225" t="s">
        <v>7</v>
      </c>
      <c r="F1225" t="s">
        <v>38</v>
      </c>
      <c r="G1225" t="str">
        <f>VLOOKUP(A1225,[1]Kreise!$A$1:$C$53,3,FALSE)</f>
        <v>K034</v>
      </c>
      <c r="H1225">
        <v>8696</v>
      </c>
    </row>
    <row r="1226" spans="1:8">
      <c r="A1226">
        <v>0</v>
      </c>
      <c r="B1226" t="s">
        <v>34</v>
      </c>
      <c r="C1226">
        <v>2016</v>
      </c>
      <c r="D1226" t="s">
        <v>11</v>
      </c>
      <c r="E1226" t="s">
        <v>7</v>
      </c>
      <c r="F1226" t="s">
        <v>38</v>
      </c>
      <c r="G1226" t="str">
        <f>VLOOKUP(A1226,[1]Kreise!$A$1:$C$53,3,FALSE)</f>
        <v>K030</v>
      </c>
      <c r="H1226">
        <v>28365</v>
      </c>
    </row>
    <row r="1227" spans="1:8">
      <c r="A1227">
        <v>1</v>
      </c>
      <c r="B1227" t="s">
        <v>30</v>
      </c>
      <c r="C1227">
        <v>2015</v>
      </c>
      <c r="D1227" t="s">
        <v>11</v>
      </c>
      <c r="E1227" t="s">
        <v>7</v>
      </c>
      <c r="F1227" t="s">
        <v>38</v>
      </c>
      <c r="G1227" t="str">
        <f>VLOOKUP(A1227,[1]Kreise!$A$1:$C$53,3,FALSE)</f>
        <v>K031</v>
      </c>
      <c r="H1227">
        <v>5240</v>
      </c>
    </row>
    <row r="1228" spans="1:8">
      <c r="A1228">
        <v>2</v>
      </c>
      <c r="B1228" t="s">
        <v>31</v>
      </c>
      <c r="C1228">
        <v>2015</v>
      </c>
      <c r="D1228" t="s">
        <v>11</v>
      </c>
      <c r="E1228" t="s">
        <v>7</v>
      </c>
      <c r="F1228" t="s">
        <v>38</v>
      </c>
      <c r="G1228" t="str">
        <f>VLOOKUP(A1228,[1]Kreise!$A$1:$C$53,3,FALSE)</f>
        <v>K032</v>
      </c>
      <c r="H1228">
        <v>7832</v>
      </c>
    </row>
    <row r="1229" spans="1:8">
      <c r="A1229">
        <v>3</v>
      </c>
      <c r="B1229" t="s">
        <v>32</v>
      </c>
      <c r="C1229">
        <v>2015</v>
      </c>
      <c r="D1229" t="s">
        <v>11</v>
      </c>
      <c r="E1229" t="s">
        <v>7</v>
      </c>
      <c r="F1229" t="s">
        <v>38</v>
      </c>
      <c r="G1229" t="str">
        <f>VLOOKUP(A1229,[1]Kreise!$A$1:$C$53,3,FALSE)</f>
        <v>K033</v>
      </c>
      <c r="H1229">
        <v>6581</v>
      </c>
    </row>
    <row r="1230" spans="1:8">
      <c r="A1230">
        <v>4</v>
      </c>
      <c r="B1230" t="s">
        <v>33</v>
      </c>
      <c r="C1230">
        <v>2015</v>
      </c>
      <c r="D1230" t="s">
        <v>11</v>
      </c>
      <c r="E1230" t="s">
        <v>7</v>
      </c>
      <c r="F1230" t="s">
        <v>38</v>
      </c>
      <c r="G1230" t="str">
        <f>VLOOKUP(A1230,[1]Kreise!$A$1:$C$53,3,FALSE)</f>
        <v>K034</v>
      </c>
      <c r="H1230">
        <v>8818</v>
      </c>
    </row>
    <row r="1231" spans="1:8">
      <c r="A1231">
        <v>0</v>
      </c>
      <c r="B1231" t="s">
        <v>34</v>
      </c>
      <c r="C1231">
        <v>2015</v>
      </c>
      <c r="D1231" t="s">
        <v>11</v>
      </c>
      <c r="E1231" t="s">
        <v>7</v>
      </c>
      <c r="F1231" t="s">
        <v>38</v>
      </c>
      <c r="G1231" t="str">
        <f>VLOOKUP(A1231,[1]Kreise!$A$1:$C$53,3,FALSE)</f>
        <v>K030</v>
      </c>
      <c r="H1231">
        <v>28664</v>
      </c>
    </row>
    <row r="1232" spans="1:8">
      <c r="A1232">
        <v>1</v>
      </c>
      <c r="B1232" t="s">
        <v>145</v>
      </c>
      <c r="C1232">
        <v>2014</v>
      </c>
      <c r="D1232" t="s">
        <v>11</v>
      </c>
      <c r="E1232" t="s">
        <v>7</v>
      </c>
      <c r="F1232" t="s">
        <v>38</v>
      </c>
      <c r="G1232" t="str">
        <f>VLOOKUP(A1232,[1]Kreise!$A$1:$C$53,3,FALSE)</f>
        <v>K031</v>
      </c>
      <c r="H1232">
        <v>5718</v>
      </c>
    </row>
    <row r="1233" spans="1:8">
      <c r="A1233">
        <v>2</v>
      </c>
      <c r="B1233" t="s">
        <v>146</v>
      </c>
      <c r="C1233">
        <v>2014</v>
      </c>
      <c r="D1233" t="s">
        <v>11</v>
      </c>
      <c r="E1233" t="s">
        <v>7</v>
      </c>
      <c r="F1233" t="s">
        <v>38</v>
      </c>
      <c r="G1233" t="str">
        <f>VLOOKUP(A1233,[1]Kreise!$A$1:$C$53,3,FALSE)</f>
        <v>K032</v>
      </c>
      <c r="H1233">
        <v>7851</v>
      </c>
    </row>
    <row r="1234" spans="1:8">
      <c r="A1234">
        <v>3</v>
      </c>
      <c r="B1234" t="s">
        <v>147</v>
      </c>
      <c r="C1234">
        <v>2014</v>
      </c>
      <c r="D1234" t="s">
        <v>11</v>
      </c>
      <c r="E1234" t="s">
        <v>7</v>
      </c>
      <c r="F1234" t="s">
        <v>38</v>
      </c>
      <c r="G1234" t="str">
        <f>VLOOKUP(A1234,[1]Kreise!$A$1:$C$53,3,FALSE)</f>
        <v>K033</v>
      </c>
      <c r="H1234">
        <v>6681</v>
      </c>
    </row>
    <row r="1235" spans="1:8">
      <c r="A1235">
        <v>4</v>
      </c>
      <c r="B1235" t="s">
        <v>148</v>
      </c>
      <c r="C1235">
        <v>2014</v>
      </c>
      <c r="D1235" t="s">
        <v>11</v>
      </c>
      <c r="E1235" t="s">
        <v>7</v>
      </c>
      <c r="F1235" t="s">
        <v>38</v>
      </c>
      <c r="G1235" t="str">
        <f>VLOOKUP(A1235,[1]Kreise!$A$1:$C$53,3,FALSE)</f>
        <v>K034</v>
      </c>
      <c r="H1235">
        <v>8859</v>
      </c>
    </row>
    <row r="1236" spans="1:8">
      <c r="A1236">
        <v>0</v>
      </c>
      <c r="B1236" t="s">
        <v>34</v>
      </c>
      <c r="C1236">
        <v>2014</v>
      </c>
      <c r="D1236" t="s">
        <v>11</v>
      </c>
      <c r="E1236" t="s">
        <v>7</v>
      </c>
      <c r="F1236" t="s">
        <v>38</v>
      </c>
      <c r="G1236" t="str">
        <f>VLOOKUP(A1236,[1]Kreise!$A$1:$C$53,3,FALSE)</f>
        <v>K030</v>
      </c>
      <c r="H1236">
        <v>29109</v>
      </c>
    </row>
    <row r="1237" spans="1:8">
      <c r="A1237">
        <v>1</v>
      </c>
      <c r="B1237" t="s">
        <v>30</v>
      </c>
      <c r="C1237">
        <v>2013</v>
      </c>
      <c r="D1237" t="s">
        <v>11</v>
      </c>
      <c r="E1237" t="s">
        <v>7</v>
      </c>
      <c r="F1237" t="s">
        <v>38</v>
      </c>
      <c r="G1237" t="str">
        <f>VLOOKUP(A1237,[1]Kreise!$A$1:$C$53,3,FALSE)</f>
        <v>K031</v>
      </c>
      <c r="H1237">
        <v>5993</v>
      </c>
    </row>
    <row r="1238" spans="1:8">
      <c r="A1238">
        <v>2</v>
      </c>
      <c r="B1238" t="s">
        <v>31</v>
      </c>
      <c r="C1238">
        <v>2013</v>
      </c>
      <c r="D1238" t="s">
        <v>11</v>
      </c>
      <c r="E1238" t="s">
        <v>7</v>
      </c>
      <c r="F1238" t="s">
        <v>38</v>
      </c>
      <c r="G1238" t="str">
        <f>VLOOKUP(A1238,[1]Kreise!$A$1:$C$53,3,FALSE)</f>
        <v>K032</v>
      </c>
      <c r="H1238">
        <v>8151</v>
      </c>
    </row>
    <row r="1239" spans="1:8">
      <c r="A1239">
        <v>3</v>
      </c>
      <c r="B1239" t="s">
        <v>32</v>
      </c>
      <c r="C1239">
        <v>2013</v>
      </c>
      <c r="D1239" t="s">
        <v>11</v>
      </c>
      <c r="E1239" t="s">
        <v>7</v>
      </c>
      <c r="F1239" t="s">
        <v>38</v>
      </c>
      <c r="G1239" t="str">
        <f>VLOOKUP(A1239,[1]Kreise!$A$1:$C$53,3,FALSE)</f>
        <v>K033</v>
      </c>
      <c r="H1239">
        <v>7043</v>
      </c>
    </row>
    <row r="1240" spans="1:8">
      <c r="A1240">
        <v>4</v>
      </c>
      <c r="B1240" t="s">
        <v>33</v>
      </c>
      <c r="C1240">
        <v>2013</v>
      </c>
      <c r="D1240" t="s">
        <v>11</v>
      </c>
      <c r="E1240" t="s">
        <v>7</v>
      </c>
      <c r="F1240" t="s">
        <v>38</v>
      </c>
      <c r="G1240" t="str">
        <f>VLOOKUP(A1240,[1]Kreise!$A$1:$C$53,3,FALSE)</f>
        <v>K034</v>
      </c>
      <c r="H1240">
        <v>9149</v>
      </c>
    </row>
    <row r="1241" spans="1:8">
      <c r="A1241">
        <v>0</v>
      </c>
      <c r="B1241" t="s">
        <v>34</v>
      </c>
      <c r="C1241">
        <v>2013</v>
      </c>
      <c r="D1241" t="s">
        <v>11</v>
      </c>
      <c r="E1241" t="s">
        <v>7</v>
      </c>
      <c r="F1241" t="s">
        <v>38</v>
      </c>
      <c r="G1241" t="str">
        <f>VLOOKUP(A1241,[1]Kreise!$A$1:$C$53,3,FALSE)</f>
        <v>K030</v>
      </c>
      <c r="H1241">
        <v>30336</v>
      </c>
    </row>
    <row r="1242" spans="1:8">
      <c r="A1242">
        <v>1</v>
      </c>
      <c r="B1242" t="s">
        <v>145</v>
      </c>
      <c r="C1242">
        <v>2012</v>
      </c>
      <c r="D1242" t="s">
        <v>11</v>
      </c>
      <c r="E1242" t="s">
        <v>7</v>
      </c>
      <c r="F1242" t="s">
        <v>38</v>
      </c>
      <c r="G1242" t="str">
        <f>VLOOKUP(A1242,[1]Kreise!$A$1:$C$53,3,FALSE)</f>
        <v>K031</v>
      </c>
      <c r="H1242">
        <v>6135</v>
      </c>
    </row>
    <row r="1243" spans="1:8">
      <c r="A1243">
        <v>2</v>
      </c>
      <c r="B1243" t="s">
        <v>146</v>
      </c>
      <c r="C1243">
        <v>2012</v>
      </c>
      <c r="D1243" t="s">
        <v>11</v>
      </c>
      <c r="E1243" t="s">
        <v>7</v>
      </c>
      <c r="F1243" t="s">
        <v>38</v>
      </c>
      <c r="G1243" t="str">
        <f>VLOOKUP(A1243,[1]Kreise!$A$1:$C$53,3,FALSE)</f>
        <v>K032</v>
      </c>
      <c r="H1243">
        <v>8408</v>
      </c>
    </row>
    <row r="1244" spans="1:8">
      <c r="A1244">
        <v>3</v>
      </c>
      <c r="B1244" t="s">
        <v>147</v>
      </c>
      <c r="C1244">
        <v>2012</v>
      </c>
      <c r="D1244" t="s">
        <v>11</v>
      </c>
      <c r="E1244" t="s">
        <v>7</v>
      </c>
      <c r="F1244" t="s">
        <v>38</v>
      </c>
      <c r="G1244" t="str">
        <f>VLOOKUP(A1244,[1]Kreise!$A$1:$C$53,3,FALSE)</f>
        <v>K033</v>
      </c>
      <c r="H1244">
        <v>7321</v>
      </c>
    </row>
    <row r="1245" spans="1:8">
      <c r="A1245">
        <v>4</v>
      </c>
      <c r="B1245" t="s">
        <v>148</v>
      </c>
      <c r="C1245">
        <v>2012</v>
      </c>
      <c r="D1245" t="s">
        <v>11</v>
      </c>
      <c r="E1245" t="s">
        <v>7</v>
      </c>
      <c r="F1245" t="s">
        <v>38</v>
      </c>
      <c r="G1245" t="str">
        <f>VLOOKUP(A1245,[1]Kreise!$A$1:$C$53,3,FALSE)</f>
        <v>K034</v>
      </c>
      <c r="H1245">
        <v>9324</v>
      </c>
    </row>
    <row r="1246" spans="1:8">
      <c r="A1246">
        <v>0</v>
      </c>
      <c r="B1246" t="s">
        <v>34</v>
      </c>
      <c r="C1246">
        <v>2012</v>
      </c>
      <c r="D1246" t="s">
        <v>11</v>
      </c>
      <c r="E1246" t="s">
        <v>7</v>
      </c>
      <c r="F1246" t="s">
        <v>38</v>
      </c>
      <c r="G1246" t="str">
        <f>VLOOKUP(A1246,[1]Kreise!$A$1:$C$53,3,FALSE)</f>
        <v>K030</v>
      </c>
      <c r="H1246">
        <v>31188</v>
      </c>
    </row>
    <row r="1247" spans="1:8">
      <c r="A1247">
        <v>1</v>
      </c>
      <c r="B1247" t="s">
        <v>30</v>
      </c>
      <c r="C1247">
        <v>2011</v>
      </c>
      <c r="D1247" t="s">
        <v>11</v>
      </c>
      <c r="E1247" t="s">
        <v>7</v>
      </c>
      <c r="F1247" t="s">
        <v>38</v>
      </c>
      <c r="G1247" t="str">
        <f>VLOOKUP(A1247,[1]Kreise!$A$1:$C$53,3,FALSE)</f>
        <v>K031</v>
      </c>
      <c r="H1247">
        <v>6279</v>
      </c>
    </row>
    <row r="1248" spans="1:8">
      <c r="A1248">
        <v>2</v>
      </c>
      <c r="B1248" t="s">
        <v>31</v>
      </c>
      <c r="C1248">
        <v>2011</v>
      </c>
      <c r="D1248" t="s">
        <v>11</v>
      </c>
      <c r="E1248" t="s">
        <v>7</v>
      </c>
      <c r="F1248" t="s">
        <v>38</v>
      </c>
      <c r="G1248" t="str">
        <f>VLOOKUP(A1248,[1]Kreise!$A$1:$C$53,3,FALSE)</f>
        <v>K032</v>
      </c>
      <c r="H1248">
        <v>8736</v>
      </c>
    </row>
    <row r="1249" spans="1:8">
      <c r="A1249">
        <v>3</v>
      </c>
      <c r="B1249" t="s">
        <v>32</v>
      </c>
      <c r="C1249">
        <v>2011</v>
      </c>
      <c r="D1249" t="s">
        <v>11</v>
      </c>
      <c r="E1249" t="s">
        <v>7</v>
      </c>
      <c r="F1249" t="s">
        <v>38</v>
      </c>
      <c r="G1249" t="str">
        <f>VLOOKUP(A1249,[1]Kreise!$A$1:$C$53,3,FALSE)</f>
        <v>K033</v>
      </c>
      <c r="H1249">
        <v>7580</v>
      </c>
    </row>
    <row r="1250" spans="1:8">
      <c r="A1250">
        <v>4</v>
      </c>
      <c r="B1250" t="s">
        <v>33</v>
      </c>
      <c r="C1250">
        <v>2011</v>
      </c>
      <c r="D1250" t="s">
        <v>11</v>
      </c>
      <c r="E1250" t="s">
        <v>7</v>
      </c>
      <c r="F1250" t="s">
        <v>38</v>
      </c>
      <c r="G1250" t="str">
        <f>VLOOKUP(A1250,[1]Kreise!$A$1:$C$53,3,FALSE)</f>
        <v>K034</v>
      </c>
      <c r="H1250">
        <v>9755</v>
      </c>
    </row>
    <row r="1251" spans="1:8">
      <c r="A1251">
        <v>0</v>
      </c>
      <c r="B1251" t="s">
        <v>34</v>
      </c>
      <c r="C1251">
        <v>2011</v>
      </c>
      <c r="D1251" t="s">
        <v>11</v>
      </c>
      <c r="E1251" t="s">
        <v>7</v>
      </c>
      <c r="F1251" t="s">
        <v>38</v>
      </c>
      <c r="G1251" t="str">
        <f>VLOOKUP(A1251,[1]Kreise!$A$1:$C$53,3,FALSE)</f>
        <v>K030</v>
      </c>
      <c r="H1251">
        <v>32546</v>
      </c>
    </row>
    <row r="1252" spans="1:8">
      <c r="A1252">
        <v>1</v>
      </c>
      <c r="B1252" t="s">
        <v>145</v>
      </c>
      <c r="C1252">
        <v>2010</v>
      </c>
      <c r="D1252" t="s">
        <v>11</v>
      </c>
      <c r="E1252" t="s">
        <v>7</v>
      </c>
      <c r="F1252" t="s">
        <v>38</v>
      </c>
      <c r="G1252" t="str">
        <f>VLOOKUP(A1252,[1]Kreise!$A$1:$C$53,3,FALSE)</f>
        <v>K031</v>
      </c>
      <c r="H1252">
        <v>6860</v>
      </c>
    </row>
    <row r="1253" spans="1:8">
      <c r="A1253">
        <v>2</v>
      </c>
      <c r="B1253" t="s">
        <v>146</v>
      </c>
      <c r="C1253">
        <v>2010</v>
      </c>
      <c r="D1253" t="s">
        <v>11</v>
      </c>
      <c r="E1253" t="s">
        <v>7</v>
      </c>
      <c r="F1253" t="s">
        <v>38</v>
      </c>
      <c r="G1253" t="str">
        <f>VLOOKUP(A1253,[1]Kreise!$A$1:$C$53,3,FALSE)</f>
        <v>K032</v>
      </c>
      <c r="H1253">
        <v>9063</v>
      </c>
    </row>
    <row r="1254" spans="1:8">
      <c r="A1254">
        <v>3</v>
      </c>
      <c r="B1254" t="s">
        <v>147</v>
      </c>
      <c r="C1254">
        <v>2010</v>
      </c>
      <c r="D1254" t="s">
        <v>11</v>
      </c>
      <c r="E1254" t="s">
        <v>7</v>
      </c>
      <c r="F1254" t="s">
        <v>38</v>
      </c>
      <c r="G1254" t="str">
        <f>VLOOKUP(A1254,[1]Kreise!$A$1:$C$53,3,FALSE)</f>
        <v>K033</v>
      </c>
      <c r="H1254">
        <v>7841</v>
      </c>
    </row>
    <row r="1255" spans="1:8">
      <c r="A1255">
        <v>4</v>
      </c>
      <c r="B1255" t="s">
        <v>148</v>
      </c>
      <c r="C1255">
        <v>2010</v>
      </c>
      <c r="D1255" t="s">
        <v>11</v>
      </c>
      <c r="E1255" t="s">
        <v>7</v>
      </c>
      <c r="F1255" t="s">
        <v>38</v>
      </c>
      <c r="G1255" t="str">
        <f>VLOOKUP(A1255,[1]Kreise!$A$1:$C$53,3,FALSE)</f>
        <v>K034</v>
      </c>
      <c r="H1255">
        <v>10290</v>
      </c>
    </row>
    <row r="1256" spans="1:8">
      <c r="A1256">
        <v>0</v>
      </c>
      <c r="B1256" t="s">
        <v>34</v>
      </c>
      <c r="C1256">
        <v>2010</v>
      </c>
      <c r="D1256" t="s">
        <v>11</v>
      </c>
      <c r="E1256" t="s">
        <v>7</v>
      </c>
      <c r="F1256" t="s">
        <v>38</v>
      </c>
      <c r="G1256" t="str">
        <f>VLOOKUP(A1256,[1]Kreise!$A$1:$C$53,3,FALSE)</f>
        <v>K030</v>
      </c>
      <c r="H1256">
        <v>34054</v>
      </c>
    </row>
    <row r="1257" spans="1:8">
      <c r="A1257">
        <v>1</v>
      </c>
      <c r="B1257" t="s">
        <v>145</v>
      </c>
      <c r="C1257">
        <v>2005</v>
      </c>
      <c r="D1257" t="s">
        <v>11</v>
      </c>
      <c r="E1257" t="s">
        <v>7</v>
      </c>
      <c r="F1257" t="s">
        <v>38</v>
      </c>
      <c r="G1257" t="str">
        <f>VLOOKUP(A1257,[1]Kreise!$A$1:$C$53,3,FALSE)</f>
        <v>K031</v>
      </c>
      <c r="H1257">
        <v>6116</v>
      </c>
    </row>
    <row r="1258" spans="1:8">
      <c r="A1258">
        <v>2</v>
      </c>
      <c r="B1258" t="s">
        <v>146</v>
      </c>
      <c r="C1258">
        <v>2005</v>
      </c>
      <c r="D1258" t="s">
        <v>11</v>
      </c>
      <c r="E1258" t="s">
        <v>7</v>
      </c>
      <c r="F1258" t="s">
        <v>38</v>
      </c>
      <c r="G1258" t="str">
        <f>VLOOKUP(A1258,[1]Kreise!$A$1:$C$53,3,FALSE)</f>
        <v>K032</v>
      </c>
      <c r="H1258">
        <v>7820</v>
      </c>
    </row>
    <row r="1259" spans="1:8">
      <c r="A1259">
        <v>3</v>
      </c>
      <c r="B1259" t="s">
        <v>147</v>
      </c>
      <c r="C1259">
        <v>2005</v>
      </c>
      <c r="D1259" t="s">
        <v>11</v>
      </c>
      <c r="E1259" t="s">
        <v>7</v>
      </c>
      <c r="F1259" t="s">
        <v>38</v>
      </c>
      <c r="G1259" t="str">
        <f>VLOOKUP(A1259,[1]Kreise!$A$1:$C$53,3,FALSE)</f>
        <v>K033</v>
      </c>
      <c r="H1259">
        <v>6699</v>
      </c>
    </row>
    <row r="1260" spans="1:8">
      <c r="A1260">
        <v>4</v>
      </c>
      <c r="B1260" t="s">
        <v>148</v>
      </c>
      <c r="C1260">
        <v>2005</v>
      </c>
      <c r="D1260" t="s">
        <v>11</v>
      </c>
      <c r="E1260" t="s">
        <v>7</v>
      </c>
      <c r="F1260" t="s">
        <v>38</v>
      </c>
      <c r="G1260" t="str">
        <f>VLOOKUP(A1260,[1]Kreise!$A$1:$C$53,3,FALSE)</f>
        <v>K034</v>
      </c>
      <c r="H1260">
        <v>8900</v>
      </c>
    </row>
    <row r="1261" spans="1:8">
      <c r="A1261">
        <v>0</v>
      </c>
      <c r="B1261" t="s">
        <v>34</v>
      </c>
      <c r="C1261">
        <v>2005</v>
      </c>
      <c r="D1261" t="s">
        <v>11</v>
      </c>
      <c r="E1261" t="s">
        <v>7</v>
      </c>
      <c r="F1261" t="s">
        <v>38</v>
      </c>
      <c r="G1261" t="str">
        <f>VLOOKUP(A1261,[1]Kreise!$A$1:$C$53,3,FALSE)</f>
        <v>K030</v>
      </c>
      <c r="H1261">
        <v>29535</v>
      </c>
    </row>
    <row r="1262" spans="1:8">
      <c r="A1262">
        <v>1</v>
      </c>
      <c r="B1262" t="s">
        <v>30</v>
      </c>
      <c r="C1262">
        <v>2020</v>
      </c>
      <c r="D1262" t="s">
        <v>12</v>
      </c>
      <c r="E1262" t="s">
        <v>7</v>
      </c>
      <c r="F1262" t="s">
        <v>38</v>
      </c>
      <c r="G1262" t="str">
        <f>VLOOKUP(A1262,[1]Kreise!$A$1:$C$53,3,FALSE)</f>
        <v>K031</v>
      </c>
      <c r="H1262">
        <v>336</v>
      </c>
    </row>
    <row r="1263" spans="1:8">
      <c r="A1263">
        <v>2</v>
      </c>
      <c r="B1263" t="s">
        <v>31</v>
      </c>
      <c r="C1263">
        <v>2020</v>
      </c>
      <c r="D1263" t="s">
        <v>12</v>
      </c>
      <c r="E1263" t="s">
        <v>7</v>
      </c>
      <c r="F1263" t="s">
        <v>38</v>
      </c>
      <c r="G1263" t="str">
        <f>VLOOKUP(A1263,[1]Kreise!$A$1:$C$53,3,FALSE)</f>
        <v>K032</v>
      </c>
      <c r="H1263">
        <v>431</v>
      </c>
    </row>
    <row r="1264" spans="1:8">
      <c r="A1264">
        <v>3</v>
      </c>
      <c r="B1264" t="s">
        <v>32</v>
      </c>
      <c r="C1264">
        <v>2020</v>
      </c>
      <c r="D1264" t="s">
        <v>12</v>
      </c>
      <c r="E1264" t="s">
        <v>7</v>
      </c>
      <c r="F1264" t="s">
        <v>38</v>
      </c>
      <c r="G1264" t="str">
        <f>VLOOKUP(A1264,[1]Kreise!$A$1:$C$53,3,FALSE)</f>
        <v>K033</v>
      </c>
      <c r="H1264">
        <v>238</v>
      </c>
    </row>
    <row r="1265" spans="1:8">
      <c r="A1265">
        <v>4</v>
      </c>
      <c r="B1265" t="s">
        <v>33</v>
      </c>
      <c r="C1265">
        <v>2020</v>
      </c>
      <c r="D1265" t="s">
        <v>12</v>
      </c>
      <c r="E1265" t="s">
        <v>7</v>
      </c>
      <c r="F1265" t="s">
        <v>38</v>
      </c>
      <c r="G1265" t="str">
        <f>VLOOKUP(A1265,[1]Kreise!$A$1:$C$53,3,FALSE)</f>
        <v>K034</v>
      </c>
      <c r="H1265">
        <v>399</v>
      </c>
    </row>
    <row r="1266" spans="1:8">
      <c r="A1266">
        <v>0</v>
      </c>
      <c r="B1266" t="s">
        <v>34</v>
      </c>
      <c r="C1266">
        <v>2020</v>
      </c>
      <c r="D1266" t="s">
        <v>12</v>
      </c>
      <c r="E1266" t="s">
        <v>7</v>
      </c>
      <c r="F1266" t="s">
        <v>38</v>
      </c>
      <c r="G1266" t="str">
        <f>VLOOKUP(A1266,[1]Kreise!$A$1:$C$53,3,FALSE)</f>
        <v>K030</v>
      </c>
      <c r="H1266">
        <v>1404</v>
      </c>
    </row>
    <row r="1267" spans="1:8">
      <c r="A1267">
        <v>1</v>
      </c>
      <c r="B1267" t="s">
        <v>30</v>
      </c>
      <c r="C1267">
        <v>2019</v>
      </c>
      <c r="D1267" t="s">
        <v>12</v>
      </c>
      <c r="E1267" t="s">
        <v>7</v>
      </c>
      <c r="F1267" t="s">
        <v>38</v>
      </c>
      <c r="G1267" t="str">
        <f>VLOOKUP(A1267,[1]Kreise!$A$1:$C$53,3,FALSE)</f>
        <v>K031</v>
      </c>
      <c r="H1267">
        <v>261</v>
      </c>
    </row>
    <row r="1268" spans="1:8">
      <c r="A1268">
        <v>2</v>
      </c>
      <c r="B1268" t="s">
        <v>31</v>
      </c>
      <c r="C1268">
        <v>2019</v>
      </c>
      <c r="D1268" t="s">
        <v>12</v>
      </c>
      <c r="E1268" t="s">
        <v>7</v>
      </c>
      <c r="F1268" t="s">
        <v>38</v>
      </c>
      <c r="G1268" t="str">
        <f>VLOOKUP(A1268,[1]Kreise!$A$1:$C$53,3,FALSE)</f>
        <v>K032</v>
      </c>
      <c r="H1268">
        <v>397</v>
      </c>
    </row>
    <row r="1269" spans="1:8">
      <c r="A1269">
        <v>3</v>
      </c>
      <c r="B1269" t="s">
        <v>32</v>
      </c>
      <c r="C1269">
        <v>2019</v>
      </c>
      <c r="D1269" t="s">
        <v>12</v>
      </c>
      <c r="E1269" t="s">
        <v>7</v>
      </c>
      <c r="F1269" t="s">
        <v>38</v>
      </c>
      <c r="G1269" t="str">
        <f>VLOOKUP(A1269,[1]Kreise!$A$1:$C$53,3,FALSE)</f>
        <v>K033</v>
      </c>
      <c r="H1269">
        <v>187</v>
      </c>
    </row>
    <row r="1270" spans="1:8">
      <c r="A1270">
        <v>4</v>
      </c>
      <c r="B1270" t="s">
        <v>33</v>
      </c>
      <c r="C1270">
        <v>2019</v>
      </c>
      <c r="D1270" t="s">
        <v>12</v>
      </c>
      <c r="E1270" t="s">
        <v>7</v>
      </c>
      <c r="F1270" t="s">
        <v>38</v>
      </c>
      <c r="G1270" t="str">
        <f>VLOOKUP(A1270,[1]Kreise!$A$1:$C$53,3,FALSE)</f>
        <v>K034</v>
      </c>
      <c r="H1270">
        <v>304</v>
      </c>
    </row>
    <row r="1271" spans="1:8">
      <c r="A1271">
        <v>0</v>
      </c>
      <c r="B1271" t="s">
        <v>34</v>
      </c>
      <c r="C1271">
        <v>2019</v>
      </c>
      <c r="D1271" t="s">
        <v>12</v>
      </c>
      <c r="E1271" t="s">
        <v>7</v>
      </c>
      <c r="F1271" t="s">
        <v>38</v>
      </c>
      <c r="G1271" t="str">
        <f>VLOOKUP(A1271,[1]Kreise!$A$1:$C$53,3,FALSE)</f>
        <v>K030</v>
      </c>
      <c r="H1271">
        <v>1149</v>
      </c>
    </row>
    <row r="1272" spans="1:8">
      <c r="A1272">
        <v>1</v>
      </c>
      <c r="B1272" t="s">
        <v>30</v>
      </c>
      <c r="C1272">
        <v>2018</v>
      </c>
      <c r="D1272" t="s">
        <v>12</v>
      </c>
      <c r="E1272" t="s">
        <v>7</v>
      </c>
      <c r="F1272" t="s">
        <v>38</v>
      </c>
      <c r="G1272" t="str">
        <f>VLOOKUP(A1272,[1]Kreise!$A$1:$C$53,3,FALSE)</f>
        <v>K031</v>
      </c>
      <c r="H1272">
        <v>229</v>
      </c>
    </row>
    <row r="1273" spans="1:8">
      <c r="A1273">
        <v>2</v>
      </c>
      <c r="B1273" t="s">
        <v>31</v>
      </c>
      <c r="C1273">
        <v>2018</v>
      </c>
      <c r="D1273" t="s">
        <v>12</v>
      </c>
      <c r="E1273" t="s">
        <v>7</v>
      </c>
      <c r="F1273" t="s">
        <v>38</v>
      </c>
      <c r="G1273" t="str">
        <f>VLOOKUP(A1273,[1]Kreise!$A$1:$C$53,3,FALSE)</f>
        <v>K032</v>
      </c>
      <c r="H1273">
        <v>346</v>
      </c>
    </row>
    <row r="1274" spans="1:8">
      <c r="A1274">
        <v>3</v>
      </c>
      <c r="B1274" t="s">
        <v>32</v>
      </c>
      <c r="C1274">
        <v>2018</v>
      </c>
      <c r="D1274" t="s">
        <v>12</v>
      </c>
      <c r="E1274" t="s">
        <v>7</v>
      </c>
      <c r="F1274" t="s">
        <v>38</v>
      </c>
      <c r="G1274" t="str">
        <f>VLOOKUP(A1274,[1]Kreise!$A$1:$C$53,3,FALSE)</f>
        <v>K033</v>
      </c>
      <c r="H1274">
        <v>179</v>
      </c>
    </row>
    <row r="1275" spans="1:8">
      <c r="A1275">
        <v>4</v>
      </c>
      <c r="B1275" t="s">
        <v>33</v>
      </c>
      <c r="C1275">
        <v>2018</v>
      </c>
      <c r="D1275" t="s">
        <v>12</v>
      </c>
      <c r="E1275" t="s">
        <v>7</v>
      </c>
      <c r="F1275" t="s">
        <v>38</v>
      </c>
      <c r="G1275" t="str">
        <f>VLOOKUP(A1275,[1]Kreise!$A$1:$C$53,3,FALSE)</f>
        <v>K034</v>
      </c>
      <c r="H1275">
        <v>293</v>
      </c>
    </row>
    <row r="1276" spans="1:8">
      <c r="A1276">
        <v>0</v>
      </c>
      <c r="B1276" t="s">
        <v>34</v>
      </c>
      <c r="C1276">
        <v>2018</v>
      </c>
      <c r="D1276" t="s">
        <v>12</v>
      </c>
      <c r="E1276" t="s">
        <v>7</v>
      </c>
      <c r="F1276" t="s">
        <v>38</v>
      </c>
      <c r="G1276" t="str">
        <f>VLOOKUP(A1276,[1]Kreise!$A$1:$C$53,3,FALSE)</f>
        <v>K030</v>
      </c>
      <c r="H1276">
        <v>1047</v>
      </c>
    </row>
    <row r="1277" spans="1:8">
      <c r="A1277">
        <v>1</v>
      </c>
      <c r="B1277" t="s">
        <v>30</v>
      </c>
      <c r="C1277">
        <v>2017</v>
      </c>
      <c r="D1277" t="s">
        <v>12</v>
      </c>
      <c r="E1277" t="s">
        <v>7</v>
      </c>
      <c r="F1277" t="s">
        <v>38</v>
      </c>
      <c r="G1277" t="str">
        <f>VLOOKUP(A1277,[1]Kreise!$A$1:$C$53,3,FALSE)</f>
        <v>K031</v>
      </c>
      <c r="H1277">
        <v>250</v>
      </c>
    </row>
    <row r="1278" spans="1:8">
      <c r="A1278">
        <v>2</v>
      </c>
      <c r="B1278" t="s">
        <v>31</v>
      </c>
      <c r="C1278">
        <v>2017</v>
      </c>
      <c r="D1278" t="s">
        <v>12</v>
      </c>
      <c r="E1278" t="s">
        <v>7</v>
      </c>
      <c r="F1278" t="s">
        <v>38</v>
      </c>
      <c r="G1278" t="str">
        <f>VLOOKUP(A1278,[1]Kreise!$A$1:$C$53,3,FALSE)</f>
        <v>K032</v>
      </c>
      <c r="H1278">
        <v>381</v>
      </c>
    </row>
    <row r="1279" spans="1:8">
      <c r="A1279">
        <v>3</v>
      </c>
      <c r="B1279" t="s">
        <v>32</v>
      </c>
      <c r="C1279">
        <v>2017</v>
      </c>
      <c r="D1279" t="s">
        <v>12</v>
      </c>
      <c r="E1279" t="s">
        <v>7</v>
      </c>
      <c r="F1279" t="s">
        <v>38</v>
      </c>
      <c r="G1279" t="str">
        <f>VLOOKUP(A1279,[1]Kreise!$A$1:$C$53,3,FALSE)</f>
        <v>K033</v>
      </c>
      <c r="H1279">
        <v>168</v>
      </c>
    </row>
    <row r="1280" spans="1:8">
      <c r="A1280">
        <v>4</v>
      </c>
      <c r="B1280" t="s">
        <v>33</v>
      </c>
      <c r="C1280">
        <v>2017</v>
      </c>
      <c r="D1280" t="s">
        <v>12</v>
      </c>
      <c r="E1280" t="s">
        <v>7</v>
      </c>
      <c r="F1280" t="s">
        <v>38</v>
      </c>
      <c r="G1280" t="str">
        <f>VLOOKUP(A1280,[1]Kreise!$A$1:$C$53,3,FALSE)</f>
        <v>K034</v>
      </c>
      <c r="H1280">
        <v>274</v>
      </c>
    </row>
    <row r="1281" spans="1:8">
      <c r="A1281">
        <v>0</v>
      </c>
      <c r="B1281" t="s">
        <v>34</v>
      </c>
      <c r="C1281">
        <v>2017</v>
      </c>
      <c r="D1281" t="s">
        <v>12</v>
      </c>
      <c r="E1281" t="s">
        <v>7</v>
      </c>
      <c r="F1281" t="s">
        <v>38</v>
      </c>
      <c r="G1281" t="str">
        <f>VLOOKUP(A1281,[1]Kreise!$A$1:$C$53,3,FALSE)</f>
        <v>K030</v>
      </c>
      <c r="H1281">
        <v>1073</v>
      </c>
    </row>
    <row r="1282" spans="1:8">
      <c r="A1282">
        <v>1</v>
      </c>
      <c r="B1282" t="s">
        <v>30</v>
      </c>
      <c r="C1282">
        <v>2016</v>
      </c>
      <c r="D1282" t="s">
        <v>12</v>
      </c>
      <c r="E1282" t="s">
        <v>7</v>
      </c>
      <c r="F1282" t="s">
        <v>38</v>
      </c>
      <c r="G1282" t="str">
        <f>VLOOKUP(A1282,[1]Kreise!$A$1:$C$53,3,FALSE)</f>
        <v>K031</v>
      </c>
      <c r="H1282">
        <v>218</v>
      </c>
    </row>
    <row r="1283" spans="1:8">
      <c r="A1283">
        <v>2</v>
      </c>
      <c r="B1283" t="s">
        <v>31</v>
      </c>
      <c r="C1283">
        <v>2016</v>
      </c>
      <c r="D1283" t="s">
        <v>12</v>
      </c>
      <c r="E1283" t="s">
        <v>7</v>
      </c>
      <c r="F1283" t="s">
        <v>38</v>
      </c>
      <c r="G1283" t="str">
        <f>VLOOKUP(A1283,[1]Kreise!$A$1:$C$53,3,FALSE)</f>
        <v>K032</v>
      </c>
      <c r="H1283">
        <v>290</v>
      </c>
    </row>
    <row r="1284" spans="1:8">
      <c r="A1284">
        <v>3</v>
      </c>
      <c r="B1284" t="s">
        <v>32</v>
      </c>
      <c r="C1284">
        <v>2016</v>
      </c>
      <c r="D1284" t="s">
        <v>12</v>
      </c>
      <c r="E1284" t="s">
        <v>7</v>
      </c>
      <c r="F1284" t="s">
        <v>38</v>
      </c>
      <c r="G1284" t="str">
        <f>VLOOKUP(A1284,[1]Kreise!$A$1:$C$53,3,FALSE)</f>
        <v>K033</v>
      </c>
      <c r="H1284">
        <v>147</v>
      </c>
    </row>
    <row r="1285" spans="1:8">
      <c r="A1285">
        <v>4</v>
      </c>
      <c r="B1285" t="s">
        <v>33</v>
      </c>
      <c r="C1285">
        <v>2016</v>
      </c>
      <c r="D1285" t="s">
        <v>12</v>
      </c>
      <c r="E1285" t="s">
        <v>7</v>
      </c>
      <c r="F1285" t="s">
        <v>38</v>
      </c>
      <c r="G1285" t="str">
        <f>VLOOKUP(A1285,[1]Kreise!$A$1:$C$53,3,FALSE)</f>
        <v>K034</v>
      </c>
      <c r="H1285">
        <v>228</v>
      </c>
    </row>
    <row r="1286" spans="1:8">
      <c r="A1286">
        <v>0</v>
      </c>
      <c r="B1286" t="s">
        <v>34</v>
      </c>
      <c r="C1286">
        <v>2016</v>
      </c>
      <c r="D1286" t="s">
        <v>12</v>
      </c>
      <c r="E1286" t="s">
        <v>7</v>
      </c>
      <c r="F1286" t="s">
        <v>38</v>
      </c>
      <c r="G1286" t="str">
        <f>VLOOKUP(A1286,[1]Kreise!$A$1:$C$53,3,FALSE)</f>
        <v>K030</v>
      </c>
      <c r="H1286">
        <v>883</v>
      </c>
    </row>
    <row r="1287" spans="1:8">
      <c r="A1287">
        <v>1</v>
      </c>
      <c r="B1287" t="s">
        <v>30</v>
      </c>
      <c r="C1287">
        <v>2015</v>
      </c>
      <c r="D1287" t="s">
        <v>12</v>
      </c>
      <c r="E1287" t="s">
        <v>7</v>
      </c>
      <c r="F1287" t="s">
        <v>38</v>
      </c>
      <c r="G1287" t="str">
        <f>VLOOKUP(A1287,[1]Kreise!$A$1:$C$53,3,FALSE)</f>
        <v>K031</v>
      </c>
      <c r="H1287">
        <v>147</v>
      </c>
    </row>
    <row r="1288" spans="1:8">
      <c r="A1288">
        <v>2</v>
      </c>
      <c r="B1288" t="s">
        <v>31</v>
      </c>
      <c r="C1288">
        <v>2015</v>
      </c>
      <c r="D1288" t="s">
        <v>12</v>
      </c>
      <c r="E1288" t="s">
        <v>7</v>
      </c>
      <c r="F1288" t="s">
        <v>38</v>
      </c>
      <c r="G1288" t="str">
        <f>VLOOKUP(A1288,[1]Kreise!$A$1:$C$53,3,FALSE)</f>
        <v>K032</v>
      </c>
      <c r="H1288">
        <v>287</v>
      </c>
    </row>
    <row r="1289" spans="1:8">
      <c r="A1289">
        <v>3</v>
      </c>
      <c r="B1289" t="s">
        <v>32</v>
      </c>
      <c r="C1289">
        <v>2015</v>
      </c>
      <c r="D1289" t="s">
        <v>12</v>
      </c>
      <c r="E1289" t="s">
        <v>7</v>
      </c>
      <c r="F1289" t="s">
        <v>38</v>
      </c>
      <c r="G1289" t="str">
        <f>VLOOKUP(A1289,[1]Kreise!$A$1:$C$53,3,FALSE)</f>
        <v>K033</v>
      </c>
      <c r="H1289">
        <v>97</v>
      </c>
    </row>
    <row r="1290" spans="1:8">
      <c r="A1290">
        <v>4</v>
      </c>
      <c r="B1290" t="s">
        <v>33</v>
      </c>
      <c r="C1290">
        <v>2015</v>
      </c>
      <c r="D1290" t="s">
        <v>12</v>
      </c>
      <c r="E1290" t="s">
        <v>7</v>
      </c>
      <c r="F1290" t="s">
        <v>38</v>
      </c>
      <c r="G1290" t="str">
        <f>VLOOKUP(A1290,[1]Kreise!$A$1:$C$53,3,FALSE)</f>
        <v>K034</v>
      </c>
      <c r="H1290">
        <v>195</v>
      </c>
    </row>
    <row r="1291" spans="1:8">
      <c r="A1291">
        <v>0</v>
      </c>
      <c r="B1291" t="s">
        <v>34</v>
      </c>
      <c r="C1291">
        <v>2015</v>
      </c>
      <c r="D1291" t="s">
        <v>12</v>
      </c>
      <c r="E1291" t="s">
        <v>7</v>
      </c>
      <c r="F1291" t="s">
        <v>38</v>
      </c>
      <c r="G1291" t="str">
        <f>VLOOKUP(A1291,[1]Kreise!$A$1:$C$53,3,FALSE)</f>
        <v>K030</v>
      </c>
      <c r="H1291">
        <v>726</v>
      </c>
    </row>
    <row r="1292" spans="1:8">
      <c r="A1292">
        <v>1</v>
      </c>
      <c r="B1292" t="s">
        <v>145</v>
      </c>
      <c r="C1292">
        <v>2014</v>
      </c>
      <c r="D1292" t="s">
        <v>12</v>
      </c>
      <c r="E1292" t="s">
        <v>7</v>
      </c>
      <c r="F1292" t="s">
        <v>38</v>
      </c>
      <c r="G1292" t="str">
        <f>VLOOKUP(A1292,[1]Kreise!$A$1:$C$53,3,FALSE)</f>
        <v>K031</v>
      </c>
      <c r="H1292">
        <v>165</v>
      </c>
    </row>
    <row r="1293" spans="1:8">
      <c r="A1293">
        <v>2</v>
      </c>
      <c r="B1293" t="s">
        <v>146</v>
      </c>
      <c r="C1293">
        <v>2014</v>
      </c>
      <c r="D1293" t="s">
        <v>12</v>
      </c>
      <c r="E1293" t="s">
        <v>7</v>
      </c>
      <c r="F1293" t="s">
        <v>38</v>
      </c>
      <c r="G1293" t="str">
        <f>VLOOKUP(A1293,[1]Kreise!$A$1:$C$53,3,FALSE)</f>
        <v>K032</v>
      </c>
      <c r="H1293">
        <v>274</v>
      </c>
    </row>
    <row r="1294" spans="1:8">
      <c r="A1294">
        <v>3</v>
      </c>
      <c r="B1294" t="s">
        <v>147</v>
      </c>
      <c r="C1294">
        <v>2014</v>
      </c>
      <c r="D1294" t="s">
        <v>12</v>
      </c>
      <c r="E1294" t="s">
        <v>7</v>
      </c>
      <c r="F1294" t="s">
        <v>38</v>
      </c>
      <c r="G1294" t="str">
        <f>VLOOKUP(A1294,[1]Kreise!$A$1:$C$53,3,FALSE)</f>
        <v>K033</v>
      </c>
      <c r="H1294">
        <v>117</v>
      </c>
    </row>
    <row r="1295" spans="1:8">
      <c r="A1295">
        <v>4</v>
      </c>
      <c r="B1295" t="s">
        <v>148</v>
      </c>
      <c r="C1295">
        <v>2014</v>
      </c>
      <c r="D1295" t="s">
        <v>12</v>
      </c>
      <c r="E1295" t="s">
        <v>7</v>
      </c>
      <c r="F1295" t="s">
        <v>38</v>
      </c>
      <c r="G1295" t="str">
        <f>VLOOKUP(A1295,[1]Kreise!$A$1:$C$53,3,FALSE)</f>
        <v>K034</v>
      </c>
      <c r="H1295">
        <v>217</v>
      </c>
    </row>
    <row r="1296" spans="1:8">
      <c r="A1296">
        <v>0</v>
      </c>
      <c r="B1296" t="s">
        <v>34</v>
      </c>
      <c r="C1296">
        <v>2014</v>
      </c>
      <c r="D1296" t="s">
        <v>12</v>
      </c>
      <c r="E1296" t="s">
        <v>7</v>
      </c>
      <c r="F1296" t="s">
        <v>38</v>
      </c>
      <c r="G1296" t="str">
        <f>VLOOKUP(A1296,[1]Kreise!$A$1:$C$53,3,FALSE)</f>
        <v>K030</v>
      </c>
      <c r="H1296">
        <v>773</v>
      </c>
    </row>
    <row r="1297" spans="1:8">
      <c r="A1297">
        <v>1</v>
      </c>
      <c r="B1297" t="s">
        <v>30</v>
      </c>
      <c r="C1297">
        <v>2013</v>
      </c>
      <c r="D1297" t="s">
        <v>12</v>
      </c>
      <c r="E1297" t="s">
        <v>7</v>
      </c>
      <c r="F1297" t="s">
        <v>38</v>
      </c>
      <c r="G1297" t="str">
        <f>VLOOKUP(A1297,[1]Kreise!$A$1:$C$53,3,FALSE)</f>
        <v>K031</v>
      </c>
      <c r="H1297">
        <v>164</v>
      </c>
    </row>
    <row r="1298" spans="1:8">
      <c r="A1298">
        <v>2</v>
      </c>
      <c r="B1298" t="s">
        <v>31</v>
      </c>
      <c r="C1298">
        <v>2013</v>
      </c>
      <c r="D1298" t="s">
        <v>12</v>
      </c>
      <c r="E1298" t="s">
        <v>7</v>
      </c>
      <c r="F1298" t="s">
        <v>38</v>
      </c>
      <c r="G1298" t="str">
        <f>VLOOKUP(A1298,[1]Kreise!$A$1:$C$53,3,FALSE)</f>
        <v>K032</v>
      </c>
      <c r="H1298">
        <v>360</v>
      </c>
    </row>
    <row r="1299" spans="1:8">
      <c r="A1299">
        <v>3</v>
      </c>
      <c r="B1299" t="s">
        <v>32</v>
      </c>
      <c r="C1299">
        <v>2013</v>
      </c>
      <c r="D1299" t="s">
        <v>12</v>
      </c>
      <c r="E1299" t="s">
        <v>7</v>
      </c>
      <c r="F1299" t="s">
        <v>38</v>
      </c>
      <c r="G1299" t="str">
        <f>VLOOKUP(A1299,[1]Kreise!$A$1:$C$53,3,FALSE)</f>
        <v>K033</v>
      </c>
      <c r="H1299">
        <v>95</v>
      </c>
    </row>
    <row r="1300" spans="1:8">
      <c r="A1300">
        <v>4</v>
      </c>
      <c r="B1300" t="s">
        <v>33</v>
      </c>
      <c r="C1300">
        <v>2013</v>
      </c>
      <c r="D1300" t="s">
        <v>12</v>
      </c>
      <c r="E1300" t="s">
        <v>7</v>
      </c>
      <c r="F1300" t="s">
        <v>38</v>
      </c>
      <c r="G1300" t="str">
        <f>VLOOKUP(A1300,[1]Kreise!$A$1:$C$53,3,FALSE)</f>
        <v>K034</v>
      </c>
      <c r="H1300">
        <v>218</v>
      </c>
    </row>
    <row r="1301" spans="1:8">
      <c r="A1301">
        <v>0</v>
      </c>
      <c r="B1301" t="s">
        <v>34</v>
      </c>
      <c r="C1301">
        <v>2013</v>
      </c>
      <c r="D1301" t="s">
        <v>12</v>
      </c>
      <c r="E1301" t="s">
        <v>7</v>
      </c>
      <c r="F1301" t="s">
        <v>38</v>
      </c>
      <c r="G1301" t="str">
        <f>VLOOKUP(A1301,[1]Kreise!$A$1:$C$53,3,FALSE)</f>
        <v>K030</v>
      </c>
      <c r="H1301">
        <v>837</v>
      </c>
    </row>
    <row r="1302" spans="1:8">
      <c r="A1302">
        <v>1</v>
      </c>
      <c r="B1302" t="s">
        <v>145</v>
      </c>
      <c r="C1302">
        <v>2012</v>
      </c>
      <c r="D1302" t="s">
        <v>12</v>
      </c>
      <c r="E1302" t="s">
        <v>7</v>
      </c>
      <c r="F1302" t="s">
        <v>38</v>
      </c>
      <c r="G1302" t="str">
        <f>VLOOKUP(A1302,[1]Kreise!$A$1:$C$53,3,FALSE)</f>
        <v>K031</v>
      </c>
      <c r="H1302">
        <v>179</v>
      </c>
    </row>
    <row r="1303" spans="1:8">
      <c r="A1303">
        <v>2</v>
      </c>
      <c r="B1303" t="s">
        <v>146</v>
      </c>
      <c r="C1303">
        <v>2012</v>
      </c>
      <c r="D1303" t="s">
        <v>12</v>
      </c>
      <c r="E1303" t="s">
        <v>7</v>
      </c>
      <c r="F1303" t="s">
        <v>38</v>
      </c>
      <c r="G1303" t="str">
        <f>VLOOKUP(A1303,[1]Kreise!$A$1:$C$53,3,FALSE)</f>
        <v>K032</v>
      </c>
      <c r="H1303">
        <v>407</v>
      </c>
    </row>
    <row r="1304" spans="1:8">
      <c r="A1304">
        <v>3</v>
      </c>
      <c r="B1304" t="s">
        <v>147</v>
      </c>
      <c r="C1304">
        <v>2012</v>
      </c>
      <c r="D1304" t="s">
        <v>12</v>
      </c>
      <c r="E1304" t="s">
        <v>7</v>
      </c>
      <c r="F1304" t="s">
        <v>38</v>
      </c>
      <c r="G1304" t="str">
        <f>VLOOKUP(A1304,[1]Kreise!$A$1:$C$53,3,FALSE)</f>
        <v>K033</v>
      </c>
      <c r="H1304">
        <v>117</v>
      </c>
    </row>
    <row r="1305" spans="1:8">
      <c r="A1305">
        <v>4</v>
      </c>
      <c r="B1305" t="s">
        <v>148</v>
      </c>
      <c r="C1305">
        <v>2012</v>
      </c>
      <c r="D1305" t="s">
        <v>12</v>
      </c>
      <c r="E1305" t="s">
        <v>7</v>
      </c>
      <c r="F1305" t="s">
        <v>38</v>
      </c>
      <c r="G1305" t="str">
        <f>VLOOKUP(A1305,[1]Kreise!$A$1:$C$53,3,FALSE)</f>
        <v>K034</v>
      </c>
      <c r="H1305">
        <v>202</v>
      </c>
    </row>
    <row r="1306" spans="1:8">
      <c r="A1306">
        <v>0</v>
      </c>
      <c r="B1306" t="s">
        <v>34</v>
      </c>
      <c r="C1306">
        <v>2012</v>
      </c>
      <c r="D1306" t="s">
        <v>12</v>
      </c>
      <c r="E1306" t="s">
        <v>7</v>
      </c>
      <c r="F1306" t="s">
        <v>38</v>
      </c>
      <c r="G1306" t="str">
        <f>VLOOKUP(A1306,[1]Kreise!$A$1:$C$53,3,FALSE)</f>
        <v>K030</v>
      </c>
      <c r="H1306">
        <v>905</v>
      </c>
    </row>
    <row r="1307" spans="1:8">
      <c r="A1307">
        <v>1</v>
      </c>
      <c r="B1307" t="s">
        <v>30</v>
      </c>
      <c r="C1307">
        <v>2011</v>
      </c>
      <c r="D1307" t="s">
        <v>12</v>
      </c>
      <c r="E1307" t="s">
        <v>7</v>
      </c>
      <c r="F1307" t="s">
        <v>38</v>
      </c>
      <c r="G1307" t="str">
        <f>VLOOKUP(A1307,[1]Kreise!$A$1:$C$53,3,FALSE)</f>
        <v>K031</v>
      </c>
      <c r="H1307">
        <v>189</v>
      </c>
    </row>
    <row r="1308" spans="1:8">
      <c r="A1308">
        <v>2</v>
      </c>
      <c r="B1308" t="s">
        <v>31</v>
      </c>
      <c r="C1308">
        <v>2011</v>
      </c>
      <c r="D1308" t="s">
        <v>12</v>
      </c>
      <c r="E1308" t="s">
        <v>7</v>
      </c>
      <c r="F1308" t="s">
        <v>38</v>
      </c>
      <c r="G1308" t="str">
        <f>VLOOKUP(A1308,[1]Kreise!$A$1:$C$53,3,FALSE)</f>
        <v>K032</v>
      </c>
      <c r="H1308">
        <v>443</v>
      </c>
    </row>
    <row r="1309" spans="1:8">
      <c r="A1309">
        <v>3</v>
      </c>
      <c r="B1309" t="s">
        <v>32</v>
      </c>
      <c r="C1309">
        <v>2011</v>
      </c>
      <c r="D1309" t="s">
        <v>12</v>
      </c>
      <c r="E1309" t="s">
        <v>7</v>
      </c>
      <c r="F1309" t="s">
        <v>38</v>
      </c>
      <c r="G1309" t="str">
        <f>VLOOKUP(A1309,[1]Kreise!$A$1:$C$53,3,FALSE)</f>
        <v>K033</v>
      </c>
      <c r="H1309">
        <v>138</v>
      </c>
    </row>
    <row r="1310" spans="1:8">
      <c r="A1310">
        <v>4</v>
      </c>
      <c r="B1310" t="s">
        <v>33</v>
      </c>
      <c r="C1310">
        <v>2011</v>
      </c>
      <c r="D1310" t="s">
        <v>12</v>
      </c>
      <c r="E1310" t="s">
        <v>7</v>
      </c>
      <c r="F1310" t="s">
        <v>38</v>
      </c>
      <c r="G1310" t="str">
        <f>VLOOKUP(A1310,[1]Kreise!$A$1:$C$53,3,FALSE)</f>
        <v>K034</v>
      </c>
      <c r="H1310">
        <v>243</v>
      </c>
    </row>
    <row r="1311" spans="1:8">
      <c r="A1311">
        <v>0</v>
      </c>
      <c r="B1311" t="s">
        <v>34</v>
      </c>
      <c r="C1311">
        <v>2011</v>
      </c>
      <c r="D1311" t="s">
        <v>12</v>
      </c>
      <c r="E1311" t="s">
        <v>7</v>
      </c>
      <c r="F1311" t="s">
        <v>38</v>
      </c>
      <c r="G1311" t="str">
        <f>VLOOKUP(A1311,[1]Kreise!$A$1:$C$53,3,FALSE)</f>
        <v>K030</v>
      </c>
      <c r="H1311">
        <v>1013</v>
      </c>
    </row>
    <row r="1312" spans="1:8">
      <c r="A1312">
        <v>1</v>
      </c>
      <c r="B1312" t="s">
        <v>145</v>
      </c>
      <c r="C1312">
        <v>2010</v>
      </c>
      <c r="D1312" t="s">
        <v>12</v>
      </c>
      <c r="E1312" t="s">
        <v>7</v>
      </c>
      <c r="F1312" t="s">
        <v>38</v>
      </c>
      <c r="G1312" t="str">
        <f>VLOOKUP(A1312,[1]Kreise!$A$1:$C$53,3,FALSE)</f>
        <v>K031</v>
      </c>
      <c r="H1312">
        <v>210</v>
      </c>
    </row>
    <row r="1313" spans="1:8">
      <c r="A1313">
        <v>2</v>
      </c>
      <c r="B1313" t="s">
        <v>146</v>
      </c>
      <c r="C1313">
        <v>2010</v>
      </c>
      <c r="D1313" t="s">
        <v>12</v>
      </c>
      <c r="E1313" t="s">
        <v>7</v>
      </c>
      <c r="F1313" t="s">
        <v>38</v>
      </c>
      <c r="G1313" t="str">
        <f>VLOOKUP(A1313,[1]Kreise!$A$1:$C$53,3,FALSE)</f>
        <v>K032</v>
      </c>
      <c r="H1313">
        <v>411</v>
      </c>
    </row>
    <row r="1314" spans="1:8">
      <c r="A1314">
        <v>3</v>
      </c>
      <c r="B1314" t="s">
        <v>147</v>
      </c>
      <c r="C1314">
        <v>2010</v>
      </c>
      <c r="D1314" t="s">
        <v>12</v>
      </c>
      <c r="E1314" t="s">
        <v>7</v>
      </c>
      <c r="F1314" t="s">
        <v>38</v>
      </c>
      <c r="G1314" t="str">
        <f>VLOOKUP(A1314,[1]Kreise!$A$1:$C$53,3,FALSE)</f>
        <v>K033</v>
      </c>
      <c r="H1314">
        <v>135</v>
      </c>
    </row>
    <row r="1315" spans="1:8">
      <c r="A1315">
        <v>4</v>
      </c>
      <c r="B1315" t="s">
        <v>148</v>
      </c>
      <c r="C1315">
        <v>2010</v>
      </c>
      <c r="D1315" t="s">
        <v>12</v>
      </c>
      <c r="E1315" t="s">
        <v>7</v>
      </c>
      <c r="F1315" t="s">
        <v>38</v>
      </c>
      <c r="G1315" t="str">
        <f>VLOOKUP(A1315,[1]Kreise!$A$1:$C$53,3,FALSE)</f>
        <v>K034</v>
      </c>
      <c r="H1315">
        <v>230</v>
      </c>
    </row>
    <row r="1316" spans="1:8">
      <c r="A1316">
        <v>0</v>
      </c>
      <c r="B1316" t="s">
        <v>34</v>
      </c>
      <c r="C1316">
        <v>2010</v>
      </c>
      <c r="D1316" t="s">
        <v>12</v>
      </c>
      <c r="E1316" t="s">
        <v>7</v>
      </c>
      <c r="F1316" t="s">
        <v>38</v>
      </c>
      <c r="G1316" t="str">
        <f>VLOOKUP(A1316,[1]Kreise!$A$1:$C$53,3,FALSE)</f>
        <v>K030</v>
      </c>
      <c r="H1316">
        <v>986</v>
      </c>
    </row>
    <row r="1317" spans="1:8">
      <c r="A1317">
        <v>1</v>
      </c>
      <c r="B1317" t="s">
        <v>145</v>
      </c>
      <c r="C1317">
        <v>2005</v>
      </c>
      <c r="D1317" t="s">
        <v>12</v>
      </c>
      <c r="E1317" t="s">
        <v>7</v>
      </c>
      <c r="F1317" t="s">
        <v>38</v>
      </c>
      <c r="G1317" t="str">
        <f>VLOOKUP(A1317,[1]Kreise!$A$1:$C$53,3,FALSE)</f>
        <v>K031</v>
      </c>
      <c r="H1317">
        <v>196</v>
      </c>
    </row>
    <row r="1318" spans="1:8">
      <c r="A1318">
        <v>2</v>
      </c>
      <c r="B1318" t="s">
        <v>146</v>
      </c>
      <c r="C1318">
        <v>2005</v>
      </c>
      <c r="D1318" t="s">
        <v>12</v>
      </c>
      <c r="E1318" t="s">
        <v>7</v>
      </c>
      <c r="F1318" t="s">
        <v>38</v>
      </c>
      <c r="G1318" t="str">
        <f>VLOOKUP(A1318,[1]Kreise!$A$1:$C$53,3,FALSE)</f>
        <v>K032</v>
      </c>
      <c r="H1318">
        <v>496</v>
      </c>
    </row>
    <row r="1319" spans="1:8">
      <c r="A1319">
        <v>3</v>
      </c>
      <c r="B1319" t="s">
        <v>147</v>
      </c>
      <c r="C1319">
        <v>2005</v>
      </c>
      <c r="D1319" t="s">
        <v>12</v>
      </c>
      <c r="E1319" t="s">
        <v>7</v>
      </c>
      <c r="F1319" t="s">
        <v>38</v>
      </c>
      <c r="G1319" t="str">
        <f>VLOOKUP(A1319,[1]Kreise!$A$1:$C$53,3,FALSE)</f>
        <v>K033</v>
      </c>
      <c r="H1319">
        <v>131</v>
      </c>
    </row>
    <row r="1320" spans="1:8">
      <c r="A1320">
        <v>4</v>
      </c>
      <c r="B1320" t="s">
        <v>148</v>
      </c>
      <c r="C1320">
        <v>2005</v>
      </c>
      <c r="D1320" t="s">
        <v>12</v>
      </c>
      <c r="E1320" t="s">
        <v>7</v>
      </c>
      <c r="F1320" t="s">
        <v>38</v>
      </c>
      <c r="G1320" t="str">
        <f>VLOOKUP(A1320,[1]Kreise!$A$1:$C$53,3,FALSE)</f>
        <v>K034</v>
      </c>
      <c r="H1320">
        <v>238</v>
      </c>
    </row>
    <row r="1321" spans="1:8">
      <c r="A1321">
        <v>0</v>
      </c>
      <c r="B1321" t="s">
        <v>34</v>
      </c>
      <c r="C1321">
        <v>2005</v>
      </c>
      <c r="D1321" t="s">
        <v>12</v>
      </c>
      <c r="E1321" t="s">
        <v>7</v>
      </c>
      <c r="F1321" t="s">
        <v>38</v>
      </c>
      <c r="G1321" t="str">
        <f>VLOOKUP(A1321,[1]Kreise!$A$1:$C$53,3,FALSE)</f>
        <v>K030</v>
      </c>
      <c r="H1321">
        <v>1061</v>
      </c>
    </row>
    <row r="1322" spans="1:8">
      <c r="A1322">
        <v>1</v>
      </c>
      <c r="B1322" t="s">
        <v>30</v>
      </c>
      <c r="C1322">
        <v>2020</v>
      </c>
      <c r="D1322" t="s">
        <v>11</v>
      </c>
      <c r="E1322" t="s">
        <v>115</v>
      </c>
      <c r="F1322" t="s">
        <v>38</v>
      </c>
      <c r="G1322" t="str">
        <f>VLOOKUP(A1322,[1]Kreise!$A$1:$C$53,3,FALSE)</f>
        <v>K031</v>
      </c>
      <c r="H1322">
        <v>2882</v>
      </c>
    </row>
    <row r="1323" spans="1:8">
      <c r="A1323">
        <v>2</v>
      </c>
      <c r="B1323" t="s">
        <v>31</v>
      </c>
      <c r="C1323">
        <v>2020</v>
      </c>
      <c r="D1323" t="s">
        <v>11</v>
      </c>
      <c r="E1323" t="s">
        <v>115</v>
      </c>
      <c r="F1323" t="s">
        <v>38</v>
      </c>
      <c r="G1323" t="str">
        <f>VLOOKUP(A1323,[1]Kreise!$A$1:$C$53,3,FALSE)</f>
        <v>K032</v>
      </c>
      <c r="H1323">
        <v>3862</v>
      </c>
    </row>
    <row r="1324" spans="1:8">
      <c r="A1324">
        <v>3</v>
      </c>
      <c r="B1324" t="s">
        <v>32</v>
      </c>
      <c r="C1324">
        <v>2020</v>
      </c>
      <c r="D1324" t="s">
        <v>11</v>
      </c>
      <c r="E1324" t="s">
        <v>115</v>
      </c>
      <c r="F1324" t="s">
        <v>38</v>
      </c>
      <c r="G1324" t="str">
        <f>VLOOKUP(A1324,[1]Kreise!$A$1:$C$53,3,FALSE)</f>
        <v>K033</v>
      </c>
      <c r="H1324">
        <v>1881</v>
      </c>
    </row>
    <row r="1325" spans="1:8">
      <c r="A1325">
        <v>4</v>
      </c>
      <c r="B1325" t="s">
        <v>33</v>
      </c>
      <c r="C1325">
        <v>2020</v>
      </c>
      <c r="D1325" t="s">
        <v>11</v>
      </c>
      <c r="E1325" t="s">
        <v>115</v>
      </c>
      <c r="F1325" t="s">
        <v>38</v>
      </c>
      <c r="G1325" t="str">
        <f>VLOOKUP(A1325,[1]Kreise!$A$1:$C$53,3,FALSE)</f>
        <v>K034</v>
      </c>
      <c r="H1325">
        <v>2826</v>
      </c>
    </row>
    <row r="1326" spans="1:8">
      <c r="A1326">
        <v>0</v>
      </c>
      <c r="B1326" t="s">
        <v>34</v>
      </c>
      <c r="C1326">
        <v>2020</v>
      </c>
      <c r="D1326" t="s">
        <v>11</v>
      </c>
      <c r="E1326" t="s">
        <v>115</v>
      </c>
      <c r="F1326" t="s">
        <v>38</v>
      </c>
      <c r="G1326" t="str">
        <f>VLOOKUP(A1326,[1]Kreise!$A$1:$C$53,3,FALSE)</f>
        <v>K030</v>
      </c>
      <c r="H1326">
        <v>11451</v>
      </c>
    </row>
    <row r="1327" spans="1:8">
      <c r="A1327">
        <v>1</v>
      </c>
      <c r="B1327" t="s">
        <v>30</v>
      </c>
      <c r="C1327">
        <v>2019</v>
      </c>
      <c r="D1327" t="s">
        <v>11</v>
      </c>
      <c r="E1327" t="s">
        <v>115</v>
      </c>
      <c r="F1327" t="s">
        <v>38</v>
      </c>
      <c r="G1327" t="str">
        <f>VLOOKUP(A1327,[1]Kreise!$A$1:$C$53,3,FALSE)</f>
        <v>K031</v>
      </c>
      <c r="H1327">
        <v>3015</v>
      </c>
    </row>
    <row r="1328" spans="1:8">
      <c r="A1328">
        <v>2</v>
      </c>
      <c r="B1328" t="s">
        <v>31</v>
      </c>
      <c r="C1328">
        <v>2019</v>
      </c>
      <c r="D1328" t="s">
        <v>11</v>
      </c>
      <c r="E1328" t="s">
        <v>115</v>
      </c>
      <c r="F1328" t="s">
        <v>38</v>
      </c>
      <c r="G1328" t="str">
        <f>VLOOKUP(A1328,[1]Kreise!$A$1:$C$53,3,FALSE)</f>
        <v>K032</v>
      </c>
      <c r="H1328">
        <v>3963</v>
      </c>
    </row>
    <row r="1329" spans="1:8">
      <c r="A1329">
        <v>3</v>
      </c>
      <c r="B1329" t="s">
        <v>32</v>
      </c>
      <c r="C1329">
        <v>2019</v>
      </c>
      <c r="D1329" t="s">
        <v>11</v>
      </c>
      <c r="E1329" t="s">
        <v>115</v>
      </c>
      <c r="F1329" t="s">
        <v>38</v>
      </c>
      <c r="G1329" t="str">
        <f>VLOOKUP(A1329,[1]Kreise!$A$1:$C$53,3,FALSE)</f>
        <v>K033</v>
      </c>
      <c r="H1329">
        <v>1860</v>
      </c>
    </row>
    <row r="1330" spans="1:8">
      <c r="A1330">
        <v>4</v>
      </c>
      <c r="B1330" t="s">
        <v>33</v>
      </c>
      <c r="C1330">
        <v>2019</v>
      </c>
      <c r="D1330" t="s">
        <v>11</v>
      </c>
      <c r="E1330" t="s">
        <v>115</v>
      </c>
      <c r="F1330" t="s">
        <v>38</v>
      </c>
      <c r="G1330" t="str">
        <f>VLOOKUP(A1330,[1]Kreise!$A$1:$C$53,3,FALSE)</f>
        <v>K034</v>
      </c>
      <c r="H1330">
        <v>2814</v>
      </c>
    </row>
    <row r="1331" spans="1:8">
      <c r="A1331">
        <v>0</v>
      </c>
      <c r="B1331" t="s">
        <v>34</v>
      </c>
      <c r="C1331">
        <v>2019</v>
      </c>
      <c r="D1331" t="s">
        <v>11</v>
      </c>
      <c r="E1331" t="s">
        <v>115</v>
      </c>
      <c r="F1331" t="s">
        <v>38</v>
      </c>
      <c r="G1331" t="str">
        <f>VLOOKUP(A1331,[1]Kreise!$A$1:$C$53,3,FALSE)</f>
        <v>K030</v>
      </c>
      <c r="H1331">
        <v>11652</v>
      </c>
    </row>
    <row r="1332" spans="1:8">
      <c r="A1332">
        <v>1</v>
      </c>
      <c r="B1332" t="s">
        <v>30</v>
      </c>
      <c r="C1332">
        <v>2018</v>
      </c>
      <c r="D1332" t="s">
        <v>11</v>
      </c>
      <c r="E1332" t="s">
        <v>115</v>
      </c>
      <c r="F1332" t="s">
        <v>38</v>
      </c>
      <c r="G1332" t="str">
        <f>VLOOKUP(A1332,[1]Kreise!$A$1:$C$53,3,FALSE)</f>
        <v>K031</v>
      </c>
      <c r="H1332">
        <v>2866</v>
      </c>
    </row>
    <row r="1333" spans="1:8">
      <c r="A1333">
        <v>2</v>
      </c>
      <c r="B1333" t="s">
        <v>31</v>
      </c>
      <c r="C1333">
        <v>2018</v>
      </c>
      <c r="D1333" t="s">
        <v>11</v>
      </c>
      <c r="E1333" t="s">
        <v>115</v>
      </c>
      <c r="F1333" t="s">
        <v>38</v>
      </c>
      <c r="G1333" t="str">
        <f>VLOOKUP(A1333,[1]Kreise!$A$1:$C$53,3,FALSE)</f>
        <v>K032</v>
      </c>
      <c r="H1333">
        <v>3885</v>
      </c>
    </row>
    <row r="1334" spans="1:8">
      <c r="A1334">
        <v>3</v>
      </c>
      <c r="B1334" t="s">
        <v>32</v>
      </c>
      <c r="C1334">
        <v>2018</v>
      </c>
      <c r="D1334" t="s">
        <v>11</v>
      </c>
      <c r="E1334" t="s">
        <v>115</v>
      </c>
      <c r="F1334" t="s">
        <v>38</v>
      </c>
      <c r="G1334" t="str">
        <f>VLOOKUP(A1334,[1]Kreise!$A$1:$C$53,3,FALSE)</f>
        <v>K033</v>
      </c>
      <c r="H1334">
        <v>1892</v>
      </c>
    </row>
    <row r="1335" spans="1:8">
      <c r="A1335">
        <v>4</v>
      </c>
      <c r="B1335" t="s">
        <v>33</v>
      </c>
      <c r="C1335">
        <v>2018</v>
      </c>
      <c r="D1335" t="s">
        <v>11</v>
      </c>
      <c r="E1335" t="s">
        <v>115</v>
      </c>
      <c r="F1335" t="s">
        <v>38</v>
      </c>
      <c r="G1335" t="str">
        <f>VLOOKUP(A1335,[1]Kreise!$A$1:$C$53,3,FALSE)</f>
        <v>K034</v>
      </c>
      <c r="H1335">
        <v>2840</v>
      </c>
    </row>
    <row r="1336" spans="1:8">
      <c r="A1336">
        <v>0</v>
      </c>
      <c r="B1336" t="s">
        <v>34</v>
      </c>
      <c r="C1336">
        <v>2018</v>
      </c>
      <c r="D1336" t="s">
        <v>11</v>
      </c>
      <c r="E1336" t="s">
        <v>115</v>
      </c>
      <c r="F1336" t="s">
        <v>38</v>
      </c>
      <c r="G1336" t="str">
        <f>VLOOKUP(A1336,[1]Kreise!$A$1:$C$53,3,FALSE)</f>
        <v>K030</v>
      </c>
      <c r="H1336">
        <v>11483</v>
      </c>
    </row>
    <row r="1337" spans="1:8">
      <c r="A1337">
        <v>1</v>
      </c>
      <c r="B1337" t="s">
        <v>30</v>
      </c>
      <c r="C1337">
        <v>2017</v>
      </c>
      <c r="D1337" t="s">
        <v>11</v>
      </c>
      <c r="E1337" t="s">
        <v>115</v>
      </c>
      <c r="F1337" t="s">
        <v>38</v>
      </c>
      <c r="G1337" t="str">
        <f>VLOOKUP(A1337,[1]Kreise!$A$1:$C$53,3,FALSE)</f>
        <v>K031</v>
      </c>
      <c r="H1337">
        <v>2866</v>
      </c>
    </row>
    <row r="1338" spans="1:8">
      <c r="A1338">
        <v>2</v>
      </c>
      <c r="B1338" t="s">
        <v>31</v>
      </c>
      <c r="C1338">
        <v>2017</v>
      </c>
      <c r="D1338" t="s">
        <v>11</v>
      </c>
      <c r="E1338" t="s">
        <v>115</v>
      </c>
      <c r="F1338" t="s">
        <v>38</v>
      </c>
      <c r="G1338" t="str">
        <f>VLOOKUP(A1338,[1]Kreise!$A$1:$C$53,3,FALSE)</f>
        <v>K032</v>
      </c>
      <c r="H1338">
        <v>3899</v>
      </c>
    </row>
    <row r="1339" spans="1:8">
      <c r="A1339">
        <v>3</v>
      </c>
      <c r="B1339" t="s">
        <v>32</v>
      </c>
      <c r="C1339">
        <v>2017</v>
      </c>
      <c r="D1339" t="s">
        <v>11</v>
      </c>
      <c r="E1339" t="s">
        <v>115</v>
      </c>
      <c r="F1339" t="s">
        <v>38</v>
      </c>
      <c r="G1339" t="str">
        <f>VLOOKUP(A1339,[1]Kreise!$A$1:$C$53,3,FALSE)</f>
        <v>K033</v>
      </c>
      <c r="H1339">
        <v>1816</v>
      </c>
    </row>
    <row r="1340" spans="1:8">
      <c r="A1340">
        <v>4</v>
      </c>
      <c r="B1340" t="s">
        <v>33</v>
      </c>
      <c r="C1340">
        <v>2017</v>
      </c>
      <c r="D1340" t="s">
        <v>11</v>
      </c>
      <c r="E1340" t="s">
        <v>115</v>
      </c>
      <c r="F1340" t="s">
        <v>38</v>
      </c>
      <c r="G1340" t="str">
        <f>VLOOKUP(A1340,[1]Kreise!$A$1:$C$53,3,FALSE)</f>
        <v>K034</v>
      </c>
      <c r="H1340">
        <v>2706</v>
      </c>
    </row>
    <row r="1341" spans="1:8">
      <c r="A1341">
        <v>0</v>
      </c>
      <c r="B1341" t="s">
        <v>34</v>
      </c>
      <c r="C1341">
        <v>2017</v>
      </c>
      <c r="D1341" t="s">
        <v>11</v>
      </c>
      <c r="E1341" t="s">
        <v>115</v>
      </c>
      <c r="F1341" t="s">
        <v>38</v>
      </c>
      <c r="G1341" t="str">
        <f>VLOOKUP(A1341,[1]Kreise!$A$1:$C$53,3,FALSE)</f>
        <v>K030</v>
      </c>
      <c r="H1341">
        <v>11287</v>
      </c>
    </row>
    <row r="1342" spans="1:8">
      <c r="A1342">
        <v>1</v>
      </c>
      <c r="B1342" t="s">
        <v>30</v>
      </c>
      <c r="C1342">
        <v>2016</v>
      </c>
      <c r="D1342" t="s">
        <v>11</v>
      </c>
      <c r="E1342" t="s">
        <v>115</v>
      </c>
      <c r="F1342" t="s">
        <v>38</v>
      </c>
      <c r="G1342" t="str">
        <f>VLOOKUP(A1342,[1]Kreise!$A$1:$C$53,3,FALSE)</f>
        <v>K031</v>
      </c>
      <c r="H1342">
        <v>2606</v>
      </c>
    </row>
    <row r="1343" spans="1:8">
      <c r="A1343">
        <v>2</v>
      </c>
      <c r="B1343" t="s">
        <v>31</v>
      </c>
      <c r="C1343">
        <v>2016</v>
      </c>
      <c r="D1343" t="s">
        <v>11</v>
      </c>
      <c r="E1343" t="s">
        <v>115</v>
      </c>
      <c r="F1343" t="s">
        <v>38</v>
      </c>
      <c r="G1343" t="str">
        <f>VLOOKUP(A1343,[1]Kreise!$A$1:$C$53,3,FALSE)</f>
        <v>K032</v>
      </c>
      <c r="H1343">
        <v>3437</v>
      </c>
    </row>
    <row r="1344" spans="1:8">
      <c r="A1344">
        <v>3</v>
      </c>
      <c r="B1344" t="s">
        <v>32</v>
      </c>
      <c r="C1344">
        <v>2016</v>
      </c>
      <c r="D1344" t="s">
        <v>11</v>
      </c>
      <c r="E1344" t="s">
        <v>115</v>
      </c>
      <c r="F1344" t="s">
        <v>38</v>
      </c>
      <c r="G1344" t="str">
        <f>VLOOKUP(A1344,[1]Kreise!$A$1:$C$53,3,FALSE)</f>
        <v>K033</v>
      </c>
      <c r="H1344">
        <v>1610</v>
      </c>
    </row>
    <row r="1345" spans="1:8">
      <c r="A1345">
        <v>4</v>
      </c>
      <c r="B1345" t="s">
        <v>33</v>
      </c>
      <c r="C1345">
        <v>2016</v>
      </c>
      <c r="D1345" t="s">
        <v>11</v>
      </c>
      <c r="E1345" t="s">
        <v>115</v>
      </c>
      <c r="F1345" t="s">
        <v>38</v>
      </c>
      <c r="G1345" t="str">
        <f>VLOOKUP(A1345,[1]Kreise!$A$1:$C$53,3,FALSE)</f>
        <v>K034</v>
      </c>
      <c r="H1345">
        <v>2489</v>
      </c>
    </row>
    <row r="1346" spans="1:8">
      <c r="A1346">
        <v>0</v>
      </c>
      <c r="B1346" t="s">
        <v>34</v>
      </c>
      <c r="C1346">
        <v>2016</v>
      </c>
      <c r="D1346" t="s">
        <v>11</v>
      </c>
      <c r="E1346" t="s">
        <v>115</v>
      </c>
      <c r="F1346" t="s">
        <v>38</v>
      </c>
      <c r="G1346" t="str">
        <f>VLOOKUP(A1346,[1]Kreise!$A$1:$C$53,3,FALSE)</f>
        <v>K030</v>
      </c>
      <c r="H1346">
        <v>10142</v>
      </c>
    </row>
    <row r="1347" spans="1:8">
      <c r="A1347">
        <v>1</v>
      </c>
      <c r="B1347" t="s">
        <v>30</v>
      </c>
      <c r="C1347">
        <v>2015</v>
      </c>
      <c r="D1347" t="s">
        <v>11</v>
      </c>
      <c r="E1347" t="s">
        <v>115</v>
      </c>
      <c r="F1347" t="s">
        <v>38</v>
      </c>
      <c r="G1347" t="str">
        <f>VLOOKUP(A1347,[1]Kreise!$A$1:$C$53,3,FALSE)</f>
        <v>K031</v>
      </c>
      <c r="H1347">
        <v>2591</v>
      </c>
    </row>
    <row r="1348" spans="1:8">
      <c r="A1348">
        <v>2</v>
      </c>
      <c r="B1348" t="s">
        <v>31</v>
      </c>
      <c r="C1348">
        <v>2015</v>
      </c>
      <c r="D1348" t="s">
        <v>11</v>
      </c>
      <c r="E1348" t="s">
        <v>115</v>
      </c>
      <c r="F1348" t="s">
        <v>38</v>
      </c>
      <c r="G1348" t="str">
        <f>VLOOKUP(A1348,[1]Kreise!$A$1:$C$53,3,FALSE)</f>
        <v>K032</v>
      </c>
      <c r="H1348">
        <v>3205</v>
      </c>
    </row>
    <row r="1349" spans="1:8">
      <c r="A1349">
        <v>3</v>
      </c>
      <c r="B1349" t="s">
        <v>32</v>
      </c>
      <c r="C1349">
        <v>2015</v>
      </c>
      <c r="D1349" t="s">
        <v>11</v>
      </c>
      <c r="E1349" t="s">
        <v>115</v>
      </c>
      <c r="F1349" t="s">
        <v>38</v>
      </c>
      <c r="G1349" t="str">
        <f>VLOOKUP(A1349,[1]Kreise!$A$1:$C$53,3,FALSE)</f>
        <v>K033</v>
      </c>
      <c r="H1349">
        <v>1499</v>
      </c>
    </row>
    <row r="1350" spans="1:8">
      <c r="A1350">
        <v>4</v>
      </c>
      <c r="B1350" t="s">
        <v>33</v>
      </c>
      <c r="C1350">
        <v>2015</v>
      </c>
      <c r="D1350" t="s">
        <v>11</v>
      </c>
      <c r="E1350" t="s">
        <v>115</v>
      </c>
      <c r="F1350" t="s">
        <v>38</v>
      </c>
      <c r="G1350" t="str">
        <f>VLOOKUP(A1350,[1]Kreise!$A$1:$C$53,3,FALSE)</f>
        <v>K034</v>
      </c>
      <c r="H1350">
        <v>2723</v>
      </c>
    </row>
    <row r="1351" spans="1:8">
      <c r="A1351">
        <v>0</v>
      </c>
      <c r="B1351" t="s">
        <v>34</v>
      </c>
      <c r="C1351">
        <v>2015</v>
      </c>
      <c r="D1351" t="s">
        <v>11</v>
      </c>
      <c r="E1351" t="s">
        <v>115</v>
      </c>
      <c r="F1351" t="s">
        <v>38</v>
      </c>
      <c r="G1351" t="str">
        <f>VLOOKUP(A1351,[1]Kreise!$A$1:$C$53,3,FALSE)</f>
        <v>K030</v>
      </c>
      <c r="H1351">
        <v>10018</v>
      </c>
    </row>
    <row r="1352" spans="1:8">
      <c r="A1352">
        <v>1</v>
      </c>
      <c r="B1352" t="s">
        <v>145</v>
      </c>
      <c r="C1352">
        <v>2014</v>
      </c>
      <c r="D1352" t="s">
        <v>11</v>
      </c>
      <c r="E1352" t="s">
        <v>115</v>
      </c>
      <c r="F1352" t="s">
        <v>38</v>
      </c>
      <c r="G1352" t="str">
        <f>VLOOKUP(A1352,[1]Kreise!$A$1:$C$53,3,FALSE)</f>
        <v>K031</v>
      </c>
      <c r="H1352">
        <v>2354</v>
      </c>
    </row>
    <row r="1353" spans="1:8">
      <c r="A1353">
        <v>2</v>
      </c>
      <c r="B1353" t="s">
        <v>146</v>
      </c>
      <c r="C1353">
        <v>2014</v>
      </c>
      <c r="D1353" t="s">
        <v>11</v>
      </c>
      <c r="E1353" t="s">
        <v>115</v>
      </c>
      <c r="F1353" t="s">
        <v>38</v>
      </c>
      <c r="G1353" t="str">
        <f>VLOOKUP(A1353,[1]Kreise!$A$1:$C$53,3,FALSE)</f>
        <v>K032</v>
      </c>
      <c r="H1353">
        <v>3242</v>
      </c>
    </row>
    <row r="1354" spans="1:8">
      <c r="A1354">
        <v>3</v>
      </c>
      <c r="B1354" t="s">
        <v>147</v>
      </c>
      <c r="C1354">
        <v>2014</v>
      </c>
      <c r="D1354" t="s">
        <v>11</v>
      </c>
      <c r="E1354" t="s">
        <v>115</v>
      </c>
      <c r="F1354" t="s">
        <v>38</v>
      </c>
      <c r="G1354" t="str">
        <f>VLOOKUP(A1354,[1]Kreise!$A$1:$C$53,3,FALSE)</f>
        <v>K033</v>
      </c>
      <c r="H1354">
        <v>1084</v>
      </c>
    </row>
    <row r="1355" spans="1:8">
      <c r="A1355">
        <v>4</v>
      </c>
      <c r="B1355" t="s">
        <v>148</v>
      </c>
      <c r="C1355">
        <v>2014</v>
      </c>
      <c r="D1355" t="s">
        <v>11</v>
      </c>
      <c r="E1355" t="s">
        <v>115</v>
      </c>
      <c r="F1355" t="s">
        <v>38</v>
      </c>
      <c r="G1355" t="str">
        <f>VLOOKUP(A1355,[1]Kreise!$A$1:$C$53,3,FALSE)</f>
        <v>K034</v>
      </c>
      <c r="H1355">
        <v>2686</v>
      </c>
    </row>
    <row r="1356" spans="1:8">
      <c r="A1356">
        <v>0</v>
      </c>
      <c r="B1356" t="s">
        <v>34</v>
      </c>
      <c r="C1356">
        <v>2014</v>
      </c>
      <c r="D1356" t="s">
        <v>11</v>
      </c>
      <c r="E1356" t="s">
        <v>115</v>
      </c>
      <c r="F1356" t="s">
        <v>38</v>
      </c>
      <c r="G1356" t="str">
        <f>VLOOKUP(A1356,[1]Kreise!$A$1:$C$53,3,FALSE)</f>
        <v>K030</v>
      </c>
      <c r="H1356">
        <v>9366</v>
      </c>
    </row>
    <row r="1357" spans="1:8">
      <c r="A1357">
        <v>1</v>
      </c>
      <c r="B1357" t="s">
        <v>30</v>
      </c>
      <c r="C1357">
        <v>2013</v>
      </c>
      <c r="D1357" t="s">
        <v>11</v>
      </c>
      <c r="E1357" t="s">
        <v>115</v>
      </c>
      <c r="F1357" t="s">
        <v>38</v>
      </c>
      <c r="G1357" t="str">
        <f>VLOOKUP(A1357,[1]Kreise!$A$1:$C$53,3,FALSE)</f>
        <v>K031</v>
      </c>
      <c r="H1357">
        <v>2461</v>
      </c>
    </row>
    <row r="1358" spans="1:8">
      <c r="A1358">
        <v>2</v>
      </c>
      <c r="B1358" t="s">
        <v>31</v>
      </c>
      <c r="C1358">
        <v>2013</v>
      </c>
      <c r="D1358" t="s">
        <v>11</v>
      </c>
      <c r="E1358" t="s">
        <v>115</v>
      </c>
      <c r="F1358" t="s">
        <v>38</v>
      </c>
      <c r="G1358" t="str">
        <f>VLOOKUP(A1358,[1]Kreise!$A$1:$C$53,3,FALSE)</f>
        <v>K032</v>
      </c>
      <c r="H1358">
        <v>3160</v>
      </c>
    </row>
    <row r="1359" spans="1:8">
      <c r="A1359">
        <v>3</v>
      </c>
      <c r="B1359" t="s">
        <v>32</v>
      </c>
      <c r="C1359">
        <v>2013</v>
      </c>
      <c r="D1359" t="s">
        <v>11</v>
      </c>
      <c r="E1359" t="s">
        <v>115</v>
      </c>
      <c r="F1359" t="s">
        <v>38</v>
      </c>
      <c r="G1359" t="str">
        <f>VLOOKUP(A1359,[1]Kreise!$A$1:$C$53,3,FALSE)</f>
        <v>K033</v>
      </c>
      <c r="H1359">
        <v>811</v>
      </c>
    </row>
    <row r="1360" spans="1:8">
      <c r="A1360">
        <v>4</v>
      </c>
      <c r="B1360" t="s">
        <v>33</v>
      </c>
      <c r="C1360">
        <v>2013</v>
      </c>
      <c r="D1360" t="s">
        <v>11</v>
      </c>
      <c r="E1360" t="s">
        <v>115</v>
      </c>
      <c r="F1360" t="s">
        <v>38</v>
      </c>
      <c r="G1360" t="str">
        <f>VLOOKUP(A1360,[1]Kreise!$A$1:$C$53,3,FALSE)</f>
        <v>K034</v>
      </c>
      <c r="H1360">
        <v>2505</v>
      </c>
    </row>
    <row r="1361" spans="1:8">
      <c r="A1361">
        <v>0</v>
      </c>
      <c r="B1361" t="s">
        <v>34</v>
      </c>
      <c r="C1361">
        <v>2013</v>
      </c>
      <c r="D1361" t="s">
        <v>11</v>
      </c>
      <c r="E1361" t="s">
        <v>115</v>
      </c>
      <c r="F1361" t="s">
        <v>38</v>
      </c>
      <c r="G1361" t="str">
        <f>VLOOKUP(A1361,[1]Kreise!$A$1:$C$53,3,FALSE)</f>
        <v>K030</v>
      </c>
      <c r="H1361">
        <v>8937</v>
      </c>
    </row>
    <row r="1362" spans="1:8">
      <c r="A1362">
        <v>1</v>
      </c>
      <c r="B1362" t="s">
        <v>145</v>
      </c>
      <c r="C1362">
        <v>2012</v>
      </c>
      <c r="D1362" t="s">
        <v>11</v>
      </c>
      <c r="E1362" t="s">
        <v>115</v>
      </c>
      <c r="F1362" t="s">
        <v>38</v>
      </c>
      <c r="G1362" t="str">
        <f>VLOOKUP(A1362,[1]Kreise!$A$1:$C$53,3,FALSE)</f>
        <v>K031</v>
      </c>
      <c r="H1362">
        <v>1668</v>
      </c>
    </row>
    <row r="1363" spans="1:8">
      <c r="A1363">
        <v>2</v>
      </c>
      <c r="B1363" t="s">
        <v>146</v>
      </c>
      <c r="C1363">
        <v>2012</v>
      </c>
      <c r="D1363" t="s">
        <v>11</v>
      </c>
      <c r="E1363" t="s">
        <v>115</v>
      </c>
      <c r="F1363" t="s">
        <v>38</v>
      </c>
      <c r="G1363" t="str">
        <f>VLOOKUP(A1363,[1]Kreise!$A$1:$C$53,3,FALSE)</f>
        <v>K032</v>
      </c>
      <c r="H1363">
        <v>2629</v>
      </c>
    </row>
    <row r="1364" spans="1:8">
      <c r="A1364">
        <v>3</v>
      </c>
      <c r="B1364" t="s">
        <v>147</v>
      </c>
      <c r="C1364">
        <v>2012</v>
      </c>
      <c r="D1364" t="s">
        <v>11</v>
      </c>
      <c r="E1364" t="s">
        <v>115</v>
      </c>
      <c r="F1364" t="s">
        <v>38</v>
      </c>
      <c r="G1364" t="str">
        <f>VLOOKUP(A1364,[1]Kreise!$A$1:$C$53,3,FALSE)</f>
        <v>K033</v>
      </c>
      <c r="H1364">
        <v>540</v>
      </c>
    </row>
    <row r="1365" spans="1:8">
      <c r="A1365">
        <v>4</v>
      </c>
      <c r="B1365" t="s">
        <v>148</v>
      </c>
      <c r="C1365">
        <v>2012</v>
      </c>
      <c r="D1365" t="s">
        <v>11</v>
      </c>
      <c r="E1365" t="s">
        <v>115</v>
      </c>
      <c r="F1365" t="s">
        <v>38</v>
      </c>
      <c r="G1365" t="str">
        <f>VLOOKUP(A1365,[1]Kreise!$A$1:$C$53,3,FALSE)</f>
        <v>K034</v>
      </c>
      <c r="H1365">
        <v>1762</v>
      </c>
    </row>
    <row r="1366" spans="1:8">
      <c r="A1366">
        <v>0</v>
      </c>
      <c r="B1366" t="s">
        <v>34</v>
      </c>
      <c r="C1366">
        <v>2012</v>
      </c>
      <c r="D1366" t="s">
        <v>11</v>
      </c>
      <c r="E1366" t="s">
        <v>115</v>
      </c>
      <c r="F1366" t="s">
        <v>38</v>
      </c>
      <c r="G1366" t="str">
        <f>VLOOKUP(A1366,[1]Kreise!$A$1:$C$53,3,FALSE)</f>
        <v>K030</v>
      </c>
      <c r="H1366">
        <v>6599</v>
      </c>
    </row>
    <row r="1367" spans="1:8">
      <c r="A1367">
        <v>1</v>
      </c>
      <c r="B1367" t="s">
        <v>30</v>
      </c>
      <c r="C1367">
        <v>2011</v>
      </c>
      <c r="D1367" t="s">
        <v>11</v>
      </c>
      <c r="E1367" t="s">
        <v>115</v>
      </c>
      <c r="F1367" t="s">
        <v>38</v>
      </c>
      <c r="G1367" t="str">
        <f>VLOOKUP(A1367,[1]Kreise!$A$1:$C$53,3,FALSE)</f>
        <v>K031</v>
      </c>
      <c r="H1367">
        <v>1205</v>
      </c>
    </row>
    <row r="1368" spans="1:8">
      <c r="A1368">
        <v>2</v>
      </c>
      <c r="B1368" t="s">
        <v>31</v>
      </c>
      <c r="C1368">
        <v>2011</v>
      </c>
      <c r="D1368" t="s">
        <v>11</v>
      </c>
      <c r="E1368" t="s">
        <v>115</v>
      </c>
      <c r="F1368" t="s">
        <v>38</v>
      </c>
      <c r="G1368" t="str">
        <f>VLOOKUP(A1368,[1]Kreise!$A$1:$C$53,3,FALSE)</f>
        <v>K032</v>
      </c>
      <c r="H1368">
        <v>1658</v>
      </c>
    </row>
    <row r="1369" spans="1:8">
      <c r="A1369">
        <v>3</v>
      </c>
      <c r="B1369" t="s">
        <v>32</v>
      </c>
      <c r="C1369">
        <v>2011</v>
      </c>
      <c r="D1369" t="s">
        <v>11</v>
      </c>
      <c r="E1369" t="s">
        <v>115</v>
      </c>
      <c r="F1369" t="s">
        <v>38</v>
      </c>
      <c r="G1369" t="str">
        <f>VLOOKUP(A1369,[1]Kreise!$A$1:$C$53,3,FALSE)</f>
        <v>K033</v>
      </c>
      <c r="H1369">
        <v>383</v>
      </c>
    </row>
    <row r="1370" spans="1:8">
      <c r="A1370">
        <v>4</v>
      </c>
      <c r="B1370" t="s">
        <v>33</v>
      </c>
      <c r="C1370">
        <v>2011</v>
      </c>
      <c r="D1370" t="s">
        <v>11</v>
      </c>
      <c r="E1370" t="s">
        <v>115</v>
      </c>
      <c r="F1370" t="s">
        <v>38</v>
      </c>
      <c r="G1370" t="str">
        <f>VLOOKUP(A1370,[1]Kreise!$A$1:$C$53,3,FALSE)</f>
        <v>K034</v>
      </c>
      <c r="H1370">
        <v>1435</v>
      </c>
    </row>
    <row r="1371" spans="1:8">
      <c r="A1371">
        <v>0</v>
      </c>
      <c r="B1371" t="s">
        <v>34</v>
      </c>
      <c r="C1371">
        <v>2011</v>
      </c>
      <c r="D1371" t="s">
        <v>11</v>
      </c>
      <c r="E1371" t="s">
        <v>115</v>
      </c>
      <c r="F1371" t="s">
        <v>38</v>
      </c>
      <c r="G1371" t="str">
        <f>VLOOKUP(A1371,[1]Kreise!$A$1:$C$53,3,FALSE)</f>
        <v>K030</v>
      </c>
      <c r="H1371">
        <v>4681</v>
      </c>
    </row>
    <row r="1372" spans="1:8">
      <c r="A1372">
        <v>1</v>
      </c>
      <c r="B1372" t="s">
        <v>145</v>
      </c>
      <c r="C1372">
        <v>2010</v>
      </c>
      <c r="D1372" t="s">
        <v>11</v>
      </c>
      <c r="E1372" t="s">
        <v>115</v>
      </c>
      <c r="F1372" t="s">
        <v>38</v>
      </c>
      <c r="G1372" t="str">
        <f>VLOOKUP(A1372,[1]Kreise!$A$1:$C$53,3,FALSE)</f>
        <v>K031</v>
      </c>
      <c r="H1372">
        <v>1185</v>
      </c>
    </row>
    <row r="1373" spans="1:8">
      <c r="A1373">
        <v>2</v>
      </c>
      <c r="B1373" t="s">
        <v>146</v>
      </c>
      <c r="C1373">
        <v>2010</v>
      </c>
      <c r="D1373" t="s">
        <v>11</v>
      </c>
      <c r="E1373" t="s">
        <v>115</v>
      </c>
      <c r="F1373" t="s">
        <v>38</v>
      </c>
      <c r="G1373" t="str">
        <f>VLOOKUP(A1373,[1]Kreise!$A$1:$C$53,3,FALSE)</f>
        <v>K032</v>
      </c>
      <c r="H1373">
        <v>1643</v>
      </c>
    </row>
    <row r="1374" spans="1:8">
      <c r="A1374">
        <v>3</v>
      </c>
      <c r="B1374" t="s">
        <v>147</v>
      </c>
      <c r="C1374">
        <v>2010</v>
      </c>
      <c r="D1374" t="s">
        <v>11</v>
      </c>
      <c r="E1374" t="s">
        <v>115</v>
      </c>
      <c r="F1374" t="s">
        <v>38</v>
      </c>
      <c r="G1374" t="str">
        <f>VLOOKUP(A1374,[1]Kreise!$A$1:$C$53,3,FALSE)</f>
        <v>K033</v>
      </c>
      <c r="H1374">
        <v>349</v>
      </c>
    </row>
    <row r="1375" spans="1:8">
      <c r="A1375">
        <v>4</v>
      </c>
      <c r="B1375" t="s">
        <v>148</v>
      </c>
      <c r="C1375">
        <v>2010</v>
      </c>
      <c r="D1375" t="s">
        <v>11</v>
      </c>
      <c r="E1375" t="s">
        <v>115</v>
      </c>
      <c r="F1375" t="s">
        <v>38</v>
      </c>
      <c r="G1375" t="str">
        <f>VLOOKUP(A1375,[1]Kreise!$A$1:$C$53,3,FALSE)</f>
        <v>K034</v>
      </c>
      <c r="H1375">
        <v>1315</v>
      </c>
    </row>
    <row r="1376" spans="1:8">
      <c r="A1376">
        <v>0</v>
      </c>
      <c r="B1376" t="s">
        <v>34</v>
      </c>
      <c r="C1376">
        <v>2010</v>
      </c>
      <c r="D1376" t="s">
        <v>11</v>
      </c>
      <c r="E1376" t="s">
        <v>115</v>
      </c>
      <c r="F1376" t="s">
        <v>38</v>
      </c>
      <c r="G1376" t="str">
        <f>VLOOKUP(A1376,[1]Kreise!$A$1:$C$53,3,FALSE)</f>
        <v>K030</v>
      </c>
      <c r="H1376">
        <v>4492</v>
      </c>
    </row>
    <row r="1377" spans="1:8">
      <c r="A1377">
        <v>1</v>
      </c>
      <c r="B1377" t="s">
        <v>145</v>
      </c>
      <c r="C1377">
        <v>2005</v>
      </c>
      <c r="D1377" t="s">
        <v>11</v>
      </c>
      <c r="E1377" t="s">
        <v>115</v>
      </c>
      <c r="F1377" t="s">
        <v>38</v>
      </c>
      <c r="G1377" t="str">
        <f>VLOOKUP(A1377,[1]Kreise!$A$1:$C$53,3,FALSE)</f>
        <v>K031</v>
      </c>
      <c r="H1377">
        <v>1045</v>
      </c>
    </row>
    <row r="1378" spans="1:8">
      <c r="A1378">
        <v>2</v>
      </c>
      <c r="B1378" t="s">
        <v>146</v>
      </c>
      <c r="C1378">
        <v>2005</v>
      </c>
      <c r="D1378" t="s">
        <v>11</v>
      </c>
      <c r="E1378" t="s">
        <v>115</v>
      </c>
      <c r="F1378" t="s">
        <v>38</v>
      </c>
      <c r="G1378" t="str">
        <f>VLOOKUP(A1378,[1]Kreise!$A$1:$C$53,3,FALSE)</f>
        <v>K032</v>
      </c>
      <c r="H1378">
        <v>1511</v>
      </c>
    </row>
    <row r="1379" spans="1:8">
      <c r="A1379">
        <v>3</v>
      </c>
      <c r="B1379" t="s">
        <v>147</v>
      </c>
      <c r="C1379">
        <v>2005</v>
      </c>
      <c r="D1379" t="s">
        <v>11</v>
      </c>
      <c r="E1379" t="s">
        <v>115</v>
      </c>
      <c r="F1379" t="s">
        <v>38</v>
      </c>
      <c r="G1379" t="str">
        <f>VLOOKUP(A1379,[1]Kreise!$A$1:$C$53,3,FALSE)</f>
        <v>K033</v>
      </c>
      <c r="H1379">
        <v>316</v>
      </c>
    </row>
    <row r="1380" spans="1:8">
      <c r="A1380">
        <v>4</v>
      </c>
      <c r="B1380" t="s">
        <v>148</v>
      </c>
      <c r="C1380">
        <v>2005</v>
      </c>
      <c r="D1380" t="s">
        <v>11</v>
      </c>
      <c r="E1380" t="s">
        <v>115</v>
      </c>
      <c r="F1380" t="s">
        <v>38</v>
      </c>
      <c r="G1380" t="str">
        <f>VLOOKUP(A1380,[1]Kreise!$A$1:$C$53,3,FALSE)</f>
        <v>K034</v>
      </c>
      <c r="H1380">
        <v>1222</v>
      </c>
    </row>
    <row r="1381" spans="1:8">
      <c r="A1381">
        <v>0</v>
      </c>
      <c r="B1381" t="s">
        <v>34</v>
      </c>
      <c r="C1381">
        <v>2005</v>
      </c>
      <c r="D1381" t="s">
        <v>11</v>
      </c>
      <c r="E1381" t="s">
        <v>115</v>
      </c>
      <c r="F1381" t="s">
        <v>38</v>
      </c>
      <c r="G1381" t="str">
        <f>VLOOKUP(A1381,[1]Kreise!$A$1:$C$53,3,FALSE)</f>
        <v>K030</v>
      </c>
      <c r="H1381">
        <v>4094</v>
      </c>
    </row>
    <row r="1382" spans="1:8">
      <c r="A1382">
        <v>1</v>
      </c>
      <c r="B1382" t="s">
        <v>30</v>
      </c>
      <c r="C1382">
        <v>2020</v>
      </c>
      <c r="D1382" t="s">
        <v>12</v>
      </c>
      <c r="E1382" t="s">
        <v>115</v>
      </c>
      <c r="F1382" t="s">
        <v>38</v>
      </c>
      <c r="G1382" t="str">
        <f>VLOOKUP(A1382,[1]Kreise!$A$1:$C$53,3,FALSE)</f>
        <v>K031</v>
      </c>
      <c r="H1382">
        <v>263</v>
      </c>
    </row>
    <row r="1383" spans="1:8">
      <c r="A1383">
        <v>2</v>
      </c>
      <c r="B1383" t="s">
        <v>31</v>
      </c>
      <c r="C1383">
        <v>2020</v>
      </c>
      <c r="D1383" t="s">
        <v>12</v>
      </c>
      <c r="E1383" t="s">
        <v>115</v>
      </c>
      <c r="F1383" t="s">
        <v>38</v>
      </c>
      <c r="G1383" t="str">
        <f>VLOOKUP(A1383,[1]Kreise!$A$1:$C$53,3,FALSE)</f>
        <v>K032</v>
      </c>
      <c r="H1383">
        <v>636</v>
      </c>
    </row>
    <row r="1384" spans="1:8">
      <c r="A1384">
        <v>3</v>
      </c>
      <c r="B1384" t="s">
        <v>32</v>
      </c>
      <c r="C1384">
        <v>2020</v>
      </c>
      <c r="D1384" t="s">
        <v>12</v>
      </c>
      <c r="E1384" t="s">
        <v>115</v>
      </c>
      <c r="F1384" t="s">
        <v>38</v>
      </c>
      <c r="G1384" t="str">
        <f>VLOOKUP(A1384,[1]Kreise!$A$1:$C$53,3,FALSE)</f>
        <v>K033</v>
      </c>
      <c r="H1384">
        <v>167</v>
      </c>
    </row>
    <row r="1385" spans="1:8">
      <c r="A1385">
        <v>4</v>
      </c>
      <c r="B1385" t="s">
        <v>33</v>
      </c>
      <c r="C1385">
        <v>2020</v>
      </c>
      <c r="D1385" t="s">
        <v>12</v>
      </c>
      <c r="E1385" t="s">
        <v>115</v>
      </c>
      <c r="F1385" t="s">
        <v>38</v>
      </c>
      <c r="G1385" t="str">
        <f>VLOOKUP(A1385,[1]Kreise!$A$1:$C$53,3,FALSE)</f>
        <v>K034</v>
      </c>
      <c r="H1385">
        <v>220</v>
      </c>
    </row>
    <row r="1386" spans="1:8">
      <c r="A1386">
        <v>0</v>
      </c>
      <c r="B1386" t="s">
        <v>34</v>
      </c>
      <c r="C1386">
        <v>2020</v>
      </c>
      <c r="D1386" t="s">
        <v>12</v>
      </c>
      <c r="E1386" t="s">
        <v>115</v>
      </c>
      <c r="F1386" t="s">
        <v>38</v>
      </c>
      <c r="G1386" t="str">
        <f>VLOOKUP(A1386,[1]Kreise!$A$1:$C$53,3,FALSE)</f>
        <v>K030</v>
      </c>
      <c r="H1386">
        <v>1286</v>
      </c>
    </row>
    <row r="1387" spans="1:8">
      <c r="A1387">
        <v>1</v>
      </c>
      <c r="B1387" t="s">
        <v>30</v>
      </c>
      <c r="C1387">
        <v>2019</v>
      </c>
      <c r="D1387" t="s">
        <v>12</v>
      </c>
      <c r="E1387" t="s">
        <v>115</v>
      </c>
      <c r="F1387" t="s">
        <v>38</v>
      </c>
      <c r="G1387" t="str">
        <f>VLOOKUP(A1387,[1]Kreise!$A$1:$C$53,3,FALSE)</f>
        <v>K031</v>
      </c>
      <c r="H1387">
        <v>214</v>
      </c>
    </row>
    <row r="1388" spans="1:8">
      <c r="A1388">
        <v>2</v>
      </c>
      <c r="B1388" t="s">
        <v>31</v>
      </c>
      <c r="C1388">
        <v>2019</v>
      </c>
      <c r="D1388" t="s">
        <v>12</v>
      </c>
      <c r="E1388" t="s">
        <v>115</v>
      </c>
      <c r="F1388" t="s">
        <v>38</v>
      </c>
      <c r="G1388" t="str">
        <f>VLOOKUP(A1388,[1]Kreise!$A$1:$C$53,3,FALSE)</f>
        <v>K032</v>
      </c>
      <c r="H1388">
        <v>536</v>
      </c>
    </row>
    <row r="1389" spans="1:8">
      <c r="A1389">
        <v>3</v>
      </c>
      <c r="B1389" t="s">
        <v>32</v>
      </c>
      <c r="C1389">
        <v>2019</v>
      </c>
      <c r="D1389" t="s">
        <v>12</v>
      </c>
      <c r="E1389" t="s">
        <v>115</v>
      </c>
      <c r="F1389" t="s">
        <v>38</v>
      </c>
      <c r="G1389" t="str">
        <f>VLOOKUP(A1389,[1]Kreise!$A$1:$C$53,3,FALSE)</f>
        <v>K033</v>
      </c>
      <c r="H1389">
        <v>129</v>
      </c>
    </row>
    <row r="1390" spans="1:8">
      <c r="A1390">
        <v>4</v>
      </c>
      <c r="B1390" t="s">
        <v>33</v>
      </c>
      <c r="C1390">
        <v>2019</v>
      </c>
      <c r="D1390" t="s">
        <v>12</v>
      </c>
      <c r="E1390" t="s">
        <v>115</v>
      </c>
      <c r="F1390" t="s">
        <v>38</v>
      </c>
      <c r="G1390" t="str">
        <f>VLOOKUP(A1390,[1]Kreise!$A$1:$C$53,3,FALSE)</f>
        <v>K034</v>
      </c>
      <c r="H1390">
        <v>189</v>
      </c>
    </row>
    <row r="1391" spans="1:8">
      <c r="A1391">
        <v>0</v>
      </c>
      <c r="B1391" t="s">
        <v>34</v>
      </c>
      <c r="C1391">
        <v>2019</v>
      </c>
      <c r="D1391" t="s">
        <v>12</v>
      </c>
      <c r="E1391" t="s">
        <v>115</v>
      </c>
      <c r="F1391" t="s">
        <v>38</v>
      </c>
      <c r="G1391" t="str">
        <f>VLOOKUP(A1391,[1]Kreise!$A$1:$C$53,3,FALSE)</f>
        <v>K030</v>
      </c>
      <c r="H1391">
        <v>1068</v>
      </c>
    </row>
    <row r="1392" spans="1:8">
      <c r="A1392">
        <v>1</v>
      </c>
      <c r="B1392" t="s">
        <v>30</v>
      </c>
      <c r="C1392">
        <v>2018</v>
      </c>
      <c r="D1392" t="s">
        <v>12</v>
      </c>
      <c r="E1392" t="s">
        <v>115</v>
      </c>
      <c r="F1392" t="s">
        <v>38</v>
      </c>
      <c r="G1392" t="str">
        <f>VLOOKUP(A1392,[1]Kreise!$A$1:$C$53,3,FALSE)</f>
        <v>K031</v>
      </c>
      <c r="H1392">
        <v>216</v>
      </c>
    </row>
    <row r="1393" spans="1:8">
      <c r="A1393">
        <v>2</v>
      </c>
      <c r="B1393" t="s">
        <v>31</v>
      </c>
      <c r="C1393">
        <v>2018</v>
      </c>
      <c r="D1393" t="s">
        <v>12</v>
      </c>
      <c r="E1393" t="s">
        <v>115</v>
      </c>
      <c r="F1393" t="s">
        <v>38</v>
      </c>
      <c r="G1393" t="str">
        <f>VLOOKUP(A1393,[1]Kreise!$A$1:$C$53,3,FALSE)</f>
        <v>K032</v>
      </c>
      <c r="H1393">
        <v>435</v>
      </c>
    </row>
    <row r="1394" spans="1:8">
      <c r="A1394">
        <v>3</v>
      </c>
      <c r="B1394" t="s">
        <v>32</v>
      </c>
      <c r="C1394">
        <v>2018</v>
      </c>
      <c r="D1394" t="s">
        <v>12</v>
      </c>
      <c r="E1394" t="s">
        <v>115</v>
      </c>
      <c r="F1394" t="s">
        <v>38</v>
      </c>
      <c r="G1394" t="str">
        <f>VLOOKUP(A1394,[1]Kreise!$A$1:$C$53,3,FALSE)</f>
        <v>K033</v>
      </c>
      <c r="H1394">
        <v>123</v>
      </c>
    </row>
    <row r="1395" spans="1:8">
      <c r="A1395">
        <v>4</v>
      </c>
      <c r="B1395" t="s">
        <v>33</v>
      </c>
      <c r="C1395">
        <v>2018</v>
      </c>
      <c r="D1395" t="s">
        <v>12</v>
      </c>
      <c r="E1395" t="s">
        <v>115</v>
      </c>
      <c r="F1395" t="s">
        <v>38</v>
      </c>
      <c r="G1395" t="str">
        <f>VLOOKUP(A1395,[1]Kreise!$A$1:$C$53,3,FALSE)</f>
        <v>K034</v>
      </c>
      <c r="H1395">
        <v>167</v>
      </c>
    </row>
    <row r="1396" spans="1:8">
      <c r="A1396">
        <v>0</v>
      </c>
      <c r="B1396" t="s">
        <v>34</v>
      </c>
      <c r="C1396">
        <v>2018</v>
      </c>
      <c r="D1396" t="s">
        <v>12</v>
      </c>
      <c r="E1396" t="s">
        <v>115</v>
      </c>
      <c r="F1396" t="s">
        <v>38</v>
      </c>
      <c r="G1396" t="str">
        <f>VLOOKUP(A1396,[1]Kreise!$A$1:$C$53,3,FALSE)</f>
        <v>K030</v>
      </c>
      <c r="H1396">
        <v>941</v>
      </c>
    </row>
    <row r="1397" spans="1:8">
      <c r="A1397">
        <v>1</v>
      </c>
      <c r="B1397" t="s">
        <v>30</v>
      </c>
      <c r="C1397">
        <v>2017</v>
      </c>
      <c r="D1397" t="s">
        <v>12</v>
      </c>
      <c r="E1397" t="s">
        <v>115</v>
      </c>
      <c r="F1397" t="s">
        <v>38</v>
      </c>
      <c r="G1397" t="str">
        <f>VLOOKUP(A1397,[1]Kreise!$A$1:$C$53,3,FALSE)</f>
        <v>K031</v>
      </c>
      <c r="H1397">
        <v>157</v>
      </c>
    </row>
    <row r="1398" spans="1:8">
      <c r="A1398">
        <v>2</v>
      </c>
      <c r="B1398" t="s">
        <v>31</v>
      </c>
      <c r="C1398">
        <v>2017</v>
      </c>
      <c r="D1398" t="s">
        <v>12</v>
      </c>
      <c r="E1398" t="s">
        <v>115</v>
      </c>
      <c r="F1398" t="s">
        <v>38</v>
      </c>
      <c r="G1398" t="str">
        <f>VLOOKUP(A1398,[1]Kreise!$A$1:$C$53,3,FALSE)</f>
        <v>K032</v>
      </c>
      <c r="H1398">
        <v>385</v>
      </c>
    </row>
    <row r="1399" spans="1:8">
      <c r="A1399">
        <v>3</v>
      </c>
      <c r="B1399" t="s">
        <v>32</v>
      </c>
      <c r="C1399">
        <v>2017</v>
      </c>
      <c r="D1399" t="s">
        <v>12</v>
      </c>
      <c r="E1399" t="s">
        <v>115</v>
      </c>
      <c r="F1399" t="s">
        <v>38</v>
      </c>
      <c r="G1399" t="str">
        <f>VLOOKUP(A1399,[1]Kreise!$A$1:$C$53,3,FALSE)</f>
        <v>K033</v>
      </c>
      <c r="H1399">
        <v>89</v>
      </c>
    </row>
    <row r="1400" spans="1:8">
      <c r="A1400">
        <v>4</v>
      </c>
      <c r="B1400" t="s">
        <v>33</v>
      </c>
      <c r="C1400">
        <v>2017</v>
      </c>
      <c r="D1400" t="s">
        <v>12</v>
      </c>
      <c r="E1400" t="s">
        <v>115</v>
      </c>
      <c r="F1400" t="s">
        <v>38</v>
      </c>
      <c r="G1400" t="str">
        <f>VLOOKUP(A1400,[1]Kreise!$A$1:$C$53,3,FALSE)</f>
        <v>K034</v>
      </c>
      <c r="H1400">
        <v>125</v>
      </c>
    </row>
    <row r="1401" spans="1:8">
      <c r="A1401">
        <v>0</v>
      </c>
      <c r="B1401" t="s">
        <v>34</v>
      </c>
      <c r="C1401">
        <v>2017</v>
      </c>
      <c r="D1401" t="s">
        <v>12</v>
      </c>
      <c r="E1401" t="s">
        <v>115</v>
      </c>
      <c r="F1401" t="s">
        <v>38</v>
      </c>
      <c r="G1401" t="str">
        <f>VLOOKUP(A1401,[1]Kreise!$A$1:$C$53,3,FALSE)</f>
        <v>K030</v>
      </c>
      <c r="H1401">
        <v>756</v>
      </c>
    </row>
    <row r="1402" spans="1:8">
      <c r="A1402">
        <v>1</v>
      </c>
      <c r="B1402" t="s">
        <v>30</v>
      </c>
      <c r="C1402">
        <v>2016</v>
      </c>
      <c r="D1402" t="s">
        <v>12</v>
      </c>
      <c r="E1402" t="s">
        <v>115</v>
      </c>
      <c r="F1402" t="s">
        <v>38</v>
      </c>
      <c r="G1402" t="str">
        <f>VLOOKUP(A1402,[1]Kreise!$A$1:$C$53,3,FALSE)</f>
        <v>K031</v>
      </c>
      <c r="H1402">
        <v>107</v>
      </c>
    </row>
    <row r="1403" spans="1:8">
      <c r="A1403">
        <v>2</v>
      </c>
      <c r="B1403" t="s">
        <v>31</v>
      </c>
      <c r="C1403">
        <v>2016</v>
      </c>
      <c r="D1403" t="s">
        <v>12</v>
      </c>
      <c r="E1403" t="s">
        <v>115</v>
      </c>
      <c r="F1403" t="s">
        <v>38</v>
      </c>
      <c r="G1403" t="str">
        <f>VLOOKUP(A1403,[1]Kreise!$A$1:$C$53,3,FALSE)</f>
        <v>K032</v>
      </c>
      <c r="H1403">
        <v>281</v>
      </c>
    </row>
    <row r="1404" spans="1:8">
      <c r="A1404">
        <v>3</v>
      </c>
      <c r="B1404" t="s">
        <v>32</v>
      </c>
      <c r="C1404">
        <v>2016</v>
      </c>
      <c r="D1404" t="s">
        <v>12</v>
      </c>
      <c r="E1404" t="s">
        <v>115</v>
      </c>
      <c r="F1404" t="s">
        <v>38</v>
      </c>
      <c r="G1404" t="str">
        <f>VLOOKUP(A1404,[1]Kreise!$A$1:$C$53,3,FALSE)</f>
        <v>K033</v>
      </c>
      <c r="H1404">
        <v>45</v>
      </c>
    </row>
    <row r="1405" spans="1:8">
      <c r="A1405">
        <v>4</v>
      </c>
      <c r="B1405" t="s">
        <v>33</v>
      </c>
      <c r="C1405">
        <v>2016</v>
      </c>
      <c r="D1405" t="s">
        <v>12</v>
      </c>
      <c r="E1405" t="s">
        <v>115</v>
      </c>
      <c r="F1405" t="s">
        <v>38</v>
      </c>
      <c r="G1405" t="str">
        <f>VLOOKUP(A1405,[1]Kreise!$A$1:$C$53,3,FALSE)</f>
        <v>K034</v>
      </c>
      <c r="H1405">
        <v>114</v>
      </c>
    </row>
    <row r="1406" spans="1:8">
      <c r="A1406">
        <v>0</v>
      </c>
      <c r="B1406" t="s">
        <v>34</v>
      </c>
      <c r="C1406">
        <v>2016</v>
      </c>
      <c r="D1406" t="s">
        <v>12</v>
      </c>
      <c r="E1406" t="s">
        <v>115</v>
      </c>
      <c r="F1406" t="s">
        <v>38</v>
      </c>
      <c r="G1406" t="str">
        <f>VLOOKUP(A1406,[1]Kreise!$A$1:$C$53,3,FALSE)</f>
        <v>K030</v>
      </c>
      <c r="H1406">
        <v>547</v>
      </c>
    </row>
    <row r="1407" spans="1:8">
      <c r="A1407">
        <v>1</v>
      </c>
      <c r="B1407" t="s">
        <v>30</v>
      </c>
      <c r="C1407">
        <v>2015</v>
      </c>
      <c r="D1407" t="s">
        <v>12</v>
      </c>
      <c r="E1407" t="s">
        <v>115</v>
      </c>
      <c r="F1407" t="s">
        <v>38</v>
      </c>
      <c r="G1407" t="str">
        <f>VLOOKUP(A1407,[1]Kreise!$A$1:$C$53,3,FALSE)</f>
        <v>K031</v>
      </c>
      <c r="H1407">
        <v>118</v>
      </c>
    </row>
    <row r="1408" spans="1:8">
      <c r="A1408">
        <v>2</v>
      </c>
      <c r="B1408" t="s">
        <v>31</v>
      </c>
      <c r="C1408">
        <v>2015</v>
      </c>
      <c r="D1408" t="s">
        <v>12</v>
      </c>
      <c r="E1408" t="s">
        <v>115</v>
      </c>
      <c r="F1408" t="s">
        <v>38</v>
      </c>
      <c r="G1408" t="str">
        <f>VLOOKUP(A1408,[1]Kreise!$A$1:$C$53,3,FALSE)</f>
        <v>K032</v>
      </c>
      <c r="H1408">
        <v>291</v>
      </c>
    </row>
    <row r="1409" spans="1:8">
      <c r="A1409">
        <v>3</v>
      </c>
      <c r="B1409" t="s">
        <v>32</v>
      </c>
      <c r="C1409">
        <v>2015</v>
      </c>
      <c r="D1409" t="s">
        <v>12</v>
      </c>
      <c r="E1409" t="s">
        <v>115</v>
      </c>
      <c r="F1409" t="s">
        <v>38</v>
      </c>
      <c r="G1409" t="str">
        <f>VLOOKUP(A1409,[1]Kreise!$A$1:$C$53,3,FALSE)</f>
        <v>K033</v>
      </c>
      <c r="H1409">
        <v>45</v>
      </c>
    </row>
    <row r="1410" spans="1:8">
      <c r="A1410">
        <v>4</v>
      </c>
      <c r="B1410" t="s">
        <v>33</v>
      </c>
      <c r="C1410">
        <v>2015</v>
      </c>
      <c r="D1410" t="s">
        <v>12</v>
      </c>
      <c r="E1410" t="s">
        <v>115</v>
      </c>
      <c r="F1410" t="s">
        <v>38</v>
      </c>
      <c r="G1410" t="str">
        <f>VLOOKUP(A1410,[1]Kreise!$A$1:$C$53,3,FALSE)</f>
        <v>K034</v>
      </c>
      <c r="H1410">
        <v>75</v>
      </c>
    </row>
    <row r="1411" spans="1:8">
      <c r="A1411">
        <v>0</v>
      </c>
      <c r="B1411" t="s">
        <v>34</v>
      </c>
      <c r="C1411">
        <v>2015</v>
      </c>
      <c r="D1411" t="s">
        <v>12</v>
      </c>
      <c r="E1411" t="s">
        <v>115</v>
      </c>
      <c r="F1411" t="s">
        <v>38</v>
      </c>
      <c r="G1411" t="str">
        <f>VLOOKUP(A1411,[1]Kreise!$A$1:$C$53,3,FALSE)</f>
        <v>K030</v>
      </c>
      <c r="H1411">
        <v>529</v>
      </c>
    </row>
    <row r="1412" spans="1:8">
      <c r="A1412">
        <v>1</v>
      </c>
      <c r="B1412" t="s">
        <v>145</v>
      </c>
      <c r="C1412">
        <v>2014</v>
      </c>
      <c r="D1412" t="s">
        <v>12</v>
      </c>
      <c r="E1412" t="s">
        <v>115</v>
      </c>
      <c r="F1412" t="s">
        <v>38</v>
      </c>
      <c r="G1412" t="str">
        <f>VLOOKUP(A1412,[1]Kreise!$A$1:$C$53,3,FALSE)</f>
        <v>K031</v>
      </c>
      <c r="H1412">
        <v>91</v>
      </c>
    </row>
    <row r="1413" spans="1:8">
      <c r="A1413">
        <v>2</v>
      </c>
      <c r="B1413" t="s">
        <v>146</v>
      </c>
      <c r="C1413">
        <v>2014</v>
      </c>
      <c r="D1413" t="s">
        <v>12</v>
      </c>
      <c r="E1413" t="s">
        <v>115</v>
      </c>
      <c r="F1413" t="s">
        <v>38</v>
      </c>
      <c r="G1413" t="str">
        <f>VLOOKUP(A1413,[1]Kreise!$A$1:$C$53,3,FALSE)</f>
        <v>K032</v>
      </c>
      <c r="H1413">
        <v>258</v>
      </c>
    </row>
    <row r="1414" spans="1:8">
      <c r="A1414">
        <v>3</v>
      </c>
      <c r="B1414" t="s">
        <v>147</v>
      </c>
      <c r="C1414">
        <v>2014</v>
      </c>
      <c r="D1414" t="s">
        <v>12</v>
      </c>
      <c r="E1414" t="s">
        <v>115</v>
      </c>
      <c r="F1414" t="s">
        <v>38</v>
      </c>
      <c r="G1414" t="str">
        <f>VLOOKUP(A1414,[1]Kreise!$A$1:$C$53,3,FALSE)</f>
        <v>K033</v>
      </c>
      <c r="H1414">
        <v>34</v>
      </c>
    </row>
    <row r="1415" spans="1:8">
      <c r="A1415">
        <v>4</v>
      </c>
      <c r="B1415" t="s">
        <v>148</v>
      </c>
      <c r="C1415">
        <v>2014</v>
      </c>
      <c r="D1415" t="s">
        <v>12</v>
      </c>
      <c r="E1415" t="s">
        <v>115</v>
      </c>
      <c r="F1415" t="s">
        <v>38</v>
      </c>
      <c r="G1415" t="str">
        <f>VLOOKUP(A1415,[1]Kreise!$A$1:$C$53,3,FALSE)</f>
        <v>K034</v>
      </c>
      <c r="H1415">
        <v>67</v>
      </c>
    </row>
    <row r="1416" spans="1:8">
      <c r="A1416">
        <v>0</v>
      </c>
      <c r="B1416" t="s">
        <v>34</v>
      </c>
      <c r="C1416">
        <v>2014</v>
      </c>
      <c r="D1416" t="s">
        <v>12</v>
      </c>
      <c r="E1416" t="s">
        <v>115</v>
      </c>
      <c r="F1416" t="s">
        <v>38</v>
      </c>
      <c r="G1416" t="str">
        <f>VLOOKUP(A1416,[1]Kreise!$A$1:$C$53,3,FALSE)</f>
        <v>K030</v>
      </c>
      <c r="H1416">
        <v>450</v>
      </c>
    </row>
    <row r="1417" spans="1:8">
      <c r="A1417">
        <v>1</v>
      </c>
      <c r="B1417" t="s">
        <v>30</v>
      </c>
      <c r="C1417">
        <v>2013</v>
      </c>
      <c r="D1417" t="s">
        <v>12</v>
      </c>
      <c r="E1417" t="s">
        <v>115</v>
      </c>
      <c r="F1417" t="s">
        <v>38</v>
      </c>
      <c r="G1417" t="str">
        <f>VLOOKUP(A1417,[1]Kreise!$A$1:$C$53,3,FALSE)</f>
        <v>K031</v>
      </c>
      <c r="H1417">
        <v>80</v>
      </c>
    </row>
    <row r="1418" spans="1:8">
      <c r="A1418">
        <v>2</v>
      </c>
      <c r="B1418" t="s">
        <v>31</v>
      </c>
      <c r="C1418">
        <v>2013</v>
      </c>
      <c r="D1418" t="s">
        <v>12</v>
      </c>
      <c r="E1418" t="s">
        <v>115</v>
      </c>
      <c r="F1418" t="s">
        <v>38</v>
      </c>
      <c r="G1418" t="str">
        <f>VLOOKUP(A1418,[1]Kreise!$A$1:$C$53,3,FALSE)</f>
        <v>K032</v>
      </c>
      <c r="H1418">
        <v>249</v>
      </c>
    </row>
    <row r="1419" spans="1:8">
      <c r="A1419">
        <v>3</v>
      </c>
      <c r="B1419" t="s">
        <v>32</v>
      </c>
      <c r="C1419">
        <v>2013</v>
      </c>
      <c r="D1419" t="s">
        <v>12</v>
      </c>
      <c r="E1419" t="s">
        <v>115</v>
      </c>
      <c r="F1419" t="s">
        <v>38</v>
      </c>
      <c r="G1419" t="str">
        <f>VLOOKUP(A1419,[1]Kreise!$A$1:$C$53,3,FALSE)</f>
        <v>K033</v>
      </c>
      <c r="H1419">
        <v>14</v>
      </c>
    </row>
    <row r="1420" spans="1:8">
      <c r="A1420">
        <v>4</v>
      </c>
      <c r="B1420" t="s">
        <v>33</v>
      </c>
      <c r="C1420">
        <v>2013</v>
      </c>
      <c r="D1420" t="s">
        <v>12</v>
      </c>
      <c r="E1420" t="s">
        <v>115</v>
      </c>
      <c r="F1420" t="s">
        <v>38</v>
      </c>
      <c r="G1420" t="str">
        <f>VLOOKUP(A1420,[1]Kreise!$A$1:$C$53,3,FALSE)</f>
        <v>K034</v>
      </c>
      <c r="H1420">
        <v>46</v>
      </c>
    </row>
    <row r="1421" spans="1:8">
      <c r="A1421">
        <v>0</v>
      </c>
      <c r="B1421" t="s">
        <v>34</v>
      </c>
      <c r="C1421">
        <v>2013</v>
      </c>
      <c r="D1421" t="s">
        <v>12</v>
      </c>
      <c r="E1421" t="s">
        <v>115</v>
      </c>
      <c r="F1421" t="s">
        <v>38</v>
      </c>
      <c r="G1421" t="str">
        <f>VLOOKUP(A1421,[1]Kreise!$A$1:$C$53,3,FALSE)</f>
        <v>K030</v>
      </c>
      <c r="H1421">
        <v>389</v>
      </c>
    </row>
    <row r="1422" spans="1:8">
      <c r="A1422">
        <v>1</v>
      </c>
      <c r="B1422" t="s">
        <v>145</v>
      </c>
      <c r="C1422">
        <v>2012</v>
      </c>
      <c r="D1422" t="s">
        <v>12</v>
      </c>
      <c r="E1422" t="s">
        <v>115</v>
      </c>
      <c r="F1422" t="s">
        <v>38</v>
      </c>
      <c r="G1422" t="str">
        <f>VLOOKUP(A1422,[1]Kreise!$A$1:$C$53,3,FALSE)</f>
        <v>K031</v>
      </c>
      <c r="H1422">
        <v>95</v>
      </c>
    </row>
    <row r="1423" spans="1:8">
      <c r="A1423">
        <v>2</v>
      </c>
      <c r="B1423" t="s">
        <v>146</v>
      </c>
      <c r="C1423">
        <v>2012</v>
      </c>
      <c r="D1423" t="s">
        <v>12</v>
      </c>
      <c r="E1423" t="s">
        <v>115</v>
      </c>
      <c r="F1423" t="s">
        <v>38</v>
      </c>
      <c r="G1423" t="str">
        <f>VLOOKUP(A1423,[1]Kreise!$A$1:$C$53,3,FALSE)</f>
        <v>K032</v>
      </c>
      <c r="H1423">
        <v>244</v>
      </c>
    </row>
    <row r="1424" spans="1:8">
      <c r="A1424">
        <v>3</v>
      </c>
      <c r="B1424" t="s">
        <v>147</v>
      </c>
      <c r="C1424">
        <v>2012</v>
      </c>
      <c r="D1424" t="s">
        <v>12</v>
      </c>
      <c r="E1424" t="s">
        <v>115</v>
      </c>
      <c r="F1424" t="s">
        <v>38</v>
      </c>
      <c r="G1424" t="str">
        <f>VLOOKUP(A1424,[1]Kreise!$A$1:$C$53,3,FALSE)</f>
        <v>K033</v>
      </c>
      <c r="H1424">
        <v>7</v>
      </c>
    </row>
    <row r="1425" spans="1:8">
      <c r="A1425">
        <v>4</v>
      </c>
      <c r="B1425" t="s">
        <v>148</v>
      </c>
      <c r="C1425">
        <v>2012</v>
      </c>
      <c r="D1425" t="s">
        <v>12</v>
      </c>
      <c r="E1425" t="s">
        <v>115</v>
      </c>
      <c r="F1425" t="s">
        <v>38</v>
      </c>
      <c r="G1425" t="str">
        <f>VLOOKUP(A1425,[1]Kreise!$A$1:$C$53,3,FALSE)</f>
        <v>K034</v>
      </c>
      <c r="H1425">
        <v>26</v>
      </c>
    </row>
    <row r="1426" spans="1:8">
      <c r="A1426">
        <v>0</v>
      </c>
      <c r="B1426" t="s">
        <v>34</v>
      </c>
      <c r="C1426">
        <v>2012</v>
      </c>
      <c r="D1426" t="s">
        <v>12</v>
      </c>
      <c r="E1426" t="s">
        <v>115</v>
      </c>
      <c r="F1426" t="s">
        <v>38</v>
      </c>
      <c r="G1426" t="str">
        <f>VLOOKUP(A1426,[1]Kreise!$A$1:$C$53,3,FALSE)</f>
        <v>K030</v>
      </c>
      <c r="H1426">
        <v>372</v>
      </c>
    </row>
    <row r="1427" spans="1:8">
      <c r="A1427">
        <v>1</v>
      </c>
      <c r="B1427" t="s">
        <v>30</v>
      </c>
      <c r="C1427">
        <v>2011</v>
      </c>
      <c r="D1427" t="s">
        <v>12</v>
      </c>
      <c r="E1427" t="s">
        <v>115</v>
      </c>
      <c r="F1427" t="s">
        <v>38</v>
      </c>
      <c r="G1427" t="str">
        <f>VLOOKUP(A1427,[1]Kreise!$A$1:$C$53,3,FALSE)</f>
        <v>K031</v>
      </c>
      <c r="H1427">
        <v>66</v>
      </c>
    </row>
    <row r="1428" spans="1:8">
      <c r="A1428">
        <v>2</v>
      </c>
      <c r="B1428" t="s">
        <v>31</v>
      </c>
      <c r="C1428">
        <v>2011</v>
      </c>
      <c r="D1428" t="s">
        <v>12</v>
      </c>
      <c r="E1428" t="s">
        <v>115</v>
      </c>
      <c r="F1428" t="s">
        <v>38</v>
      </c>
      <c r="G1428" t="str">
        <f>VLOOKUP(A1428,[1]Kreise!$A$1:$C$53,3,FALSE)</f>
        <v>K032</v>
      </c>
      <c r="H1428">
        <v>185</v>
      </c>
    </row>
    <row r="1429" spans="1:8">
      <c r="A1429">
        <v>3</v>
      </c>
      <c r="B1429" t="s">
        <v>32</v>
      </c>
      <c r="C1429">
        <v>2011</v>
      </c>
      <c r="D1429" t="s">
        <v>12</v>
      </c>
      <c r="E1429" t="s">
        <v>115</v>
      </c>
      <c r="F1429" t="s">
        <v>38</v>
      </c>
      <c r="G1429" t="str">
        <f>VLOOKUP(A1429,[1]Kreise!$A$1:$C$53,3,FALSE)</f>
        <v>K033</v>
      </c>
      <c r="H1429">
        <v>1</v>
      </c>
    </row>
    <row r="1430" spans="1:8">
      <c r="A1430">
        <v>4</v>
      </c>
      <c r="B1430" t="s">
        <v>33</v>
      </c>
      <c r="C1430">
        <v>2011</v>
      </c>
      <c r="D1430" t="s">
        <v>12</v>
      </c>
      <c r="E1430" t="s">
        <v>115</v>
      </c>
      <c r="F1430" t="s">
        <v>38</v>
      </c>
      <c r="G1430" t="str">
        <f>VLOOKUP(A1430,[1]Kreise!$A$1:$C$53,3,FALSE)</f>
        <v>K034</v>
      </c>
      <c r="H1430">
        <v>21</v>
      </c>
    </row>
    <row r="1431" spans="1:8">
      <c r="A1431">
        <v>0</v>
      </c>
      <c r="B1431" t="s">
        <v>34</v>
      </c>
      <c r="C1431">
        <v>2011</v>
      </c>
      <c r="D1431" t="s">
        <v>12</v>
      </c>
      <c r="E1431" t="s">
        <v>115</v>
      </c>
      <c r="F1431" t="s">
        <v>38</v>
      </c>
      <c r="G1431" t="str">
        <f>VLOOKUP(A1431,[1]Kreise!$A$1:$C$53,3,FALSE)</f>
        <v>K030</v>
      </c>
      <c r="H1431">
        <v>273</v>
      </c>
    </row>
    <row r="1432" spans="1:8">
      <c r="A1432">
        <v>1</v>
      </c>
      <c r="B1432" t="s">
        <v>145</v>
      </c>
      <c r="C1432">
        <v>2010</v>
      </c>
      <c r="D1432" t="s">
        <v>12</v>
      </c>
      <c r="E1432" t="s">
        <v>115</v>
      </c>
      <c r="F1432" t="s">
        <v>38</v>
      </c>
      <c r="G1432" t="str">
        <f>VLOOKUP(A1432,[1]Kreise!$A$1:$C$53,3,FALSE)</f>
        <v>K031</v>
      </c>
      <c r="H1432">
        <v>61</v>
      </c>
    </row>
    <row r="1433" spans="1:8">
      <c r="A1433">
        <v>2</v>
      </c>
      <c r="B1433" t="s">
        <v>146</v>
      </c>
      <c r="C1433">
        <v>2010</v>
      </c>
      <c r="D1433" t="s">
        <v>12</v>
      </c>
      <c r="E1433" t="s">
        <v>115</v>
      </c>
      <c r="F1433" t="s">
        <v>38</v>
      </c>
      <c r="G1433" t="str">
        <f>VLOOKUP(A1433,[1]Kreise!$A$1:$C$53,3,FALSE)</f>
        <v>K032</v>
      </c>
      <c r="H1433">
        <v>147</v>
      </c>
    </row>
    <row r="1434" spans="1:8">
      <c r="A1434">
        <v>3</v>
      </c>
      <c r="B1434" t="s">
        <v>147</v>
      </c>
      <c r="C1434">
        <v>2010</v>
      </c>
      <c r="D1434" t="s">
        <v>12</v>
      </c>
      <c r="E1434" t="s">
        <v>115</v>
      </c>
      <c r="F1434" t="s">
        <v>38</v>
      </c>
      <c r="G1434" t="str">
        <f>VLOOKUP(A1434,[1]Kreise!$A$1:$C$53,3,FALSE)</f>
        <v>K033</v>
      </c>
      <c r="H1434">
        <v>2</v>
      </c>
    </row>
    <row r="1435" spans="1:8">
      <c r="A1435">
        <v>4</v>
      </c>
      <c r="B1435" t="s">
        <v>148</v>
      </c>
      <c r="C1435">
        <v>2010</v>
      </c>
      <c r="D1435" t="s">
        <v>12</v>
      </c>
      <c r="E1435" t="s">
        <v>115</v>
      </c>
      <c r="F1435" t="s">
        <v>38</v>
      </c>
      <c r="G1435" t="str">
        <f>VLOOKUP(A1435,[1]Kreise!$A$1:$C$53,3,FALSE)</f>
        <v>K034</v>
      </c>
      <c r="H1435">
        <v>22</v>
      </c>
    </row>
    <row r="1436" spans="1:8">
      <c r="A1436">
        <v>0</v>
      </c>
      <c r="B1436" t="s">
        <v>34</v>
      </c>
      <c r="C1436">
        <v>2010</v>
      </c>
      <c r="D1436" t="s">
        <v>12</v>
      </c>
      <c r="E1436" t="s">
        <v>115</v>
      </c>
      <c r="F1436" t="s">
        <v>38</v>
      </c>
      <c r="G1436" t="str">
        <f>VLOOKUP(A1436,[1]Kreise!$A$1:$C$53,3,FALSE)</f>
        <v>K030</v>
      </c>
      <c r="H1436">
        <v>232</v>
      </c>
    </row>
    <row r="1437" spans="1:8">
      <c r="A1437">
        <v>1</v>
      </c>
      <c r="B1437" t="s">
        <v>145</v>
      </c>
      <c r="C1437">
        <v>2005</v>
      </c>
      <c r="D1437" t="s">
        <v>12</v>
      </c>
      <c r="E1437" t="s">
        <v>115</v>
      </c>
      <c r="F1437" t="s">
        <v>38</v>
      </c>
      <c r="G1437" t="str">
        <f>VLOOKUP(A1437,[1]Kreise!$A$1:$C$53,3,FALSE)</f>
        <v>K031</v>
      </c>
      <c r="H1437">
        <v>67</v>
      </c>
    </row>
    <row r="1438" spans="1:8">
      <c r="A1438">
        <v>2</v>
      </c>
      <c r="B1438" t="s">
        <v>146</v>
      </c>
      <c r="C1438">
        <v>2005</v>
      </c>
      <c r="D1438" t="s">
        <v>12</v>
      </c>
      <c r="E1438" t="s">
        <v>115</v>
      </c>
      <c r="F1438" t="s">
        <v>38</v>
      </c>
      <c r="G1438" t="str">
        <f>VLOOKUP(A1438,[1]Kreise!$A$1:$C$53,3,FALSE)</f>
        <v>K032</v>
      </c>
      <c r="H1438">
        <v>141</v>
      </c>
    </row>
    <row r="1439" spans="1:8">
      <c r="A1439">
        <v>3</v>
      </c>
      <c r="B1439" t="s">
        <v>147</v>
      </c>
      <c r="C1439">
        <v>2005</v>
      </c>
      <c r="D1439" t="s">
        <v>12</v>
      </c>
      <c r="E1439" t="s">
        <v>115</v>
      </c>
      <c r="F1439" t="s">
        <v>38</v>
      </c>
      <c r="G1439" t="str">
        <f>VLOOKUP(A1439,[1]Kreise!$A$1:$C$53,3,FALSE)</f>
        <v>K033</v>
      </c>
      <c r="H1439">
        <v>0</v>
      </c>
    </row>
    <row r="1440" spans="1:8">
      <c r="A1440">
        <v>4</v>
      </c>
      <c r="B1440" t="s">
        <v>148</v>
      </c>
      <c r="C1440">
        <v>2005</v>
      </c>
      <c r="D1440" t="s">
        <v>12</v>
      </c>
      <c r="E1440" t="s">
        <v>115</v>
      </c>
      <c r="F1440" t="s">
        <v>38</v>
      </c>
      <c r="G1440" t="str">
        <f>VLOOKUP(A1440,[1]Kreise!$A$1:$C$53,3,FALSE)</f>
        <v>K034</v>
      </c>
      <c r="H1440">
        <v>42</v>
      </c>
    </row>
    <row r="1441" spans="1:8">
      <c r="A1441">
        <v>0</v>
      </c>
      <c r="B1441" t="s">
        <v>34</v>
      </c>
      <c r="C1441">
        <v>2005</v>
      </c>
      <c r="D1441" t="s">
        <v>12</v>
      </c>
      <c r="E1441" t="s">
        <v>115</v>
      </c>
      <c r="F1441" t="s">
        <v>38</v>
      </c>
      <c r="G1441" t="str">
        <f>VLOOKUP(A1441,[1]Kreise!$A$1:$C$53,3,FALSE)</f>
        <v>K030</v>
      </c>
      <c r="H1441">
        <v>250</v>
      </c>
    </row>
    <row r="1442" spans="1:8">
      <c r="A1442">
        <v>1</v>
      </c>
      <c r="B1442" t="s">
        <v>30</v>
      </c>
      <c r="C1442">
        <v>2020</v>
      </c>
      <c r="D1442" t="s">
        <v>11</v>
      </c>
      <c r="E1442" t="s">
        <v>9</v>
      </c>
      <c r="F1442" t="s">
        <v>38</v>
      </c>
      <c r="G1442" t="str">
        <f>VLOOKUP(A1442,[1]Kreise!$A$1:$C$53,3,FALSE)</f>
        <v>K031</v>
      </c>
      <c r="H1442">
        <v>251</v>
      </c>
    </row>
    <row r="1443" spans="1:8">
      <c r="A1443">
        <v>2</v>
      </c>
      <c r="B1443" t="s">
        <v>31</v>
      </c>
      <c r="C1443">
        <v>2020</v>
      </c>
      <c r="D1443" t="s">
        <v>11</v>
      </c>
      <c r="E1443" t="s">
        <v>9</v>
      </c>
      <c r="F1443" t="s">
        <v>38</v>
      </c>
      <c r="G1443" t="str">
        <f>VLOOKUP(A1443,[1]Kreise!$A$1:$C$53,3,FALSE)</f>
        <v>K032</v>
      </c>
      <c r="H1443">
        <v>281</v>
      </c>
    </row>
    <row r="1444" spans="1:8">
      <c r="A1444">
        <v>3</v>
      </c>
      <c r="B1444" t="s">
        <v>32</v>
      </c>
      <c r="C1444">
        <v>2020</v>
      </c>
      <c r="D1444" t="s">
        <v>11</v>
      </c>
      <c r="E1444" t="s">
        <v>9</v>
      </c>
      <c r="F1444" t="s">
        <v>38</v>
      </c>
      <c r="G1444" t="str">
        <f>VLOOKUP(A1444,[1]Kreise!$A$1:$C$53,3,FALSE)</f>
        <v>K033</v>
      </c>
      <c r="H1444">
        <v>178</v>
      </c>
    </row>
    <row r="1445" spans="1:8">
      <c r="A1445">
        <v>4</v>
      </c>
      <c r="B1445" t="s">
        <v>33</v>
      </c>
      <c r="C1445">
        <v>2020</v>
      </c>
      <c r="D1445" t="s">
        <v>11</v>
      </c>
      <c r="E1445" t="s">
        <v>9</v>
      </c>
      <c r="F1445" t="s">
        <v>38</v>
      </c>
      <c r="G1445" t="str">
        <f>VLOOKUP(A1445,[1]Kreise!$A$1:$C$53,3,FALSE)</f>
        <v>K034</v>
      </c>
      <c r="H1445">
        <v>528</v>
      </c>
    </row>
    <row r="1446" spans="1:8">
      <c r="A1446">
        <v>0</v>
      </c>
      <c r="B1446" t="s">
        <v>34</v>
      </c>
      <c r="C1446">
        <v>2020</v>
      </c>
      <c r="D1446" t="s">
        <v>11</v>
      </c>
      <c r="E1446" t="s">
        <v>9</v>
      </c>
      <c r="F1446" t="s">
        <v>38</v>
      </c>
      <c r="G1446" t="str">
        <f>VLOOKUP(A1446,[1]Kreise!$A$1:$C$53,3,FALSE)</f>
        <v>K030</v>
      </c>
      <c r="H1446">
        <v>1238</v>
      </c>
    </row>
    <row r="1447" spans="1:8">
      <c r="A1447">
        <v>1</v>
      </c>
      <c r="B1447" t="s">
        <v>30</v>
      </c>
      <c r="C1447">
        <v>2019</v>
      </c>
      <c r="D1447" t="s">
        <v>11</v>
      </c>
      <c r="E1447" t="s">
        <v>9</v>
      </c>
      <c r="F1447" t="s">
        <v>38</v>
      </c>
      <c r="G1447" t="str">
        <f>VLOOKUP(A1447,[1]Kreise!$A$1:$C$53,3,FALSE)</f>
        <v>K031</v>
      </c>
      <c r="H1447">
        <v>385</v>
      </c>
    </row>
    <row r="1448" spans="1:8">
      <c r="A1448">
        <v>2</v>
      </c>
      <c r="B1448" t="s">
        <v>31</v>
      </c>
      <c r="C1448">
        <v>2019</v>
      </c>
      <c r="D1448" t="s">
        <v>11</v>
      </c>
      <c r="E1448" t="s">
        <v>9</v>
      </c>
      <c r="F1448" t="s">
        <v>38</v>
      </c>
      <c r="G1448" t="str">
        <f>VLOOKUP(A1448,[1]Kreise!$A$1:$C$53,3,FALSE)</f>
        <v>K032</v>
      </c>
      <c r="H1448">
        <v>512</v>
      </c>
    </row>
    <row r="1449" spans="1:8">
      <c r="A1449">
        <v>3</v>
      </c>
      <c r="B1449" t="s">
        <v>32</v>
      </c>
      <c r="C1449">
        <v>2019</v>
      </c>
      <c r="D1449" t="s">
        <v>11</v>
      </c>
      <c r="E1449" t="s">
        <v>9</v>
      </c>
      <c r="F1449" t="s">
        <v>38</v>
      </c>
      <c r="G1449" t="str">
        <f>VLOOKUP(A1449,[1]Kreise!$A$1:$C$53,3,FALSE)</f>
        <v>K033</v>
      </c>
      <c r="H1449">
        <v>325</v>
      </c>
    </row>
    <row r="1450" spans="1:8">
      <c r="A1450">
        <v>4</v>
      </c>
      <c r="B1450" t="s">
        <v>33</v>
      </c>
      <c r="C1450">
        <v>2019</v>
      </c>
      <c r="D1450" t="s">
        <v>11</v>
      </c>
      <c r="E1450" t="s">
        <v>9</v>
      </c>
      <c r="F1450" t="s">
        <v>38</v>
      </c>
      <c r="G1450" t="str">
        <f>VLOOKUP(A1450,[1]Kreise!$A$1:$C$53,3,FALSE)</f>
        <v>K034</v>
      </c>
      <c r="H1450">
        <v>979</v>
      </c>
    </row>
    <row r="1451" spans="1:8">
      <c r="A1451">
        <v>0</v>
      </c>
      <c r="B1451" t="s">
        <v>34</v>
      </c>
      <c r="C1451">
        <v>2019</v>
      </c>
      <c r="D1451" t="s">
        <v>11</v>
      </c>
      <c r="E1451" t="s">
        <v>9</v>
      </c>
      <c r="F1451" t="s">
        <v>38</v>
      </c>
      <c r="G1451" t="str">
        <f>VLOOKUP(A1451,[1]Kreise!$A$1:$C$53,3,FALSE)</f>
        <v>K030</v>
      </c>
      <c r="H1451">
        <v>2201</v>
      </c>
    </row>
    <row r="1452" spans="1:8">
      <c r="A1452">
        <v>1</v>
      </c>
      <c r="B1452" t="s">
        <v>30</v>
      </c>
      <c r="C1452">
        <v>2018</v>
      </c>
      <c r="D1452" t="s">
        <v>11</v>
      </c>
      <c r="E1452" t="s">
        <v>9</v>
      </c>
      <c r="F1452" t="s">
        <v>38</v>
      </c>
      <c r="G1452" t="str">
        <f>VLOOKUP(A1452,[1]Kreise!$A$1:$C$53,3,FALSE)</f>
        <v>K031</v>
      </c>
      <c r="H1452">
        <v>311</v>
      </c>
    </row>
    <row r="1453" spans="1:8">
      <c r="A1453">
        <v>2</v>
      </c>
      <c r="B1453" t="s">
        <v>31</v>
      </c>
      <c r="C1453">
        <v>2018</v>
      </c>
      <c r="D1453" t="s">
        <v>11</v>
      </c>
      <c r="E1453" t="s">
        <v>9</v>
      </c>
      <c r="F1453" t="s">
        <v>38</v>
      </c>
      <c r="G1453" t="str">
        <f>VLOOKUP(A1453,[1]Kreise!$A$1:$C$53,3,FALSE)</f>
        <v>K032</v>
      </c>
      <c r="H1453">
        <v>498</v>
      </c>
    </row>
    <row r="1454" spans="1:8">
      <c r="A1454">
        <v>3</v>
      </c>
      <c r="B1454" t="s">
        <v>32</v>
      </c>
      <c r="C1454">
        <v>2018</v>
      </c>
      <c r="D1454" t="s">
        <v>11</v>
      </c>
      <c r="E1454" t="s">
        <v>9</v>
      </c>
      <c r="F1454" t="s">
        <v>38</v>
      </c>
      <c r="G1454" t="str">
        <f>VLOOKUP(A1454,[1]Kreise!$A$1:$C$53,3,FALSE)</f>
        <v>K033</v>
      </c>
      <c r="H1454">
        <v>292</v>
      </c>
    </row>
    <row r="1455" spans="1:8">
      <c r="A1455">
        <v>4</v>
      </c>
      <c r="B1455" t="s">
        <v>33</v>
      </c>
      <c r="C1455">
        <v>2018</v>
      </c>
      <c r="D1455" t="s">
        <v>11</v>
      </c>
      <c r="E1455" t="s">
        <v>9</v>
      </c>
      <c r="F1455" t="s">
        <v>38</v>
      </c>
      <c r="G1455" t="str">
        <f>VLOOKUP(A1455,[1]Kreise!$A$1:$C$53,3,FALSE)</f>
        <v>K034</v>
      </c>
      <c r="H1455">
        <v>754</v>
      </c>
    </row>
    <row r="1456" spans="1:8">
      <c r="A1456">
        <v>0</v>
      </c>
      <c r="B1456" t="s">
        <v>34</v>
      </c>
      <c r="C1456">
        <v>2018</v>
      </c>
      <c r="D1456" t="s">
        <v>11</v>
      </c>
      <c r="E1456" t="s">
        <v>9</v>
      </c>
      <c r="F1456" t="s">
        <v>38</v>
      </c>
      <c r="G1456" t="str">
        <f>VLOOKUP(A1456,[1]Kreise!$A$1:$C$53,3,FALSE)</f>
        <v>K030</v>
      </c>
      <c r="H1456">
        <v>1855</v>
      </c>
    </row>
    <row r="1457" spans="1:8">
      <c r="A1457">
        <v>1</v>
      </c>
      <c r="B1457" t="s">
        <v>30</v>
      </c>
      <c r="C1457">
        <v>2017</v>
      </c>
      <c r="D1457" t="s">
        <v>11</v>
      </c>
      <c r="E1457" t="s">
        <v>9</v>
      </c>
      <c r="F1457" t="s">
        <v>38</v>
      </c>
      <c r="G1457" t="str">
        <f>VLOOKUP(A1457,[1]Kreise!$A$1:$C$53,3,FALSE)</f>
        <v>K031</v>
      </c>
      <c r="H1457">
        <v>318</v>
      </c>
    </row>
    <row r="1458" spans="1:8">
      <c r="A1458">
        <v>2</v>
      </c>
      <c r="B1458" t="s">
        <v>31</v>
      </c>
      <c r="C1458">
        <v>2017</v>
      </c>
      <c r="D1458" t="s">
        <v>11</v>
      </c>
      <c r="E1458" t="s">
        <v>9</v>
      </c>
      <c r="F1458" t="s">
        <v>38</v>
      </c>
      <c r="G1458" t="str">
        <f>VLOOKUP(A1458,[1]Kreise!$A$1:$C$53,3,FALSE)</f>
        <v>K032</v>
      </c>
      <c r="H1458">
        <v>476</v>
      </c>
    </row>
    <row r="1459" spans="1:8">
      <c r="A1459">
        <v>3</v>
      </c>
      <c r="B1459" t="s">
        <v>32</v>
      </c>
      <c r="C1459">
        <v>2017</v>
      </c>
      <c r="D1459" t="s">
        <v>11</v>
      </c>
      <c r="E1459" t="s">
        <v>9</v>
      </c>
      <c r="F1459" t="s">
        <v>38</v>
      </c>
      <c r="G1459" t="str">
        <f>VLOOKUP(A1459,[1]Kreise!$A$1:$C$53,3,FALSE)</f>
        <v>K033</v>
      </c>
      <c r="H1459">
        <v>289</v>
      </c>
    </row>
    <row r="1460" spans="1:8">
      <c r="A1460">
        <v>4</v>
      </c>
      <c r="B1460" t="s">
        <v>33</v>
      </c>
      <c r="C1460">
        <v>2017</v>
      </c>
      <c r="D1460" t="s">
        <v>11</v>
      </c>
      <c r="E1460" t="s">
        <v>9</v>
      </c>
      <c r="F1460" t="s">
        <v>38</v>
      </c>
      <c r="G1460" t="str">
        <f>VLOOKUP(A1460,[1]Kreise!$A$1:$C$53,3,FALSE)</f>
        <v>K034</v>
      </c>
      <c r="H1460">
        <v>859</v>
      </c>
    </row>
    <row r="1461" spans="1:8">
      <c r="A1461">
        <v>0</v>
      </c>
      <c r="B1461" t="s">
        <v>34</v>
      </c>
      <c r="C1461">
        <v>2017</v>
      </c>
      <c r="D1461" t="s">
        <v>11</v>
      </c>
      <c r="E1461" t="s">
        <v>9</v>
      </c>
      <c r="F1461" t="s">
        <v>38</v>
      </c>
      <c r="G1461" t="str">
        <f>VLOOKUP(A1461,[1]Kreise!$A$1:$C$53,3,FALSE)</f>
        <v>K030</v>
      </c>
      <c r="H1461">
        <v>1942</v>
      </c>
    </row>
    <row r="1462" spans="1:8">
      <c r="A1462">
        <v>1</v>
      </c>
      <c r="B1462" t="s">
        <v>30</v>
      </c>
      <c r="C1462">
        <v>2016</v>
      </c>
      <c r="D1462" t="s">
        <v>11</v>
      </c>
      <c r="E1462" t="s">
        <v>9</v>
      </c>
      <c r="F1462" t="s">
        <v>38</v>
      </c>
      <c r="G1462" t="str">
        <f>VLOOKUP(A1462,[1]Kreise!$A$1:$C$53,3,FALSE)</f>
        <v>K031</v>
      </c>
      <c r="H1462">
        <v>368</v>
      </c>
    </row>
    <row r="1463" spans="1:8">
      <c r="A1463">
        <v>2</v>
      </c>
      <c r="B1463" t="s">
        <v>31</v>
      </c>
      <c r="C1463">
        <v>2016</v>
      </c>
      <c r="D1463" t="s">
        <v>11</v>
      </c>
      <c r="E1463" t="s">
        <v>9</v>
      </c>
      <c r="F1463" t="s">
        <v>38</v>
      </c>
      <c r="G1463" t="str">
        <f>VLOOKUP(A1463,[1]Kreise!$A$1:$C$53,3,FALSE)</f>
        <v>K032</v>
      </c>
      <c r="H1463">
        <v>591</v>
      </c>
    </row>
    <row r="1464" spans="1:8">
      <c r="A1464">
        <v>3</v>
      </c>
      <c r="B1464" t="s">
        <v>32</v>
      </c>
      <c r="C1464">
        <v>2016</v>
      </c>
      <c r="D1464" t="s">
        <v>11</v>
      </c>
      <c r="E1464" t="s">
        <v>9</v>
      </c>
      <c r="F1464" t="s">
        <v>38</v>
      </c>
      <c r="G1464" t="str">
        <f>VLOOKUP(A1464,[1]Kreise!$A$1:$C$53,3,FALSE)</f>
        <v>K033</v>
      </c>
      <c r="H1464">
        <v>330</v>
      </c>
    </row>
    <row r="1465" spans="1:8">
      <c r="A1465">
        <v>4</v>
      </c>
      <c r="B1465" t="s">
        <v>33</v>
      </c>
      <c r="C1465">
        <v>2016</v>
      </c>
      <c r="D1465" t="s">
        <v>11</v>
      </c>
      <c r="E1465" t="s">
        <v>9</v>
      </c>
      <c r="F1465" t="s">
        <v>38</v>
      </c>
      <c r="G1465" t="str">
        <f>VLOOKUP(A1465,[1]Kreise!$A$1:$C$53,3,FALSE)</f>
        <v>K034</v>
      </c>
      <c r="H1465">
        <v>954</v>
      </c>
    </row>
    <row r="1466" spans="1:8">
      <c r="A1466">
        <v>0</v>
      </c>
      <c r="B1466" t="s">
        <v>34</v>
      </c>
      <c r="C1466">
        <v>2016</v>
      </c>
      <c r="D1466" t="s">
        <v>11</v>
      </c>
      <c r="E1466" t="s">
        <v>9</v>
      </c>
      <c r="F1466" t="s">
        <v>38</v>
      </c>
      <c r="G1466" t="str">
        <f>VLOOKUP(A1466,[1]Kreise!$A$1:$C$53,3,FALSE)</f>
        <v>K030</v>
      </c>
      <c r="H1466">
        <v>2243</v>
      </c>
    </row>
    <row r="1467" spans="1:8">
      <c r="A1467">
        <v>1</v>
      </c>
      <c r="B1467" t="s">
        <v>30</v>
      </c>
      <c r="C1467">
        <v>2015</v>
      </c>
      <c r="D1467" t="s">
        <v>11</v>
      </c>
      <c r="E1467" t="s">
        <v>9</v>
      </c>
      <c r="F1467" t="s">
        <v>38</v>
      </c>
      <c r="G1467" t="str">
        <f>VLOOKUP(A1467,[1]Kreise!$A$1:$C$53,3,FALSE)</f>
        <v>K031</v>
      </c>
      <c r="H1467">
        <v>463</v>
      </c>
    </row>
    <row r="1468" spans="1:8">
      <c r="A1468">
        <v>2</v>
      </c>
      <c r="B1468" t="s">
        <v>31</v>
      </c>
      <c r="C1468">
        <v>2015</v>
      </c>
      <c r="D1468" t="s">
        <v>11</v>
      </c>
      <c r="E1468" t="s">
        <v>9</v>
      </c>
      <c r="F1468" t="s">
        <v>38</v>
      </c>
      <c r="G1468" t="str">
        <f>VLOOKUP(A1468,[1]Kreise!$A$1:$C$53,3,FALSE)</f>
        <v>K032</v>
      </c>
      <c r="H1468">
        <v>595</v>
      </c>
    </row>
    <row r="1469" spans="1:8">
      <c r="A1469">
        <v>3</v>
      </c>
      <c r="B1469" t="s">
        <v>32</v>
      </c>
      <c r="C1469">
        <v>2015</v>
      </c>
      <c r="D1469" t="s">
        <v>11</v>
      </c>
      <c r="E1469" t="s">
        <v>9</v>
      </c>
      <c r="F1469" t="s">
        <v>38</v>
      </c>
      <c r="G1469" t="str">
        <f>VLOOKUP(A1469,[1]Kreise!$A$1:$C$53,3,FALSE)</f>
        <v>K033</v>
      </c>
      <c r="H1469">
        <v>431</v>
      </c>
    </row>
    <row r="1470" spans="1:8">
      <c r="A1470">
        <v>4</v>
      </c>
      <c r="B1470" t="s">
        <v>33</v>
      </c>
      <c r="C1470">
        <v>2015</v>
      </c>
      <c r="D1470" t="s">
        <v>11</v>
      </c>
      <c r="E1470" t="s">
        <v>9</v>
      </c>
      <c r="F1470" t="s">
        <v>38</v>
      </c>
      <c r="G1470" t="str">
        <f>VLOOKUP(A1470,[1]Kreise!$A$1:$C$53,3,FALSE)</f>
        <v>K034</v>
      </c>
      <c r="H1470">
        <v>1087</v>
      </c>
    </row>
    <row r="1471" spans="1:8">
      <c r="A1471">
        <v>0</v>
      </c>
      <c r="B1471" t="s">
        <v>34</v>
      </c>
      <c r="C1471">
        <v>2015</v>
      </c>
      <c r="D1471" t="s">
        <v>11</v>
      </c>
      <c r="E1471" t="s">
        <v>9</v>
      </c>
      <c r="F1471" t="s">
        <v>38</v>
      </c>
      <c r="G1471" t="str">
        <f>VLOOKUP(A1471,[1]Kreise!$A$1:$C$53,3,FALSE)</f>
        <v>K030</v>
      </c>
      <c r="H1471">
        <v>2576</v>
      </c>
    </row>
    <row r="1472" spans="1:8">
      <c r="A1472">
        <v>1</v>
      </c>
      <c r="B1472" t="s">
        <v>145</v>
      </c>
      <c r="C1472">
        <v>2014</v>
      </c>
      <c r="D1472" t="s">
        <v>11</v>
      </c>
      <c r="E1472" t="s">
        <v>9</v>
      </c>
      <c r="F1472" t="s">
        <v>38</v>
      </c>
      <c r="G1472" t="str">
        <f>VLOOKUP(A1472,[1]Kreise!$A$1:$C$53,3,FALSE)</f>
        <v>K031</v>
      </c>
      <c r="H1472">
        <v>484</v>
      </c>
    </row>
    <row r="1473" spans="1:8">
      <c r="A1473">
        <v>2</v>
      </c>
      <c r="B1473" t="s">
        <v>146</v>
      </c>
      <c r="C1473">
        <v>2014</v>
      </c>
      <c r="D1473" t="s">
        <v>11</v>
      </c>
      <c r="E1473" t="s">
        <v>9</v>
      </c>
      <c r="F1473" t="s">
        <v>38</v>
      </c>
      <c r="G1473" t="str">
        <f>VLOOKUP(A1473,[1]Kreise!$A$1:$C$53,3,FALSE)</f>
        <v>K032</v>
      </c>
      <c r="H1473">
        <v>700</v>
      </c>
    </row>
    <row r="1474" spans="1:8">
      <c r="A1474">
        <v>3</v>
      </c>
      <c r="B1474" t="s">
        <v>147</v>
      </c>
      <c r="C1474">
        <v>2014</v>
      </c>
      <c r="D1474" t="s">
        <v>11</v>
      </c>
      <c r="E1474" t="s">
        <v>9</v>
      </c>
      <c r="F1474" t="s">
        <v>38</v>
      </c>
      <c r="G1474" t="str">
        <f>VLOOKUP(A1474,[1]Kreise!$A$1:$C$53,3,FALSE)</f>
        <v>K033</v>
      </c>
      <c r="H1474">
        <v>520</v>
      </c>
    </row>
    <row r="1475" spans="1:8">
      <c r="A1475">
        <v>4</v>
      </c>
      <c r="B1475" t="s">
        <v>148</v>
      </c>
      <c r="C1475">
        <v>2014</v>
      </c>
      <c r="D1475" t="s">
        <v>11</v>
      </c>
      <c r="E1475" t="s">
        <v>9</v>
      </c>
      <c r="F1475" t="s">
        <v>38</v>
      </c>
      <c r="G1475" t="str">
        <f>VLOOKUP(A1475,[1]Kreise!$A$1:$C$53,3,FALSE)</f>
        <v>K034</v>
      </c>
      <c r="H1475">
        <v>1223</v>
      </c>
    </row>
    <row r="1476" spans="1:8">
      <c r="A1476">
        <v>0</v>
      </c>
      <c r="B1476" t="s">
        <v>34</v>
      </c>
      <c r="C1476">
        <v>2014</v>
      </c>
      <c r="D1476" t="s">
        <v>11</v>
      </c>
      <c r="E1476" t="s">
        <v>9</v>
      </c>
      <c r="F1476" t="s">
        <v>38</v>
      </c>
      <c r="G1476" t="str">
        <f>VLOOKUP(A1476,[1]Kreise!$A$1:$C$53,3,FALSE)</f>
        <v>K030</v>
      </c>
      <c r="H1476">
        <v>2927</v>
      </c>
    </row>
    <row r="1477" spans="1:8">
      <c r="A1477">
        <v>1</v>
      </c>
      <c r="B1477" t="s">
        <v>30</v>
      </c>
      <c r="C1477">
        <v>2013</v>
      </c>
      <c r="D1477" t="s">
        <v>11</v>
      </c>
      <c r="E1477" t="s">
        <v>9</v>
      </c>
      <c r="F1477" t="s">
        <v>38</v>
      </c>
      <c r="G1477" t="str">
        <f>VLOOKUP(A1477,[1]Kreise!$A$1:$C$53,3,FALSE)</f>
        <v>K031</v>
      </c>
      <c r="H1477">
        <v>523</v>
      </c>
    </row>
    <row r="1478" spans="1:8">
      <c r="A1478">
        <v>2</v>
      </c>
      <c r="B1478" t="s">
        <v>31</v>
      </c>
      <c r="C1478">
        <v>2013</v>
      </c>
      <c r="D1478" t="s">
        <v>11</v>
      </c>
      <c r="E1478" t="s">
        <v>9</v>
      </c>
      <c r="F1478" t="s">
        <v>38</v>
      </c>
      <c r="G1478" t="str">
        <f>VLOOKUP(A1478,[1]Kreise!$A$1:$C$53,3,FALSE)</f>
        <v>K032</v>
      </c>
      <c r="H1478">
        <v>715</v>
      </c>
    </row>
    <row r="1479" spans="1:8">
      <c r="A1479">
        <v>3</v>
      </c>
      <c r="B1479" t="s">
        <v>32</v>
      </c>
      <c r="C1479">
        <v>2013</v>
      </c>
      <c r="D1479" t="s">
        <v>11</v>
      </c>
      <c r="E1479" t="s">
        <v>9</v>
      </c>
      <c r="F1479" t="s">
        <v>38</v>
      </c>
      <c r="G1479" t="str">
        <f>VLOOKUP(A1479,[1]Kreise!$A$1:$C$53,3,FALSE)</f>
        <v>K033</v>
      </c>
      <c r="H1479">
        <v>501</v>
      </c>
    </row>
    <row r="1480" spans="1:8">
      <c r="A1480">
        <v>4</v>
      </c>
      <c r="B1480" t="s">
        <v>33</v>
      </c>
      <c r="C1480">
        <v>2013</v>
      </c>
      <c r="D1480" t="s">
        <v>11</v>
      </c>
      <c r="E1480" t="s">
        <v>9</v>
      </c>
      <c r="F1480" t="s">
        <v>38</v>
      </c>
      <c r="G1480" t="str">
        <f>VLOOKUP(A1480,[1]Kreise!$A$1:$C$53,3,FALSE)</f>
        <v>K034</v>
      </c>
      <c r="H1480">
        <v>1242</v>
      </c>
    </row>
    <row r="1481" spans="1:8">
      <c r="A1481">
        <v>0</v>
      </c>
      <c r="B1481" t="s">
        <v>34</v>
      </c>
      <c r="C1481">
        <v>2013</v>
      </c>
      <c r="D1481" t="s">
        <v>11</v>
      </c>
      <c r="E1481" t="s">
        <v>9</v>
      </c>
      <c r="F1481" t="s">
        <v>38</v>
      </c>
      <c r="G1481" t="str">
        <f>VLOOKUP(A1481,[1]Kreise!$A$1:$C$53,3,FALSE)</f>
        <v>K030</v>
      </c>
      <c r="H1481">
        <v>2981</v>
      </c>
    </row>
    <row r="1482" spans="1:8">
      <c r="A1482">
        <v>1</v>
      </c>
      <c r="B1482" t="s">
        <v>145</v>
      </c>
      <c r="C1482">
        <v>2012</v>
      </c>
      <c r="D1482" t="s">
        <v>11</v>
      </c>
      <c r="E1482" t="s">
        <v>9</v>
      </c>
      <c r="F1482" t="s">
        <v>38</v>
      </c>
      <c r="G1482" t="str">
        <f>VLOOKUP(A1482,[1]Kreise!$A$1:$C$53,3,FALSE)</f>
        <v>K031</v>
      </c>
      <c r="H1482">
        <v>546</v>
      </c>
    </row>
    <row r="1483" spans="1:8">
      <c r="A1483">
        <v>2</v>
      </c>
      <c r="B1483" t="s">
        <v>146</v>
      </c>
      <c r="C1483">
        <v>2012</v>
      </c>
      <c r="D1483" t="s">
        <v>11</v>
      </c>
      <c r="E1483" t="s">
        <v>9</v>
      </c>
      <c r="F1483" t="s">
        <v>38</v>
      </c>
      <c r="G1483" t="str">
        <f>VLOOKUP(A1483,[1]Kreise!$A$1:$C$53,3,FALSE)</f>
        <v>K032</v>
      </c>
      <c r="H1483">
        <v>814</v>
      </c>
    </row>
    <row r="1484" spans="1:8">
      <c r="A1484">
        <v>3</v>
      </c>
      <c r="B1484" t="s">
        <v>147</v>
      </c>
      <c r="C1484">
        <v>2012</v>
      </c>
      <c r="D1484" t="s">
        <v>11</v>
      </c>
      <c r="E1484" t="s">
        <v>9</v>
      </c>
      <c r="F1484" t="s">
        <v>38</v>
      </c>
      <c r="G1484" t="str">
        <f>VLOOKUP(A1484,[1]Kreise!$A$1:$C$53,3,FALSE)</f>
        <v>K033</v>
      </c>
      <c r="H1484">
        <v>570</v>
      </c>
    </row>
    <row r="1485" spans="1:8">
      <c r="A1485">
        <v>4</v>
      </c>
      <c r="B1485" t="s">
        <v>148</v>
      </c>
      <c r="C1485">
        <v>2012</v>
      </c>
      <c r="D1485" t="s">
        <v>11</v>
      </c>
      <c r="E1485" t="s">
        <v>9</v>
      </c>
      <c r="F1485" t="s">
        <v>38</v>
      </c>
      <c r="G1485" t="str">
        <f>VLOOKUP(A1485,[1]Kreise!$A$1:$C$53,3,FALSE)</f>
        <v>K034</v>
      </c>
      <c r="H1485">
        <v>1212</v>
      </c>
    </row>
    <row r="1486" spans="1:8">
      <c r="A1486">
        <v>0</v>
      </c>
      <c r="B1486" t="s">
        <v>34</v>
      </c>
      <c r="C1486">
        <v>2012</v>
      </c>
      <c r="D1486" t="s">
        <v>11</v>
      </c>
      <c r="E1486" t="s">
        <v>9</v>
      </c>
      <c r="F1486" t="s">
        <v>38</v>
      </c>
      <c r="G1486" t="str">
        <f>VLOOKUP(A1486,[1]Kreise!$A$1:$C$53,3,FALSE)</f>
        <v>K030</v>
      </c>
      <c r="H1486">
        <v>3142</v>
      </c>
    </row>
    <row r="1487" spans="1:8">
      <c r="A1487">
        <v>1</v>
      </c>
      <c r="B1487" t="s">
        <v>30</v>
      </c>
      <c r="C1487">
        <v>2011</v>
      </c>
      <c r="D1487" t="s">
        <v>11</v>
      </c>
      <c r="E1487" t="s">
        <v>9</v>
      </c>
      <c r="F1487" t="s">
        <v>38</v>
      </c>
      <c r="G1487" t="str">
        <f>VLOOKUP(A1487,[1]Kreise!$A$1:$C$53,3,FALSE)</f>
        <v>K031</v>
      </c>
      <c r="H1487">
        <v>520</v>
      </c>
    </row>
    <row r="1488" spans="1:8">
      <c r="A1488">
        <v>2</v>
      </c>
      <c r="B1488" t="s">
        <v>31</v>
      </c>
      <c r="C1488">
        <v>2011</v>
      </c>
      <c r="D1488" t="s">
        <v>11</v>
      </c>
      <c r="E1488" t="s">
        <v>9</v>
      </c>
      <c r="F1488" t="s">
        <v>38</v>
      </c>
      <c r="G1488" t="str">
        <f>VLOOKUP(A1488,[1]Kreise!$A$1:$C$53,3,FALSE)</f>
        <v>K032</v>
      </c>
      <c r="H1488">
        <v>848</v>
      </c>
    </row>
    <row r="1489" spans="1:8">
      <c r="A1489">
        <v>3</v>
      </c>
      <c r="B1489" t="s">
        <v>32</v>
      </c>
      <c r="C1489">
        <v>2011</v>
      </c>
      <c r="D1489" t="s">
        <v>11</v>
      </c>
      <c r="E1489" t="s">
        <v>9</v>
      </c>
      <c r="F1489" t="s">
        <v>38</v>
      </c>
      <c r="G1489" t="str">
        <f>VLOOKUP(A1489,[1]Kreise!$A$1:$C$53,3,FALSE)</f>
        <v>K033</v>
      </c>
      <c r="H1489">
        <v>609</v>
      </c>
    </row>
    <row r="1490" spans="1:8">
      <c r="A1490">
        <v>4</v>
      </c>
      <c r="B1490" t="s">
        <v>33</v>
      </c>
      <c r="C1490">
        <v>2011</v>
      </c>
      <c r="D1490" t="s">
        <v>11</v>
      </c>
      <c r="E1490" t="s">
        <v>9</v>
      </c>
      <c r="F1490" t="s">
        <v>38</v>
      </c>
      <c r="G1490" t="str">
        <f>VLOOKUP(A1490,[1]Kreise!$A$1:$C$53,3,FALSE)</f>
        <v>K034</v>
      </c>
      <c r="H1490">
        <v>1225</v>
      </c>
    </row>
    <row r="1491" spans="1:8">
      <c r="A1491">
        <v>0</v>
      </c>
      <c r="B1491" t="s">
        <v>34</v>
      </c>
      <c r="C1491">
        <v>2011</v>
      </c>
      <c r="D1491" t="s">
        <v>11</v>
      </c>
      <c r="E1491" t="s">
        <v>9</v>
      </c>
      <c r="F1491" t="s">
        <v>38</v>
      </c>
      <c r="G1491" t="str">
        <f>VLOOKUP(A1491,[1]Kreise!$A$1:$C$53,3,FALSE)</f>
        <v>K030</v>
      </c>
      <c r="H1491">
        <v>3202</v>
      </c>
    </row>
    <row r="1492" spans="1:8">
      <c r="A1492">
        <v>1</v>
      </c>
      <c r="B1492" t="s">
        <v>145</v>
      </c>
      <c r="C1492">
        <v>2010</v>
      </c>
      <c r="D1492" t="s">
        <v>11</v>
      </c>
      <c r="E1492" t="s">
        <v>9</v>
      </c>
      <c r="F1492" t="s">
        <v>38</v>
      </c>
      <c r="G1492" t="str">
        <f>VLOOKUP(A1492,[1]Kreise!$A$1:$C$53,3,FALSE)</f>
        <v>K031</v>
      </c>
      <c r="H1492">
        <v>531</v>
      </c>
    </row>
    <row r="1493" spans="1:8">
      <c r="A1493">
        <v>2</v>
      </c>
      <c r="B1493" t="s">
        <v>146</v>
      </c>
      <c r="C1493">
        <v>2010</v>
      </c>
      <c r="D1493" t="s">
        <v>11</v>
      </c>
      <c r="E1493" t="s">
        <v>9</v>
      </c>
      <c r="F1493" t="s">
        <v>38</v>
      </c>
      <c r="G1493" t="str">
        <f>VLOOKUP(A1493,[1]Kreise!$A$1:$C$53,3,FALSE)</f>
        <v>K032</v>
      </c>
      <c r="H1493">
        <v>845</v>
      </c>
    </row>
    <row r="1494" spans="1:8">
      <c r="A1494">
        <v>3</v>
      </c>
      <c r="B1494" t="s">
        <v>147</v>
      </c>
      <c r="C1494">
        <v>2010</v>
      </c>
      <c r="D1494" t="s">
        <v>11</v>
      </c>
      <c r="E1494" t="s">
        <v>9</v>
      </c>
      <c r="F1494" t="s">
        <v>38</v>
      </c>
      <c r="G1494" t="str">
        <f>VLOOKUP(A1494,[1]Kreise!$A$1:$C$53,3,FALSE)</f>
        <v>K033</v>
      </c>
      <c r="H1494">
        <v>587</v>
      </c>
    </row>
    <row r="1495" spans="1:8">
      <c r="A1495">
        <v>4</v>
      </c>
      <c r="B1495" t="s">
        <v>148</v>
      </c>
      <c r="C1495">
        <v>2010</v>
      </c>
      <c r="D1495" t="s">
        <v>11</v>
      </c>
      <c r="E1495" t="s">
        <v>9</v>
      </c>
      <c r="F1495" t="s">
        <v>38</v>
      </c>
      <c r="G1495" t="str">
        <f>VLOOKUP(A1495,[1]Kreise!$A$1:$C$53,3,FALSE)</f>
        <v>K034</v>
      </c>
      <c r="H1495">
        <v>1211</v>
      </c>
    </row>
    <row r="1496" spans="1:8">
      <c r="A1496">
        <v>0</v>
      </c>
      <c r="B1496" t="s">
        <v>34</v>
      </c>
      <c r="C1496">
        <v>2010</v>
      </c>
      <c r="D1496" t="s">
        <v>11</v>
      </c>
      <c r="E1496" t="s">
        <v>9</v>
      </c>
      <c r="F1496" t="s">
        <v>38</v>
      </c>
      <c r="G1496" t="str">
        <f>VLOOKUP(A1496,[1]Kreise!$A$1:$C$53,3,FALSE)</f>
        <v>K030</v>
      </c>
      <c r="H1496">
        <v>3174</v>
      </c>
    </row>
    <row r="1497" spans="1:8">
      <c r="A1497">
        <v>1</v>
      </c>
      <c r="B1497" t="s">
        <v>145</v>
      </c>
      <c r="C1497">
        <v>2005</v>
      </c>
      <c r="D1497" t="s">
        <v>11</v>
      </c>
      <c r="E1497" t="s">
        <v>9</v>
      </c>
      <c r="F1497" t="s">
        <v>38</v>
      </c>
      <c r="G1497" t="str">
        <f>VLOOKUP(A1497,[1]Kreise!$A$1:$C$53,3,FALSE)</f>
        <v>K031</v>
      </c>
      <c r="H1497">
        <v>776</v>
      </c>
    </row>
    <row r="1498" spans="1:8">
      <c r="A1498">
        <v>2</v>
      </c>
      <c r="B1498" t="s">
        <v>146</v>
      </c>
      <c r="C1498">
        <v>2005</v>
      </c>
      <c r="D1498" t="s">
        <v>11</v>
      </c>
      <c r="E1498" t="s">
        <v>9</v>
      </c>
      <c r="F1498" t="s">
        <v>38</v>
      </c>
      <c r="G1498" t="str">
        <f>VLOOKUP(A1498,[1]Kreise!$A$1:$C$53,3,FALSE)</f>
        <v>K032</v>
      </c>
      <c r="H1498">
        <v>1028</v>
      </c>
    </row>
    <row r="1499" spans="1:8">
      <c r="A1499">
        <v>3</v>
      </c>
      <c r="B1499" t="s">
        <v>147</v>
      </c>
      <c r="C1499">
        <v>2005</v>
      </c>
      <c r="D1499" t="s">
        <v>11</v>
      </c>
      <c r="E1499" t="s">
        <v>9</v>
      </c>
      <c r="F1499" t="s">
        <v>38</v>
      </c>
      <c r="G1499" t="str">
        <f>VLOOKUP(A1499,[1]Kreise!$A$1:$C$53,3,FALSE)</f>
        <v>K033</v>
      </c>
      <c r="H1499">
        <v>818</v>
      </c>
    </row>
    <row r="1500" spans="1:8">
      <c r="A1500">
        <v>4</v>
      </c>
      <c r="B1500" t="s">
        <v>148</v>
      </c>
      <c r="C1500">
        <v>2005</v>
      </c>
      <c r="D1500" t="s">
        <v>11</v>
      </c>
      <c r="E1500" t="s">
        <v>9</v>
      </c>
      <c r="F1500" t="s">
        <v>38</v>
      </c>
      <c r="G1500" t="str">
        <f>VLOOKUP(A1500,[1]Kreise!$A$1:$C$53,3,FALSE)</f>
        <v>K034</v>
      </c>
      <c r="H1500">
        <v>1648</v>
      </c>
    </row>
    <row r="1501" spans="1:8">
      <c r="A1501">
        <v>0</v>
      </c>
      <c r="B1501" t="s">
        <v>34</v>
      </c>
      <c r="C1501">
        <v>2005</v>
      </c>
      <c r="D1501" t="s">
        <v>11</v>
      </c>
      <c r="E1501" t="s">
        <v>9</v>
      </c>
      <c r="F1501" t="s">
        <v>38</v>
      </c>
      <c r="G1501" t="str">
        <f>VLOOKUP(A1501,[1]Kreise!$A$1:$C$53,3,FALSE)</f>
        <v>K030</v>
      </c>
      <c r="H1501">
        <v>4270</v>
      </c>
    </row>
    <row r="1502" spans="1:8">
      <c r="A1502">
        <v>1</v>
      </c>
      <c r="B1502" t="s">
        <v>30</v>
      </c>
      <c r="C1502">
        <v>2020</v>
      </c>
      <c r="D1502" t="s">
        <v>12</v>
      </c>
      <c r="E1502" t="s">
        <v>9</v>
      </c>
      <c r="F1502" t="s">
        <v>38</v>
      </c>
      <c r="G1502" t="str">
        <f>VLOOKUP(A1502,[1]Kreise!$A$1:$C$53,3,FALSE)</f>
        <v>K031</v>
      </c>
      <c r="H1502">
        <v>31</v>
      </c>
    </row>
    <row r="1503" spans="1:8">
      <c r="A1503">
        <v>2</v>
      </c>
      <c r="B1503" t="s">
        <v>31</v>
      </c>
      <c r="C1503">
        <v>2020</v>
      </c>
      <c r="D1503" t="s">
        <v>12</v>
      </c>
      <c r="E1503" t="s">
        <v>9</v>
      </c>
      <c r="F1503" t="s">
        <v>38</v>
      </c>
      <c r="G1503" t="str">
        <f>VLOOKUP(A1503,[1]Kreise!$A$1:$C$53,3,FALSE)</f>
        <v>K032</v>
      </c>
      <c r="H1503">
        <v>45</v>
      </c>
    </row>
    <row r="1504" spans="1:8">
      <c r="A1504">
        <v>3</v>
      </c>
      <c r="B1504" t="s">
        <v>32</v>
      </c>
      <c r="C1504">
        <v>2020</v>
      </c>
      <c r="D1504" t="s">
        <v>12</v>
      </c>
      <c r="E1504" t="s">
        <v>9</v>
      </c>
      <c r="F1504" t="s">
        <v>38</v>
      </c>
      <c r="G1504" t="str">
        <f>VLOOKUP(A1504,[1]Kreise!$A$1:$C$53,3,FALSE)</f>
        <v>K033</v>
      </c>
      <c r="H1504">
        <v>6</v>
      </c>
    </row>
    <row r="1505" spans="1:8">
      <c r="A1505">
        <v>4</v>
      </c>
      <c r="B1505" t="s">
        <v>33</v>
      </c>
      <c r="C1505">
        <v>2020</v>
      </c>
      <c r="D1505" t="s">
        <v>12</v>
      </c>
      <c r="E1505" t="s">
        <v>9</v>
      </c>
      <c r="F1505" t="s">
        <v>38</v>
      </c>
      <c r="G1505" t="str">
        <f>VLOOKUP(A1505,[1]Kreise!$A$1:$C$53,3,FALSE)</f>
        <v>K034</v>
      </c>
      <c r="H1505">
        <v>66</v>
      </c>
    </row>
    <row r="1506" spans="1:8">
      <c r="A1506">
        <v>0</v>
      </c>
      <c r="B1506" t="s">
        <v>34</v>
      </c>
      <c r="C1506">
        <v>2020</v>
      </c>
      <c r="D1506" t="s">
        <v>12</v>
      </c>
      <c r="E1506" t="s">
        <v>9</v>
      </c>
      <c r="F1506" t="s">
        <v>38</v>
      </c>
      <c r="G1506" t="str">
        <f>VLOOKUP(A1506,[1]Kreise!$A$1:$C$53,3,FALSE)</f>
        <v>K030</v>
      </c>
      <c r="H1506">
        <v>148</v>
      </c>
    </row>
    <row r="1507" spans="1:8">
      <c r="A1507">
        <v>1</v>
      </c>
      <c r="B1507" t="s">
        <v>30</v>
      </c>
      <c r="C1507">
        <v>2019</v>
      </c>
      <c r="D1507" t="s">
        <v>12</v>
      </c>
      <c r="E1507" t="s">
        <v>9</v>
      </c>
      <c r="F1507" t="s">
        <v>38</v>
      </c>
      <c r="G1507" t="str">
        <f>VLOOKUP(A1507,[1]Kreise!$A$1:$C$53,3,FALSE)</f>
        <v>K031</v>
      </c>
      <c r="H1507">
        <v>44</v>
      </c>
    </row>
    <row r="1508" spans="1:8">
      <c r="A1508">
        <v>2</v>
      </c>
      <c r="B1508" t="s">
        <v>31</v>
      </c>
      <c r="C1508">
        <v>2019</v>
      </c>
      <c r="D1508" t="s">
        <v>12</v>
      </c>
      <c r="E1508" t="s">
        <v>9</v>
      </c>
      <c r="F1508" t="s">
        <v>38</v>
      </c>
      <c r="G1508" t="str">
        <f>VLOOKUP(A1508,[1]Kreise!$A$1:$C$53,3,FALSE)</f>
        <v>K032</v>
      </c>
      <c r="H1508">
        <v>36</v>
      </c>
    </row>
    <row r="1509" spans="1:8">
      <c r="A1509">
        <v>3</v>
      </c>
      <c r="B1509" t="s">
        <v>32</v>
      </c>
      <c r="C1509">
        <v>2019</v>
      </c>
      <c r="D1509" t="s">
        <v>12</v>
      </c>
      <c r="E1509" t="s">
        <v>9</v>
      </c>
      <c r="F1509" t="s">
        <v>38</v>
      </c>
      <c r="G1509" t="str">
        <f>VLOOKUP(A1509,[1]Kreise!$A$1:$C$53,3,FALSE)</f>
        <v>K033</v>
      </c>
      <c r="H1509">
        <v>29</v>
      </c>
    </row>
    <row r="1510" spans="1:8">
      <c r="A1510">
        <v>4</v>
      </c>
      <c r="B1510" t="s">
        <v>33</v>
      </c>
      <c r="C1510">
        <v>2019</v>
      </c>
      <c r="D1510" t="s">
        <v>12</v>
      </c>
      <c r="E1510" t="s">
        <v>9</v>
      </c>
      <c r="F1510" t="s">
        <v>38</v>
      </c>
      <c r="G1510" t="str">
        <f>VLOOKUP(A1510,[1]Kreise!$A$1:$C$53,3,FALSE)</f>
        <v>K034</v>
      </c>
      <c r="H1510">
        <v>78</v>
      </c>
    </row>
    <row r="1511" spans="1:8">
      <c r="A1511">
        <v>0</v>
      </c>
      <c r="B1511" t="s">
        <v>34</v>
      </c>
      <c r="C1511">
        <v>2019</v>
      </c>
      <c r="D1511" t="s">
        <v>12</v>
      </c>
      <c r="E1511" t="s">
        <v>9</v>
      </c>
      <c r="F1511" t="s">
        <v>38</v>
      </c>
      <c r="G1511" t="str">
        <f>VLOOKUP(A1511,[1]Kreise!$A$1:$C$53,3,FALSE)</f>
        <v>K030</v>
      </c>
      <c r="H1511">
        <v>187</v>
      </c>
    </row>
    <row r="1512" spans="1:8">
      <c r="A1512">
        <v>1</v>
      </c>
      <c r="B1512" t="s">
        <v>30</v>
      </c>
      <c r="C1512">
        <v>2018</v>
      </c>
      <c r="D1512" t="s">
        <v>12</v>
      </c>
      <c r="E1512" t="s">
        <v>9</v>
      </c>
      <c r="F1512" t="s">
        <v>38</v>
      </c>
      <c r="G1512" t="str">
        <f>VLOOKUP(A1512,[1]Kreise!$A$1:$C$53,3,FALSE)</f>
        <v>K031</v>
      </c>
      <c r="H1512">
        <v>40</v>
      </c>
    </row>
    <row r="1513" spans="1:8">
      <c r="A1513">
        <v>2</v>
      </c>
      <c r="B1513" t="s">
        <v>31</v>
      </c>
      <c r="C1513">
        <v>2018</v>
      </c>
      <c r="D1513" t="s">
        <v>12</v>
      </c>
      <c r="E1513" t="s">
        <v>9</v>
      </c>
      <c r="F1513" t="s">
        <v>38</v>
      </c>
      <c r="G1513" t="str">
        <f>VLOOKUP(A1513,[1]Kreise!$A$1:$C$53,3,FALSE)</f>
        <v>K032</v>
      </c>
      <c r="H1513">
        <v>43</v>
      </c>
    </row>
    <row r="1514" spans="1:8">
      <c r="A1514">
        <v>3</v>
      </c>
      <c r="B1514" t="s">
        <v>32</v>
      </c>
      <c r="C1514">
        <v>2018</v>
      </c>
      <c r="D1514" t="s">
        <v>12</v>
      </c>
      <c r="E1514" t="s">
        <v>9</v>
      </c>
      <c r="F1514" t="s">
        <v>38</v>
      </c>
      <c r="G1514" t="str">
        <f>VLOOKUP(A1514,[1]Kreise!$A$1:$C$53,3,FALSE)</f>
        <v>K033</v>
      </c>
      <c r="H1514">
        <v>29</v>
      </c>
    </row>
    <row r="1515" spans="1:8">
      <c r="A1515">
        <v>4</v>
      </c>
      <c r="B1515" t="s">
        <v>33</v>
      </c>
      <c r="C1515">
        <v>2018</v>
      </c>
      <c r="D1515" t="s">
        <v>12</v>
      </c>
      <c r="E1515" t="s">
        <v>9</v>
      </c>
      <c r="F1515" t="s">
        <v>38</v>
      </c>
      <c r="G1515" t="str">
        <f>VLOOKUP(A1515,[1]Kreise!$A$1:$C$53,3,FALSE)</f>
        <v>K034</v>
      </c>
      <c r="H1515">
        <v>74</v>
      </c>
    </row>
    <row r="1516" spans="1:8">
      <c r="A1516">
        <v>0</v>
      </c>
      <c r="B1516" t="s">
        <v>34</v>
      </c>
      <c r="C1516">
        <v>2018</v>
      </c>
      <c r="D1516" t="s">
        <v>12</v>
      </c>
      <c r="E1516" t="s">
        <v>9</v>
      </c>
      <c r="F1516" t="s">
        <v>38</v>
      </c>
      <c r="G1516" t="str">
        <f>VLOOKUP(A1516,[1]Kreise!$A$1:$C$53,3,FALSE)</f>
        <v>K030</v>
      </c>
      <c r="H1516">
        <v>186</v>
      </c>
    </row>
    <row r="1517" spans="1:8">
      <c r="A1517">
        <v>1</v>
      </c>
      <c r="B1517" t="s">
        <v>30</v>
      </c>
      <c r="C1517">
        <v>2017</v>
      </c>
      <c r="D1517" t="s">
        <v>12</v>
      </c>
      <c r="E1517" t="s">
        <v>9</v>
      </c>
      <c r="F1517" t="s">
        <v>38</v>
      </c>
      <c r="G1517" t="str">
        <f>VLOOKUP(A1517,[1]Kreise!$A$1:$C$53,3,FALSE)</f>
        <v>K031</v>
      </c>
      <c r="H1517">
        <v>39</v>
      </c>
    </row>
    <row r="1518" spans="1:8">
      <c r="A1518">
        <v>2</v>
      </c>
      <c r="B1518" t="s">
        <v>31</v>
      </c>
      <c r="C1518">
        <v>2017</v>
      </c>
      <c r="D1518" t="s">
        <v>12</v>
      </c>
      <c r="E1518" t="s">
        <v>9</v>
      </c>
      <c r="F1518" t="s">
        <v>38</v>
      </c>
      <c r="G1518" t="str">
        <f>VLOOKUP(A1518,[1]Kreise!$A$1:$C$53,3,FALSE)</f>
        <v>K032</v>
      </c>
      <c r="H1518">
        <v>46</v>
      </c>
    </row>
    <row r="1519" spans="1:8">
      <c r="A1519">
        <v>3</v>
      </c>
      <c r="B1519" t="s">
        <v>32</v>
      </c>
      <c r="C1519">
        <v>2017</v>
      </c>
      <c r="D1519" t="s">
        <v>12</v>
      </c>
      <c r="E1519" t="s">
        <v>9</v>
      </c>
      <c r="F1519" t="s">
        <v>38</v>
      </c>
      <c r="G1519" t="str">
        <f>VLOOKUP(A1519,[1]Kreise!$A$1:$C$53,3,FALSE)</f>
        <v>K033</v>
      </c>
      <c r="H1519">
        <v>20</v>
      </c>
    </row>
    <row r="1520" spans="1:8">
      <c r="A1520">
        <v>4</v>
      </c>
      <c r="B1520" t="s">
        <v>33</v>
      </c>
      <c r="C1520">
        <v>2017</v>
      </c>
      <c r="D1520" t="s">
        <v>12</v>
      </c>
      <c r="E1520" t="s">
        <v>9</v>
      </c>
      <c r="F1520" t="s">
        <v>38</v>
      </c>
      <c r="G1520" t="str">
        <f>VLOOKUP(A1520,[1]Kreise!$A$1:$C$53,3,FALSE)</f>
        <v>K034</v>
      </c>
      <c r="H1520">
        <v>73</v>
      </c>
    </row>
    <row r="1521" spans="1:8">
      <c r="A1521">
        <v>0</v>
      </c>
      <c r="B1521" t="s">
        <v>34</v>
      </c>
      <c r="C1521">
        <v>2017</v>
      </c>
      <c r="D1521" t="s">
        <v>12</v>
      </c>
      <c r="E1521" t="s">
        <v>9</v>
      </c>
      <c r="F1521" t="s">
        <v>38</v>
      </c>
      <c r="G1521" t="str">
        <f>VLOOKUP(A1521,[1]Kreise!$A$1:$C$53,3,FALSE)</f>
        <v>K030</v>
      </c>
      <c r="H1521">
        <v>178</v>
      </c>
    </row>
    <row r="1522" spans="1:8">
      <c r="A1522">
        <v>1</v>
      </c>
      <c r="B1522" t="s">
        <v>30</v>
      </c>
      <c r="C1522">
        <v>2016</v>
      </c>
      <c r="D1522" t="s">
        <v>12</v>
      </c>
      <c r="E1522" t="s">
        <v>9</v>
      </c>
      <c r="F1522" t="s">
        <v>38</v>
      </c>
      <c r="G1522" t="str">
        <f>VLOOKUP(A1522,[1]Kreise!$A$1:$C$53,3,FALSE)</f>
        <v>K031</v>
      </c>
      <c r="H1522">
        <v>40</v>
      </c>
    </row>
    <row r="1523" spans="1:8">
      <c r="A1523">
        <v>2</v>
      </c>
      <c r="B1523" t="s">
        <v>31</v>
      </c>
      <c r="C1523">
        <v>2016</v>
      </c>
      <c r="D1523" t="s">
        <v>12</v>
      </c>
      <c r="E1523" t="s">
        <v>9</v>
      </c>
      <c r="F1523" t="s">
        <v>38</v>
      </c>
      <c r="G1523" t="str">
        <f>VLOOKUP(A1523,[1]Kreise!$A$1:$C$53,3,FALSE)</f>
        <v>K032</v>
      </c>
      <c r="H1523">
        <v>50</v>
      </c>
    </row>
    <row r="1524" spans="1:8">
      <c r="A1524">
        <v>3</v>
      </c>
      <c r="B1524" t="s">
        <v>32</v>
      </c>
      <c r="C1524">
        <v>2016</v>
      </c>
      <c r="D1524" t="s">
        <v>12</v>
      </c>
      <c r="E1524" t="s">
        <v>9</v>
      </c>
      <c r="F1524" t="s">
        <v>38</v>
      </c>
      <c r="G1524" t="str">
        <f>VLOOKUP(A1524,[1]Kreise!$A$1:$C$53,3,FALSE)</f>
        <v>K033</v>
      </c>
      <c r="H1524">
        <v>25</v>
      </c>
    </row>
    <row r="1525" spans="1:8">
      <c r="A1525">
        <v>4</v>
      </c>
      <c r="B1525" t="s">
        <v>33</v>
      </c>
      <c r="C1525">
        <v>2016</v>
      </c>
      <c r="D1525" t="s">
        <v>12</v>
      </c>
      <c r="E1525" t="s">
        <v>9</v>
      </c>
      <c r="F1525" t="s">
        <v>38</v>
      </c>
      <c r="G1525" t="str">
        <f>VLOOKUP(A1525,[1]Kreise!$A$1:$C$53,3,FALSE)</f>
        <v>K034</v>
      </c>
      <c r="H1525">
        <v>70</v>
      </c>
    </row>
    <row r="1526" spans="1:8">
      <c r="A1526">
        <v>0</v>
      </c>
      <c r="B1526" t="s">
        <v>34</v>
      </c>
      <c r="C1526">
        <v>2016</v>
      </c>
      <c r="D1526" t="s">
        <v>12</v>
      </c>
      <c r="E1526" t="s">
        <v>9</v>
      </c>
      <c r="F1526" t="s">
        <v>38</v>
      </c>
      <c r="G1526" t="str">
        <f>VLOOKUP(A1526,[1]Kreise!$A$1:$C$53,3,FALSE)</f>
        <v>K030</v>
      </c>
      <c r="H1526">
        <v>185</v>
      </c>
    </row>
    <row r="1527" spans="1:8">
      <c r="A1527">
        <v>1</v>
      </c>
      <c r="B1527" t="s">
        <v>30</v>
      </c>
      <c r="C1527">
        <v>2015</v>
      </c>
      <c r="D1527" t="s">
        <v>12</v>
      </c>
      <c r="E1527" t="s">
        <v>9</v>
      </c>
      <c r="F1527" t="s">
        <v>38</v>
      </c>
      <c r="G1527" t="str">
        <f>VLOOKUP(A1527,[1]Kreise!$A$1:$C$53,3,FALSE)</f>
        <v>K031</v>
      </c>
      <c r="H1527">
        <v>54</v>
      </c>
    </row>
    <row r="1528" spans="1:8">
      <c r="A1528">
        <v>2</v>
      </c>
      <c r="B1528" t="s">
        <v>31</v>
      </c>
      <c r="C1528">
        <v>2015</v>
      </c>
      <c r="D1528" t="s">
        <v>12</v>
      </c>
      <c r="E1528" t="s">
        <v>9</v>
      </c>
      <c r="F1528" t="s">
        <v>38</v>
      </c>
      <c r="G1528" t="str">
        <f>VLOOKUP(A1528,[1]Kreise!$A$1:$C$53,3,FALSE)</f>
        <v>K032</v>
      </c>
      <c r="H1528">
        <v>61</v>
      </c>
    </row>
    <row r="1529" spans="1:8">
      <c r="A1529">
        <v>3</v>
      </c>
      <c r="B1529" t="s">
        <v>32</v>
      </c>
      <c r="C1529">
        <v>2015</v>
      </c>
      <c r="D1529" t="s">
        <v>12</v>
      </c>
      <c r="E1529" t="s">
        <v>9</v>
      </c>
      <c r="F1529" t="s">
        <v>38</v>
      </c>
      <c r="G1529" t="str">
        <f>VLOOKUP(A1529,[1]Kreise!$A$1:$C$53,3,FALSE)</f>
        <v>K033</v>
      </c>
      <c r="H1529">
        <v>34</v>
      </c>
    </row>
    <row r="1530" spans="1:8">
      <c r="A1530">
        <v>4</v>
      </c>
      <c r="B1530" t="s">
        <v>33</v>
      </c>
      <c r="C1530">
        <v>2015</v>
      </c>
      <c r="D1530" t="s">
        <v>12</v>
      </c>
      <c r="E1530" t="s">
        <v>9</v>
      </c>
      <c r="F1530" t="s">
        <v>38</v>
      </c>
      <c r="G1530" t="str">
        <f>VLOOKUP(A1530,[1]Kreise!$A$1:$C$53,3,FALSE)</f>
        <v>K034</v>
      </c>
      <c r="H1530">
        <v>79</v>
      </c>
    </row>
    <row r="1531" spans="1:8">
      <c r="A1531">
        <v>0</v>
      </c>
      <c r="B1531" t="s">
        <v>34</v>
      </c>
      <c r="C1531">
        <v>2015</v>
      </c>
      <c r="D1531" t="s">
        <v>12</v>
      </c>
      <c r="E1531" t="s">
        <v>9</v>
      </c>
      <c r="F1531" t="s">
        <v>38</v>
      </c>
      <c r="G1531" t="str">
        <f>VLOOKUP(A1531,[1]Kreise!$A$1:$C$53,3,FALSE)</f>
        <v>K030</v>
      </c>
      <c r="H1531">
        <v>228</v>
      </c>
    </row>
    <row r="1532" spans="1:8">
      <c r="A1532">
        <v>1</v>
      </c>
      <c r="B1532" t="s">
        <v>145</v>
      </c>
      <c r="C1532">
        <v>2014</v>
      </c>
      <c r="D1532" t="s">
        <v>12</v>
      </c>
      <c r="E1532" t="s">
        <v>9</v>
      </c>
      <c r="F1532" t="s">
        <v>38</v>
      </c>
      <c r="G1532" t="str">
        <f>VLOOKUP(A1532,[1]Kreise!$A$1:$C$53,3,FALSE)</f>
        <v>K031</v>
      </c>
      <c r="H1532">
        <v>43</v>
      </c>
    </row>
    <row r="1533" spans="1:8">
      <c r="A1533">
        <v>2</v>
      </c>
      <c r="B1533" t="s">
        <v>146</v>
      </c>
      <c r="C1533">
        <v>2014</v>
      </c>
      <c r="D1533" t="s">
        <v>12</v>
      </c>
      <c r="E1533" t="s">
        <v>9</v>
      </c>
      <c r="F1533" t="s">
        <v>38</v>
      </c>
      <c r="G1533" t="str">
        <f>VLOOKUP(A1533,[1]Kreise!$A$1:$C$53,3,FALSE)</f>
        <v>K032</v>
      </c>
      <c r="H1533">
        <v>109</v>
      </c>
    </row>
    <row r="1534" spans="1:8">
      <c r="A1534">
        <v>3</v>
      </c>
      <c r="B1534" t="s">
        <v>147</v>
      </c>
      <c r="C1534">
        <v>2014</v>
      </c>
      <c r="D1534" t="s">
        <v>12</v>
      </c>
      <c r="E1534" t="s">
        <v>9</v>
      </c>
      <c r="F1534" t="s">
        <v>38</v>
      </c>
      <c r="G1534" t="str">
        <f>VLOOKUP(A1534,[1]Kreise!$A$1:$C$53,3,FALSE)</f>
        <v>K033</v>
      </c>
      <c r="H1534">
        <v>57</v>
      </c>
    </row>
    <row r="1535" spans="1:8">
      <c r="A1535">
        <v>4</v>
      </c>
      <c r="B1535" t="s">
        <v>148</v>
      </c>
      <c r="C1535">
        <v>2014</v>
      </c>
      <c r="D1535" t="s">
        <v>12</v>
      </c>
      <c r="E1535" t="s">
        <v>9</v>
      </c>
      <c r="F1535" t="s">
        <v>38</v>
      </c>
      <c r="G1535" t="str">
        <f>VLOOKUP(A1535,[1]Kreise!$A$1:$C$53,3,FALSE)</f>
        <v>K034</v>
      </c>
      <c r="H1535">
        <v>109</v>
      </c>
    </row>
    <row r="1536" spans="1:8">
      <c r="A1536">
        <v>0</v>
      </c>
      <c r="B1536" t="s">
        <v>34</v>
      </c>
      <c r="C1536">
        <v>2014</v>
      </c>
      <c r="D1536" t="s">
        <v>12</v>
      </c>
      <c r="E1536" t="s">
        <v>9</v>
      </c>
      <c r="F1536" t="s">
        <v>38</v>
      </c>
      <c r="G1536" t="str">
        <f>VLOOKUP(A1536,[1]Kreise!$A$1:$C$53,3,FALSE)</f>
        <v>K030</v>
      </c>
      <c r="H1536">
        <v>318</v>
      </c>
    </row>
    <row r="1537" spans="1:8">
      <c r="A1537">
        <v>1</v>
      </c>
      <c r="B1537" t="s">
        <v>30</v>
      </c>
      <c r="C1537">
        <v>2013</v>
      </c>
      <c r="D1537" t="s">
        <v>12</v>
      </c>
      <c r="E1537" t="s">
        <v>9</v>
      </c>
      <c r="F1537" t="s">
        <v>38</v>
      </c>
      <c r="G1537" t="str">
        <f>VLOOKUP(A1537,[1]Kreise!$A$1:$C$53,3,FALSE)</f>
        <v>K031</v>
      </c>
      <c r="H1537">
        <v>71</v>
      </c>
    </row>
    <row r="1538" spans="1:8">
      <c r="A1538">
        <v>2</v>
      </c>
      <c r="B1538" t="s">
        <v>31</v>
      </c>
      <c r="C1538">
        <v>2013</v>
      </c>
      <c r="D1538" t="s">
        <v>12</v>
      </c>
      <c r="E1538" t="s">
        <v>9</v>
      </c>
      <c r="F1538" t="s">
        <v>38</v>
      </c>
      <c r="G1538" t="str">
        <f>VLOOKUP(A1538,[1]Kreise!$A$1:$C$53,3,FALSE)</f>
        <v>K032</v>
      </c>
      <c r="H1538">
        <v>109</v>
      </c>
    </row>
    <row r="1539" spans="1:8">
      <c r="A1539">
        <v>3</v>
      </c>
      <c r="B1539" t="s">
        <v>32</v>
      </c>
      <c r="C1539">
        <v>2013</v>
      </c>
      <c r="D1539" t="s">
        <v>12</v>
      </c>
      <c r="E1539" t="s">
        <v>9</v>
      </c>
      <c r="F1539" t="s">
        <v>38</v>
      </c>
      <c r="G1539" t="str">
        <f>VLOOKUP(A1539,[1]Kreise!$A$1:$C$53,3,FALSE)</f>
        <v>K033</v>
      </c>
      <c r="H1539">
        <v>48</v>
      </c>
    </row>
    <row r="1540" spans="1:8">
      <c r="A1540">
        <v>4</v>
      </c>
      <c r="B1540" t="s">
        <v>33</v>
      </c>
      <c r="C1540">
        <v>2013</v>
      </c>
      <c r="D1540" t="s">
        <v>12</v>
      </c>
      <c r="E1540" t="s">
        <v>9</v>
      </c>
      <c r="F1540" t="s">
        <v>38</v>
      </c>
      <c r="G1540" t="str">
        <f>VLOOKUP(A1540,[1]Kreise!$A$1:$C$53,3,FALSE)</f>
        <v>K034</v>
      </c>
      <c r="H1540">
        <v>117</v>
      </c>
    </row>
    <row r="1541" spans="1:8">
      <c r="A1541">
        <v>0</v>
      </c>
      <c r="B1541" t="s">
        <v>34</v>
      </c>
      <c r="C1541">
        <v>2013</v>
      </c>
      <c r="D1541" t="s">
        <v>12</v>
      </c>
      <c r="E1541" t="s">
        <v>9</v>
      </c>
      <c r="F1541" t="s">
        <v>38</v>
      </c>
      <c r="G1541" t="str">
        <f>VLOOKUP(A1541,[1]Kreise!$A$1:$C$53,3,FALSE)</f>
        <v>K030</v>
      </c>
      <c r="H1541">
        <v>345</v>
      </c>
    </row>
    <row r="1542" spans="1:8">
      <c r="A1542">
        <v>1</v>
      </c>
      <c r="B1542" t="s">
        <v>145</v>
      </c>
      <c r="C1542">
        <v>2012</v>
      </c>
      <c r="D1542" t="s">
        <v>12</v>
      </c>
      <c r="E1542" t="s">
        <v>9</v>
      </c>
      <c r="F1542" t="s">
        <v>38</v>
      </c>
      <c r="G1542" t="str">
        <f>VLOOKUP(A1542,[1]Kreise!$A$1:$C$53,3,FALSE)</f>
        <v>K031</v>
      </c>
      <c r="H1542">
        <v>80</v>
      </c>
    </row>
    <row r="1543" spans="1:8">
      <c r="A1543">
        <v>2</v>
      </c>
      <c r="B1543" t="s">
        <v>146</v>
      </c>
      <c r="C1543">
        <v>2012</v>
      </c>
      <c r="D1543" t="s">
        <v>12</v>
      </c>
      <c r="E1543" t="s">
        <v>9</v>
      </c>
      <c r="F1543" t="s">
        <v>38</v>
      </c>
      <c r="G1543" t="str">
        <f>VLOOKUP(A1543,[1]Kreise!$A$1:$C$53,3,FALSE)</f>
        <v>K032</v>
      </c>
      <c r="H1543">
        <v>165</v>
      </c>
    </row>
    <row r="1544" spans="1:8">
      <c r="A1544">
        <v>3</v>
      </c>
      <c r="B1544" t="s">
        <v>147</v>
      </c>
      <c r="C1544">
        <v>2012</v>
      </c>
      <c r="D1544" t="s">
        <v>12</v>
      </c>
      <c r="E1544" t="s">
        <v>9</v>
      </c>
      <c r="F1544" t="s">
        <v>38</v>
      </c>
      <c r="G1544" t="str">
        <f>VLOOKUP(A1544,[1]Kreise!$A$1:$C$53,3,FALSE)</f>
        <v>K033</v>
      </c>
      <c r="H1544">
        <v>64</v>
      </c>
    </row>
    <row r="1545" spans="1:8">
      <c r="A1545">
        <v>4</v>
      </c>
      <c r="B1545" t="s">
        <v>148</v>
      </c>
      <c r="C1545">
        <v>2012</v>
      </c>
      <c r="D1545" t="s">
        <v>12</v>
      </c>
      <c r="E1545" t="s">
        <v>9</v>
      </c>
      <c r="F1545" t="s">
        <v>38</v>
      </c>
      <c r="G1545" t="str">
        <f>VLOOKUP(A1545,[1]Kreise!$A$1:$C$53,3,FALSE)</f>
        <v>K034</v>
      </c>
      <c r="H1545">
        <v>135</v>
      </c>
    </row>
    <row r="1546" spans="1:8">
      <c r="A1546">
        <v>0</v>
      </c>
      <c r="B1546" t="s">
        <v>34</v>
      </c>
      <c r="C1546">
        <v>2012</v>
      </c>
      <c r="D1546" t="s">
        <v>12</v>
      </c>
      <c r="E1546" t="s">
        <v>9</v>
      </c>
      <c r="F1546" t="s">
        <v>38</v>
      </c>
      <c r="G1546" t="str">
        <f>VLOOKUP(A1546,[1]Kreise!$A$1:$C$53,3,FALSE)</f>
        <v>K030</v>
      </c>
      <c r="H1546">
        <v>444</v>
      </c>
    </row>
    <row r="1547" spans="1:8">
      <c r="A1547">
        <v>1</v>
      </c>
      <c r="B1547" t="s">
        <v>30</v>
      </c>
      <c r="C1547">
        <v>2011</v>
      </c>
      <c r="D1547" t="s">
        <v>12</v>
      </c>
      <c r="E1547" t="s">
        <v>9</v>
      </c>
      <c r="F1547" t="s">
        <v>38</v>
      </c>
      <c r="G1547" t="str">
        <f>VLOOKUP(A1547,[1]Kreise!$A$1:$C$53,3,FALSE)</f>
        <v>K031</v>
      </c>
      <c r="H1547">
        <v>105</v>
      </c>
    </row>
    <row r="1548" spans="1:8">
      <c r="A1548">
        <v>2</v>
      </c>
      <c r="B1548" t="s">
        <v>31</v>
      </c>
      <c r="C1548">
        <v>2011</v>
      </c>
      <c r="D1548" t="s">
        <v>12</v>
      </c>
      <c r="E1548" t="s">
        <v>9</v>
      </c>
      <c r="F1548" t="s">
        <v>38</v>
      </c>
      <c r="G1548" t="str">
        <f>VLOOKUP(A1548,[1]Kreise!$A$1:$C$53,3,FALSE)</f>
        <v>K032</v>
      </c>
      <c r="H1548">
        <v>196</v>
      </c>
    </row>
    <row r="1549" spans="1:8">
      <c r="A1549">
        <v>3</v>
      </c>
      <c r="B1549" t="s">
        <v>32</v>
      </c>
      <c r="C1549">
        <v>2011</v>
      </c>
      <c r="D1549" t="s">
        <v>12</v>
      </c>
      <c r="E1549" t="s">
        <v>9</v>
      </c>
      <c r="F1549" t="s">
        <v>38</v>
      </c>
      <c r="G1549" t="str">
        <f>VLOOKUP(A1549,[1]Kreise!$A$1:$C$53,3,FALSE)</f>
        <v>K033</v>
      </c>
      <c r="H1549">
        <v>84</v>
      </c>
    </row>
    <row r="1550" spans="1:8">
      <c r="A1550">
        <v>4</v>
      </c>
      <c r="B1550" t="s">
        <v>33</v>
      </c>
      <c r="C1550">
        <v>2011</v>
      </c>
      <c r="D1550" t="s">
        <v>12</v>
      </c>
      <c r="E1550" t="s">
        <v>9</v>
      </c>
      <c r="F1550" t="s">
        <v>38</v>
      </c>
      <c r="G1550" t="str">
        <f>VLOOKUP(A1550,[1]Kreise!$A$1:$C$53,3,FALSE)</f>
        <v>K034</v>
      </c>
      <c r="H1550">
        <v>151</v>
      </c>
    </row>
    <row r="1551" spans="1:8">
      <c r="A1551">
        <v>0</v>
      </c>
      <c r="B1551" t="s">
        <v>34</v>
      </c>
      <c r="C1551">
        <v>2011</v>
      </c>
      <c r="D1551" t="s">
        <v>12</v>
      </c>
      <c r="E1551" t="s">
        <v>9</v>
      </c>
      <c r="F1551" t="s">
        <v>38</v>
      </c>
      <c r="G1551" t="str">
        <f>VLOOKUP(A1551,[1]Kreise!$A$1:$C$53,3,FALSE)</f>
        <v>K030</v>
      </c>
      <c r="H1551">
        <v>536</v>
      </c>
    </row>
    <row r="1552" spans="1:8">
      <c r="A1552">
        <v>1</v>
      </c>
      <c r="B1552" t="s">
        <v>145</v>
      </c>
      <c r="C1552">
        <v>2010</v>
      </c>
      <c r="D1552" t="s">
        <v>12</v>
      </c>
      <c r="E1552" t="s">
        <v>9</v>
      </c>
      <c r="F1552" t="s">
        <v>38</v>
      </c>
      <c r="G1552" t="str">
        <f>VLOOKUP(A1552,[1]Kreise!$A$1:$C$53,3,FALSE)</f>
        <v>K031</v>
      </c>
      <c r="H1552">
        <v>107</v>
      </c>
    </row>
    <row r="1553" spans="1:8">
      <c r="A1553">
        <v>2</v>
      </c>
      <c r="B1553" t="s">
        <v>146</v>
      </c>
      <c r="C1553">
        <v>2010</v>
      </c>
      <c r="D1553" t="s">
        <v>12</v>
      </c>
      <c r="E1553" t="s">
        <v>9</v>
      </c>
      <c r="F1553" t="s">
        <v>38</v>
      </c>
      <c r="G1553" t="str">
        <f>VLOOKUP(A1553,[1]Kreise!$A$1:$C$53,3,FALSE)</f>
        <v>K032</v>
      </c>
      <c r="H1553">
        <v>207</v>
      </c>
    </row>
    <row r="1554" spans="1:8">
      <c r="A1554">
        <v>3</v>
      </c>
      <c r="B1554" t="s">
        <v>147</v>
      </c>
      <c r="C1554">
        <v>2010</v>
      </c>
      <c r="D1554" t="s">
        <v>12</v>
      </c>
      <c r="E1554" t="s">
        <v>9</v>
      </c>
      <c r="F1554" t="s">
        <v>38</v>
      </c>
      <c r="G1554" t="str">
        <f>VLOOKUP(A1554,[1]Kreise!$A$1:$C$53,3,FALSE)</f>
        <v>K033</v>
      </c>
      <c r="H1554">
        <v>56</v>
      </c>
    </row>
    <row r="1555" spans="1:8">
      <c r="A1555">
        <v>4</v>
      </c>
      <c r="B1555" t="s">
        <v>148</v>
      </c>
      <c r="C1555">
        <v>2010</v>
      </c>
      <c r="D1555" t="s">
        <v>12</v>
      </c>
      <c r="E1555" t="s">
        <v>9</v>
      </c>
      <c r="F1555" t="s">
        <v>38</v>
      </c>
      <c r="G1555" t="str">
        <f>VLOOKUP(A1555,[1]Kreise!$A$1:$C$53,3,FALSE)</f>
        <v>K034</v>
      </c>
      <c r="H1555">
        <v>133</v>
      </c>
    </row>
    <row r="1556" spans="1:8">
      <c r="A1556">
        <v>0</v>
      </c>
      <c r="B1556" t="s">
        <v>34</v>
      </c>
      <c r="C1556">
        <v>2010</v>
      </c>
      <c r="D1556" t="s">
        <v>12</v>
      </c>
      <c r="E1556" t="s">
        <v>9</v>
      </c>
      <c r="F1556" t="s">
        <v>38</v>
      </c>
      <c r="G1556" t="str">
        <f>VLOOKUP(A1556,[1]Kreise!$A$1:$C$53,3,FALSE)</f>
        <v>K030</v>
      </c>
      <c r="H1556">
        <v>503</v>
      </c>
    </row>
    <row r="1557" spans="1:8">
      <c r="A1557">
        <v>1</v>
      </c>
      <c r="B1557" t="s">
        <v>145</v>
      </c>
      <c r="C1557">
        <v>2005</v>
      </c>
      <c r="D1557" t="s">
        <v>12</v>
      </c>
      <c r="E1557" t="s">
        <v>9</v>
      </c>
      <c r="F1557" t="s">
        <v>38</v>
      </c>
      <c r="G1557" t="str">
        <f>VLOOKUP(A1557,[1]Kreise!$A$1:$C$53,3,FALSE)</f>
        <v>K031</v>
      </c>
      <c r="H1557">
        <v>165</v>
      </c>
    </row>
    <row r="1558" spans="1:8">
      <c r="A1558">
        <v>2</v>
      </c>
      <c r="B1558" t="s">
        <v>146</v>
      </c>
      <c r="C1558">
        <v>2005</v>
      </c>
      <c r="D1558" t="s">
        <v>12</v>
      </c>
      <c r="E1558" t="s">
        <v>9</v>
      </c>
      <c r="F1558" t="s">
        <v>38</v>
      </c>
      <c r="G1558" t="str">
        <f>VLOOKUP(A1558,[1]Kreise!$A$1:$C$53,3,FALSE)</f>
        <v>K032</v>
      </c>
      <c r="H1558">
        <v>306</v>
      </c>
    </row>
    <row r="1559" spans="1:8">
      <c r="A1559">
        <v>3</v>
      </c>
      <c r="B1559" t="s">
        <v>147</v>
      </c>
      <c r="C1559">
        <v>2005</v>
      </c>
      <c r="D1559" t="s">
        <v>12</v>
      </c>
      <c r="E1559" t="s">
        <v>9</v>
      </c>
      <c r="F1559" t="s">
        <v>38</v>
      </c>
      <c r="G1559" t="str">
        <f>VLOOKUP(A1559,[1]Kreise!$A$1:$C$53,3,FALSE)</f>
        <v>K033</v>
      </c>
      <c r="H1559">
        <v>137</v>
      </c>
    </row>
    <row r="1560" spans="1:8">
      <c r="A1560">
        <v>4</v>
      </c>
      <c r="B1560" t="s">
        <v>148</v>
      </c>
      <c r="C1560">
        <v>2005</v>
      </c>
      <c r="D1560" t="s">
        <v>12</v>
      </c>
      <c r="E1560" t="s">
        <v>9</v>
      </c>
      <c r="F1560" t="s">
        <v>38</v>
      </c>
      <c r="G1560" t="str">
        <f>VLOOKUP(A1560,[1]Kreise!$A$1:$C$53,3,FALSE)</f>
        <v>K034</v>
      </c>
      <c r="H1560">
        <v>247</v>
      </c>
    </row>
    <row r="1561" spans="1:8">
      <c r="A1561">
        <v>0</v>
      </c>
      <c r="B1561" t="s">
        <v>34</v>
      </c>
      <c r="C1561">
        <v>2005</v>
      </c>
      <c r="D1561" t="s">
        <v>12</v>
      </c>
      <c r="E1561" t="s">
        <v>9</v>
      </c>
      <c r="F1561" t="s">
        <v>38</v>
      </c>
      <c r="G1561" t="str">
        <f>VLOOKUP(A1561,[1]Kreise!$A$1:$C$53,3,FALSE)</f>
        <v>K030</v>
      </c>
      <c r="H1561">
        <v>855</v>
      </c>
    </row>
    <row r="1562" spans="1:8">
      <c r="A1562">
        <v>1</v>
      </c>
      <c r="B1562" t="s">
        <v>30</v>
      </c>
      <c r="C1562">
        <v>2020</v>
      </c>
      <c r="D1562" t="s">
        <v>11</v>
      </c>
      <c r="E1562" t="s">
        <v>10</v>
      </c>
      <c r="F1562" t="s">
        <v>38</v>
      </c>
      <c r="G1562" t="str">
        <f>VLOOKUP(A1562,[1]Kreise!$A$1:$C$53,3,FALSE)</f>
        <v>K031</v>
      </c>
      <c r="H1562">
        <v>12880</v>
      </c>
    </row>
    <row r="1563" spans="1:8">
      <c r="A1563">
        <v>2</v>
      </c>
      <c r="B1563" t="s">
        <v>31</v>
      </c>
      <c r="C1563">
        <v>2020</v>
      </c>
      <c r="D1563" t="s">
        <v>11</v>
      </c>
      <c r="E1563" t="s">
        <v>10</v>
      </c>
      <c r="F1563" t="s">
        <v>38</v>
      </c>
      <c r="G1563" t="str">
        <f>VLOOKUP(A1563,[1]Kreise!$A$1:$C$53,3,FALSE)</f>
        <v>K032</v>
      </c>
      <c r="H1563">
        <v>17610</v>
      </c>
    </row>
    <row r="1564" spans="1:8">
      <c r="A1564">
        <v>3</v>
      </c>
      <c r="B1564" t="s">
        <v>32</v>
      </c>
      <c r="C1564">
        <v>2020</v>
      </c>
      <c r="D1564" t="s">
        <v>11</v>
      </c>
      <c r="E1564" t="s">
        <v>10</v>
      </c>
      <c r="F1564" t="s">
        <v>38</v>
      </c>
      <c r="G1564" t="str">
        <f>VLOOKUP(A1564,[1]Kreise!$A$1:$C$53,3,FALSE)</f>
        <v>K033</v>
      </c>
      <c r="H1564">
        <v>15562</v>
      </c>
    </row>
    <row r="1565" spans="1:8">
      <c r="A1565">
        <v>4</v>
      </c>
      <c r="B1565" t="s">
        <v>33</v>
      </c>
      <c r="C1565">
        <v>2020</v>
      </c>
      <c r="D1565" t="s">
        <v>11</v>
      </c>
      <c r="E1565" t="s">
        <v>10</v>
      </c>
      <c r="F1565" t="s">
        <v>38</v>
      </c>
      <c r="G1565" t="str">
        <f>VLOOKUP(A1565,[1]Kreise!$A$1:$C$53,3,FALSE)</f>
        <v>K034</v>
      </c>
      <c r="H1565">
        <v>22106</v>
      </c>
    </row>
    <row r="1566" spans="1:8">
      <c r="A1566">
        <v>0</v>
      </c>
      <c r="B1566" t="s">
        <v>34</v>
      </c>
      <c r="C1566">
        <v>2020</v>
      </c>
      <c r="D1566" t="s">
        <v>11</v>
      </c>
      <c r="E1566" t="s">
        <v>10</v>
      </c>
      <c r="F1566" t="s">
        <v>38</v>
      </c>
      <c r="G1566" t="str">
        <f>VLOOKUP(A1566,[1]Kreise!$A$1:$C$53,3,FALSE)</f>
        <v>K030</v>
      </c>
      <c r="H1566">
        <v>68158</v>
      </c>
    </row>
    <row r="1567" spans="1:8">
      <c r="A1567">
        <v>1</v>
      </c>
      <c r="B1567" t="s">
        <v>30</v>
      </c>
      <c r="C1567">
        <v>2019</v>
      </c>
      <c r="D1567" t="s">
        <v>11</v>
      </c>
      <c r="E1567" t="s">
        <v>10</v>
      </c>
      <c r="F1567" t="s">
        <v>38</v>
      </c>
      <c r="G1567" t="str">
        <f>VLOOKUP(A1567,[1]Kreise!$A$1:$C$53,3,FALSE)</f>
        <v>K031</v>
      </c>
      <c r="H1567">
        <v>13411</v>
      </c>
    </row>
    <row r="1568" spans="1:8">
      <c r="A1568">
        <v>2</v>
      </c>
      <c r="B1568" t="s">
        <v>31</v>
      </c>
      <c r="C1568">
        <v>2019</v>
      </c>
      <c r="D1568" t="s">
        <v>11</v>
      </c>
      <c r="E1568" t="s">
        <v>10</v>
      </c>
      <c r="F1568" t="s">
        <v>38</v>
      </c>
      <c r="G1568" t="str">
        <f>VLOOKUP(A1568,[1]Kreise!$A$1:$C$53,3,FALSE)</f>
        <v>K032</v>
      </c>
      <c r="H1568">
        <v>18225</v>
      </c>
    </row>
    <row r="1569" spans="1:8">
      <c r="A1569">
        <v>3</v>
      </c>
      <c r="B1569" t="s">
        <v>32</v>
      </c>
      <c r="C1569">
        <v>2019</v>
      </c>
      <c r="D1569" t="s">
        <v>11</v>
      </c>
      <c r="E1569" t="s">
        <v>10</v>
      </c>
      <c r="F1569" t="s">
        <v>38</v>
      </c>
      <c r="G1569" t="str">
        <f>VLOOKUP(A1569,[1]Kreise!$A$1:$C$53,3,FALSE)</f>
        <v>K033</v>
      </c>
      <c r="H1569">
        <v>16195</v>
      </c>
    </row>
    <row r="1570" spans="1:8">
      <c r="A1570">
        <v>4</v>
      </c>
      <c r="B1570" t="s">
        <v>33</v>
      </c>
      <c r="C1570">
        <v>2019</v>
      </c>
      <c r="D1570" t="s">
        <v>11</v>
      </c>
      <c r="E1570" t="s">
        <v>10</v>
      </c>
      <c r="F1570" t="s">
        <v>38</v>
      </c>
      <c r="G1570" t="str">
        <f>VLOOKUP(A1570,[1]Kreise!$A$1:$C$53,3,FALSE)</f>
        <v>K034</v>
      </c>
      <c r="H1570">
        <v>23492</v>
      </c>
    </row>
    <row r="1571" spans="1:8">
      <c r="A1571">
        <v>0</v>
      </c>
      <c r="B1571" t="s">
        <v>34</v>
      </c>
      <c r="C1571">
        <v>2019</v>
      </c>
      <c r="D1571" t="s">
        <v>11</v>
      </c>
      <c r="E1571" t="s">
        <v>10</v>
      </c>
      <c r="F1571" t="s">
        <v>38</v>
      </c>
      <c r="G1571" t="str">
        <f>VLOOKUP(A1571,[1]Kreise!$A$1:$C$53,3,FALSE)</f>
        <v>K030</v>
      </c>
      <c r="H1571">
        <v>71323</v>
      </c>
    </row>
    <row r="1572" spans="1:8">
      <c r="A1572">
        <v>1</v>
      </c>
      <c r="B1572" t="s">
        <v>30</v>
      </c>
      <c r="C1572">
        <v>2018</v>
      </c>
      <c r="D1572" t="s">
        <v>11</v>
      </c>
      <c r="E1572" t="s">
        <v>10</v>
      </c>
      <c r="F1572" t="s">
        <v>38</v>
      </c>
      <c r="G1572" t="str">
        <f>VLOOKUP(A1572,[1]Kreise!$A$1:$C$53,3,FALSE)</f>
        <v>K031</v>
      </c>
      <c r="H1572">
        <v>13370</v>
      </c>
    </row>
    <row r="1573" spans="1:8">
      <c r="A1573">
        <v>2</v>
      </c>
      <c r="B1573" t="s">
        <v>31</v>
      </c>
      <c r="C1573">
        <v>2018</v>
      </c>
      <c r="D1573" t="s">
        <v>11</v>
      </c>
      <c r="E1573" t="s">
        <v>10</v>
      </c>
      <c r="F1573" t="s">
        <v>38</v>
      </c>
      <c r="G1573" t="str">
        <f>VLOOKUP(A1573,[1]Kreise!$A$1:$C$53,3,FALSE)</f>
        <v>K032</v>
      </c>
      <c r="H1573">
        <v>18580</v>
      </c>
    </row>
    <row r="1574" spans="1:8">
      <c r="A1574">
        <v>3</v>
      </c>
      <c r="B1574" t="s">
        <v>32</v>
      </c>
      <c r="C1574">
        <v>2018</v>
      </c>
      <c r="D1574" t="s">
        <v>11</v>
      </c>
      <c r="E1574" t="s">
        <v>10</v>
      </c>
      <c r="F1574" t="s">
        <v>38</v>
      </c>
      <c r="G1574" t="str">
        <f>VLOOKUP(A1574,[1]Kreise!$A$1:$C$53,3,FALSE)</f>
        <v>K033</v>
      </c>
      <c r="H1574">
        <v>16616</v>
      </c>
    </row>
    <row r="1575" spans="1:8">
      <c r="A1575">
        <v>4</v>
      </c>
      <c r="B1575" t="s">
        <v>33</v>
      </c>
      <c r="C1575">
        <v>2018</v>
      </c>
      <c r="D1575" t="s">
        <v>11</v>
      </c>
      <c r="E1575" t="s">
        <v>10</v>
      </c>
      <c r="F1575" t="s">
        <v>38</v>
      </c>
      <c r="G1575" t="str">
        <f>VLOOKUP(A1575,[1]Kreise!$A$1:$C$53,3,FALSE)</f>
        <v>K034</v>
      </c>
      <c r="H1575">
        <v>24359</v>
      </c>
    </row>
    <row r="1576" spans="1:8">
      <c r="A1576">
        <v>0</v>
      </c>
      <c r="B1576" t="s">
        <v>34</v>
      </c>
      <c r="C1576">
        <v>2018</v>
      </c>
      <c r="D1576" t="s">
        <v>11</v>
      </c>
      <c r="E1576" t="s">
        <v>10</v>
      </c>
      <c r="F1576" t="s">
        <v>38</v>
      </c>
      <c r="G1576" t="str">
        <f>VLOOKUP(A1576,[1]Kreise!$A$1:$C$53,3,FALSE)</f>
        <v>K030</v>
      </c>
      <c r="H1576">
        <v>72925</v>
      </c>
    </row>
    <row r="1577" spans="1:8">
      <c r="A1577">
        <v>1</v>
      </c>
      <c r="B1577" t="s">
        <v>30</v>
      </c>
      <c r="C1577">
        <v>2017</v>
      </c>
      <c r="D1577" t="s">
        <v>11</v>
      </c>
      <c r="E1577" t="s">
        <v>10</v>
      </c>
      <c r="F1577" t="s">
        <v>38</v>
      </c>
      <c r="G1577" t="str">
        <f>VLOOKUP(A1577,[1]Kreise!$A$1:$C$53,3,FALSE)</f>
        <v>K031</v>
      </c>
      <c r="H1577">
        <v>13608</v>
      </c>
    </row>
    <row r="1578" spans="1:8">
      <c r="A1578">
        <v>2</v>
      </c>
      <c r="B1578" t="s">
        <v>31</v>
      </c>
      <c r="C1578">
        <v>2017</v>
      </c>
      <c r="D1578" t="s">
        <v>11</v>
      </c>
      <c r="E1578" t="s">
        <v>10</v>
      </c>
      <c r="F1578" t="s">
        <v>38</v>
      </c>
      <c r="G1578" t="str">
        <f>VLOOKUP(A1578,[1]Kreise!$A$1:$C$53,3,FALSE)</f>
        <v>K032</v>
      </c>
      <c r="H1578">
        <v>18626</v>
      </c>
    </row>
    <row r="1579" spans="1:8">
      <c r="A1579">
        <v>3</v>
      </c>
      <c r="B1579" t="s">
        <v>32</v>
      </c>
      <c r="C1579">
        <v>2017</v>
      </c>
      <c r="D1579" t="s">
        <v>11</v>
      </c>
      <c r="E1579" t="s">
        <v>10</v>
      </c>
      <c r="F1579" t="s">
        <v>38</v>
      </c>
      <c r="G1579" t="str">
        <f>VLOOKUP(A1579,[1]Kreise!$A$1:$C$53,3,FALSE)</f>
        <v>K033</v>
      </c>
      <c r="H1579">
        <v>16826</v>
      </c>
    </row>
    <row r="1580" spans="1:8">
      <c r="A1580">
        <v>4</v>
      </c>
      <c r="B1580" t="s">
        <v>33</v>
      </c>
      <c r="C1580">
        <v>2017</v>
      </c>
      <c r="D1580" t="s">
        <v>11</v>
      </c>
      <c r="E1580" t="s">
        <v>10</v>
      </c>
      <c r="F1580" t="s">
        <v>38</v>
      </c>
      <c r="G1580" t="str">
        <f>VLOOKUP(A1580,[1]Kreise!$A$1:$C$53,3,FALSE)</f>
        <v>K034</v>
      </c>
      <c r="H1580">
        <v>24789</v>
      </c>
    </row>
    <row r="1581" spans="1:8">
      <c r="A1581">
        <v>0</v>
      </c>
      <c r="B1581" t="s">
        <v>34</v>
      </c>
      <c r="C1581">
        <v>2017</v>
      </c>
      <c r="D1581" t="s">
        <v>11</v>
      </c>
      <c r="E1581" t="s">
        <v>10</v>
      </c>
      <c r="F1581" t="s">
        <v>38</v>
      </c>
      <c r="G1581" t="str">
        <f>VLOOKUP(A1581,[1]Kreise!$A$1:$C$53,3,FALSE)</f>
        <v>K030</v>
      </c>
      <c r="H1581">
        <v>73849</v>
      </c>
    </row>
    <row r="1582" spans="1:8">
      <c r="A1582">
        <v>1</v>
      </c>
      <c r="B1582" t="s">
        <v>30</v>
      </c>
      <c r="C1582">
        <v>2016</v>
      </c>
      <c r="D1582" t="s">
        <v>11</v>
      </c>
      <c r="E1582" t="s">
        <v>10</v>
      </c>
      <c r="F1582" t="s">
        <v>38</v>
      </c>
      <c r="G1582" t="str">
        <f>VLOOKUP(A1582,[1]Kreise!$A$1:$C$53,3,FALSE)</f>
        <v>K031</v>
      </c>
      <c r="H1582">
        <v>13599</v>
      </c>
    </row>
    <row r="1583" spans="1:8">
      <c r="A1583">
        <v>2</v>
      </c>
      <c r="B1583" t="s">
        <v>31</v>
      </c>
      <c r="C1583">
        <v>2016</v>
      </c>
      <c r="D1583" t="s">
        <v>11</v>
      </c>
      <c r="E1583" t="s">
        <v>10</v>
      </c>
      <c r="F1583" t="s">
        <v>38</v>
      </c>
      <c r="G1583" t="str">
        <f>VLOOKUP(A1583,[1]Kreise!$A$1:$C$53,3,FALSE)</f>
        <v>K032</v>
      </c>
      <c r="H1583">
        <v>18553</v>
      </c>
    </row>
    <row r="1584" spans="1:8">
      <c r="A1584">
        <v>3</v>
      </c>
      <c r="B1584" t="s">
        <v>32</v>
      </c>
      <c r="C1584">
        <v>2016</v>
      </c>
      <c r="D1584" t="s">
        <v>11</v>
      </c>
      <c r="E1584" t="s">
        <v>10</v>
      </c>
      <c r="F1584" t="s">
        <v>38</v>
      </c>
      <c r="G1584" t="str">
        <f>VLOOKUP(A1584,[1]Kreise!$A$1:$C$53,3,FALSE)</f>
        <v>K033</v>
      </c>
      <c r="H1584">
        <v>16637</v>
      </c>
    </row>
    <row r="1585" spans="1:8">
      <c r="A1585">
        <v>4</v>
      </c>
      <c r="B1585" t="s">
        <v>33</v>
      </c>
      <c r="C1585">
        <v>2016</v>
      </c>
      <c r="D1585" t="s">
        <v>11</v>
      </c>
      <c r="E1585" t="s">
        <v>10</v>
      </c>
      <c r="F1585" t="s">
        <v>38</v>
      </c>
      <c r="G1585" t="str">
        <f>VLOOKUP(A1585,[1]Kreise!$A$1:$C$53,3,FALSE)</f>
        <v>K034</v>
      </c>
      <c r="H1585">
        <v>24673</v>
      </c>
    </row>
    <row r="1586" spans="1:8">
      <c r="A1586">
        <v>0</v>
      </c>
      <c r="B1586" t="s">
        <v>34</v>
      </c>
      <c r="C1586">
        <v>2016</v>
      </c>
      <c r="D1586" t="s">
        <v>11</v>
      </c>
      <c r="E1586" t="s">
        <v>10</v>
      </c>
      <c r="F1586" t="s">
        <v>38</v>
      </c>
      <c r="G1586" t="str">
        <f>VLOOKUP(A1586,[1]Kreise!$A$1:$C$53,3,FALSE)</f>
        <v>K030</v>
      </c>
      <c r="H1586">
        <v>73462</v>
      </c>
    </row>
    <row r="1587" spans="1:8">
      <c r="A1587">
        <v>1</v>
      </c>
      <c r="B1587" t="s">
        <v>30</v>
      </c>
      <c r="C1587">
        <v>2015</v>
      </c>
      <c r="D1587" t="s">
        <v>11</v>
      </c>
      <c r="E1587" t="s">
        <v>10</v>
      </c>
      <c r="F1587" t="s">
        <v>38</v>
      </c>
      <c r="G1587" t="str">
        <f>VLOOKUP(A1587,[1]Kreise!$A$1:$C$53,3,FALSE)</f>
        <v>K031</v>
      </c>
      <c r="H1587">
        <v>13979</v>
      </c>
    </row>
    <row r="1588" spans="1:8">
      <c r="A1588">
        <v>2</v>
      </c>
      <c r="B1588" t="s">
        <v>31</v>
      </c>
      <c r="C1588">
        <v>2015</v>
      </c>
      <c r="D1588" t="s">
        <v>11</v>
      </c>
      <c r="E1588" t="s">
        <v>10</v>
      </c>
      <c r="F1588" t="s">
        <v>38</v>
      </c>
      <c r="G1588" t="str">
        <f>VLOOKUP(A1588,[1]Kreise!$A$1:$C$53,3,FALSE)</f>
        <v>K032</v>
      </c>
      <c r="H1588">
        <v>18791</v>
      </c>
    </row>
    <row r="1589" spans="1:8">
      <c r="A1589">
        <v>3</v>
      </c>
      <c r="B1589" t="s">
        <v>32</v>
      </c>
      <c r="C1589">
        <v>2015</v>
      </c>
      <c r="D1589" t="s">
        <v>11</v>
      </c>
      <c r="E1589" t="s">
        <v>10</v>
      </c>
      <c r="F1589" t="s">
        <v>38</v>
      </c>
      <c r="G1589" t="str">
        <f>VLOOKUP(A1589,[1]Kreise!$A$1:$C$53,3,FALSE)</f>
        <v>K033</v>
      </c>
      <c r="H1589">
        <v>17211</v>
      </c>
    </row>
    <row r="1590" spans="1:8">
      <c r="A1590">
        <v>4</v>
      </c>
      <c r="B1590" t="s">
        <v>33</v>
      </c>
      <c r="C1590">
        <v>2015</v>
      </c>
      <c r="D1590" t="s">
        <v>11</v>
      </c>
      <c r="E1590" t="s">
        <v>10</v>
      </c>
      <c r="F1590" t="s">
        <v>38</v>
      </c>
      <c r="G1590" t="str">
        <f>VLOOKUP(A1590,[1]Kreise!$A$1:$C$53,3,FALSE)</f>
        <v>K034</v>
      </c>
      <c r="H1590">
        <v>25722</v>
      </c>
    </row>
    <row r="1591" spans="1:8">
      <c r="A1591">
        <v>0</v>
      </c>
      <c r="B1591" t="s">
        <v>34</v>
      </c>
      <c r="C1591">
        <v>2015</v>
      </c>
      <c r="D1591" t="s">
        <v>11</v>
      </c>
      <c r="E1591" t="s">
        <v>10</v>
      </c>
      <c r="F1591" t="s">
        <v>38</v>
      </c>
      <c r="G1591" t="str">
        <f>VLOOKUP(A1591,[1]Kreise!$A$1:$C$53,3,FALSE)</f>
        <v>K030</v>
      </c>
      <c r="H1591">
        <v>75703</v>
      </c>
    </row>
    <row r="1592" spans="1:8">
      <c r="A1592">
        <v>1</v>
      </c>
      <c r="B1592" t="s">
        <v>145</v>
      </c>
      <c r="C1592">
        <v>2014</v>
      </c>
      <c r="D1592" t="s">
        <v>11</v>
      </c>
      <c r="E1592" t="s">
        <v>10</v>
      </c>
      <c r="F1592" t="s">
        <v>38</v>
      </c>
      <c r="G1592" t="str">
        <f>VLOOKUP(A1592,[1]Kreise!$A$1:$C$53,3,FALSE)</f>
        <v>K031</v>
      </c>
      <c r="H1592">
        <v>14642</v>
      </c>
    </row>
    <row r="1593" spans="1:8">
      <c r="A1593">
        <v>2</v>
      </c>
      <c r="B1593" t="s">
        <v>146</v>
      </c>
      <c r="C1593">
        <v>2014</v>
      </c>
      <c r="D1593" t="s">
        <v>11</v>
      </c>
      <c r="E1593" t="s">
        <v>10</v>
      </c>
      <c r="F1593" t="s">
        <v>38</v>
      </c>
      <c r="G1593" t="str">
        <f>VLOOKUP(A1593,[1]Kreise!$A$1:$C$53,3,FALSE)</f>
        <v>K032</v>
      </c>
      <c r="H1593">
        <v>19311</v>
      </c>
    </row>
    <row r="1594" spans="1:8">
      <c r="A1594">
        <v>3</v>
      </c>
      <c r="B1594" t="s">
        <v>147</v>
      </c>
      <c r="C1594">
        <v>2014</v>
      </c>
      <c r="D1594" t="s">
        <v>11</v>
      </c>
      <c r="E1594" t="s">
        <v>10</v>
      </c>
      <c r="F1594" t="s">
        <v>38</v>
      </c>
      <c r="G1594" t="str">
        <f>VLOOKUP(A1594,[1]Kreise!$A$1:$C$53,3,FALSE)</f>
        <v>K033</v>
      </c>
      <c r="H1594">
        <v>17955</v>
      </c>
    </row>
    <row r="1595" spans="1:8">
      <c r="A1595">
        <v>4</v>
      </c>
      <c r="B1595" t="s">
        <v>148</v>
      </c>
      <c r="C1595">
        <v>2014</v>
      </c>
      <c r="D1595" t="s">
        <v>11</v>
      </c>
      <c r="E1595" t="s">
        <v>10</v>
      </c>
      <c r="F1595" t="s">
        <v>38</v>
      </c>
      <c r="G1595" t="str">
        <f>VLOOKUP(A1595,[1]Kreise!$A$1:$C$53,3,FALSE)</f>
        <v>K034</v>
      </c>
      <c r="H1595">
        <v>26187</v>
      </c>
    </row>
    <row r="1596" spans="1:8">
      <c r="A1596">
        <v>0</v>
      </c>
      <c r="B1596" t="s">
        <v>34</v>
      </c>
      <c r="C1596">
        <v>2014</v>
      </c>
      <c r="D1596" t="s">
        <v>11</v>
      </c>
      <c r="E1596" t="s">
        <v>10</v>
      </c>
      <c r="F1596" t="s">
        <v>38</v>
      </c>
      <c r="G1596" t="str">
        <f>VLOOKUP(A1596,[1]Kreise!$A$1:$C$53,3,FALSE)</f>
        <v>K030</v>
      </c>
      <c r="H1596">
        <v>78095</v>
      </c>
    </row>
    <row r="1597" spans="1:8">
      <c r="A1597">
        <v>1</v>
      </c>
      <c r="B1597" t="s">
        <v>30</v>
      </c>
      <c r="C1597">
        <v>2013</v>
      </c>
      <c r="D1597" t="s">
        <v>11</v>
      </c>
      <c r="E1597" t="s">
        <v>10</v>
      </c>
      <c r="F1597" t="s">
        <v>38</v>
      </c>
      <c r="G1597" t="str">
        <f>VLOOKUP(A1597,[1]Kreise!$A$1:$C$53,3,FALSE)</f>
        <v>K031</v>
      </c>
      <c r="H1597">
        <v>15226</v>
      </c>
    </row>
    <row r="1598" spans="1:8">
      <c r="A1598">
        <v>2</v>
      </c>
      <c r="B1598" t="s">
        <v>31</v>
      </c>
      <c r="C1598">
        <v>2013</v>
      </c>
      <c r="D1598" t="s">
        <v>11</v>
      </c>
      <c r="E1598" t="s">
        <v>10</v>
      </c>
      <c r="F1598" t="s">
        <v>38</v>
      </c>
      <c r="G1598" t="str">
        <f>VLOOKUP(A1598,[1]Kreise!$A$1:$C$53,3,FALSE)</f>
        <v>K032</v>
      </c>
      <c r="H1598">
        <v>20018</v>
      </c>
    </row>
    <row r="1599" spans="1:8">
      <c r="A1599">
        <v>3</v>
      </c>
      <c r="B1599" t="s">
        <v>32</v>
      </c>
      <c r="C1599">
        <v>2013</v>
      </c>
      <c r="D1599" t="s">
        <v>11</v>
      </c>
      <c r="E1599" t="s">
        <v>10</v>
      </c>
      <c r="F1599" t="s">
        <v>38</v>
      </c>
      <c r="G1599" t="str">
        <f>VLOOKUP(A1599,[1]Kreise!$A$1:$C$53,3,FALSE)</f>
        <v>K033</v>
      </c>
      <c r="H1599">
        <v>18775</v>
      </c>
    </row>
    <row r="1600" spans="1:8">
      <c r="A1600">
        <v>4</v>
      </c>
      <c r="B1600" t="s">
        <v>33</v>
      </c>
      <c r="C1600">
        <v>2013</v>
      </c>
      <c r="D1600" t="s">
        <v>11</v>
      </c>
      <c r="E1600" t="s">
        <v>10</v>
      </c>
      <c r="F1600" t="s">
        <v>38</v>
      </c>
      <c r="G1600" t="str">
        <f>VLOOKUP(A1600,[1]Kreise!$A$1:$C$53,3,FALSE)</f>
        <v>K034</v>
      </c>
      <c r="H1600">
        <v>27732</v>
      </c>
    </row>
    <row r="1601" spans="1:8">
      <c r="A1601">
        <v>0</v>
      </c>
      <c r="B1601" t="s">
        <v>34</v>
      </c>
      <c r="C1601">
        <v>2013</v>
      </c>
      <c r="D1601" t="s">
        <v>11</v>
      </c>
      <c r="E1601" t="s">
        <v>10</v>
      </c>
      <c r="F1601" t="s">
        <v>38</v>
      </c>
      <c r="G1601" t="str">
        <f>VLOOKUP(A1601,[1]Kreise!$A$1:$C$53,3,FALSE)</f>
        <v>K030</v>
      </c>
      <c r="H1601">
        <v>81751</v>
      </c>
    </row>
    <row r="1602" spans="1:8">
      <c r="A1602">
        <v>1</v>
      </c>
      <c r="B1602" t="s">
        <v>145</v>
      </c>
      <c r="C1602">
        <v>2012</v>
      </c>
      <c r="D1602" t="s">
        <v>11</v>
      </c>
      <c r="E1602" t="s">
        <v>10</v>
      </c>
      <c r="F1602" t="s">
        <v>38</v>
      </c>
      <c r="G1602" t="str">
        <f>VLOOKUP(A1602,[1]Kreise!$A$1:$C$53,3,FALSE)</f>
        <v>K031</v>
      </c>
      <c r="H1602">
        <v>15279</v>
      </c>
    </row>
    <row r="1603" spans="1:8">
      <c r="A1603">
        <v>2</v>
      </c>
      <c r="B1603" t="s">
        <v>146</v>
      </c>
      <c r="C1603">
        <v>2012</v>
      </c>
      <c r="D1603" t="s">
        <v>11</v>
      </c>
      <c r="E1603" t="s">
        <v>10</v>
      </c>
      <c r="F1603" t="s">
        <v>38</v>
      </c>
      <c r="G1603" t="str">
        <f>VLOOKUP(A1603,[1]Kreise!$A$1:$C$53,3,FALSE)</f>
        <v>K032</v>
      </c>
      <c r="H1603">
        <v>20558</v>
      </c>
    </row>
    <row r="1604" spans="1:8">
      <c r="A1604">
        <v>3</v>
      </c>
      <c r="B1604" t="s">
        <v>147</v>
      </c>
      <c r="C1604">
        <v>2012</v>
      </c>
      <c r="D1604" t="s">
        <v>11</v>
      </c>
      <c r="E1604" t="s">
        <v>10</v>
      </c>
      <c r="F1604" t="s">
        <v>38</v>
      </c>
      <c r="G1604" t="str">
        <f>VLOOKUP(A1604,[1]Kreise!$A$1:$C$53,3,FALSE)</f>
        <v>K033</v>
      </c>
      <c r="H1604">
        <v>18916</v>
      </c>
    </row>
    <row r="1605" spans="1:8">
      <c r="A1605">
        <v>4</v>
      </c>
      <c r="B1605" t="s">
        <v>148</v>
      </c>
      <c r="C1605">
        <v>2012</v>
      </c>
      <c r="D1605" t="s">
        <v>11</v>
      </c>
      <c r="E1605" t="s">
        <v>10</v>
      </c>
      <c r="F1605" t="s">
        <v>38</v>
      </c>
      <c r="G1605" t="str">
        <f>VLOOKUP(A1605,[1]Kreise!$A$1:$C$53,3,FALSE)</f>
        <v>K034</v>
      </c>
      <c r="H1605">
        <v>27976</v>
      </c>
    </row>
    <row r="1606" spans="1:8">
      <c r="A1606">
        <v>0</v>
      </c>
      <c r="B1606" t="s">
        <v>34</v>
      </c>
      <c r="C1606">
        <v>2012</v>
      </c>
      <c r="D1606" t="s">
        <v>11</v>
      </c>
      <c r="E1606" t="s">
        <v>10</v>
      </c>
      <c r="F1606" t="s">
        <v>38</v>
      </c>
      <c r="G1606" t="str">
        <f>VLOOKUP(A1606,[1]Kreise!$A$1:$C$53,3,FALSE)</f>
        <v>K030</v>
      </c>
      <c r="H1606">
        <v>82729</v>
      </c>
    </row>
    <row r="1607" spans="1:8">
      <c r="A1607">
        <v>1</v>
      </c>
      <c r="B1607" t="s">
        <v>30</v>
      </c>
      <c r="C1607">
        <v>2011</v>
      </c>
      <c r="D1607" t="s">
        <v>11</v>
      </c>
      <c r="E1607" t="s">
        <v>10</v>
      </c>
      <c r="F1607" t="s">
        <v>38</v>
      </c>
      <c r="G1607" t="str">
        <f>VLOOKUP(A1607,[1]Kreise!$A$1:$C$53,3,FALSE)</f>
        <v>K031</v>
      </c>
      <c r="H1607">
        <v>15948</v>
      </c>
    </row>
    <row r="1608" spans="1:8">
      <c r="A1608">
        <v>2</v>
      </c>
      <c r="B1608" t="s">
        <v>31</v>
      </c>
      <c r="C1608">
        <v>2011</v>
      </c>
      <c r="D1608" t="s">
        <v>11</v>
      </c>
      <c r="E1608" t="s">
        <v>10</v>
      </c>
      <c r="F1608" t="s">
        <v>38</v>
      </c>
      <c r="G1608" t="str">
        <f>VLOOKUP(A1608,[1]Kreise!$A$1:$C$53,3,FALSE)</f>
        <v>K032</v>
      </c>
      <c r="H1608">
        <v>21147</v>
      </c>
    </row>
    <row r="1609" spans="1:8">
      <c r="A1609">
        <v>3</v>
      </c>
      <c r="B1609" t="s">
        <v>32</v>
      </c>
      <c r="C1609">
        <v>2011</v>
      </c>
      <c r="D1609" t="s">
        <v>11</v>
      </c>
      <c r="E1609" t="s">
        <v>10</v>
      </c>
      <c r="F1609" t="s">
        <v>38</v>
      </c>
      <c r="G1609" t="str">
        <f>VLOOKUP(A1609,[1]Kreise!$A$1:$C$53,3,FALSE)</f>
        <v>K033</v>
      </c>
      <c r="H1609">
        <v>19883</v>
      </c>
    </row>
    <row r="1610" spans="1:8">
      <c r="A1610">
        <v>4</v>
      </c>
      <c r="B1610" t="s">
        <v>33</v>
      </c>
      <c r="C1610">
        <v>2011</v>
      </c>
      <c r="D1610" t="s">
        <v>11</v>
      </c>
      <c r="E1610" t="s">
        <v>10</v>
      </c>
      <c r="F1610" t="s">
        <v>38</v>
      </c>
      <c r="G1610" t="str">
        <f>VLOOKUP(A1610,[1]Kreise!$A$1:$C$53,3,FALSE)</f>
        <v>K034</v>
      </c>
      <c r="H1610">
        <v>29178</v>
      </c>
    </row>
    <row r="1611" spans="1:8">
      <c r="A1611">
        <v>0</v>
      </c>
      <c r="B1611" t="s">
        <v>34</v>
      </c>
      <c r="C1611">
        <v>2011</v>
      </c>
      <c r="D1611" t="s">
        <v>11</v>
      </c>
      <c r="E1611" t="s">
        <v>10</v>
      </c>
      <c r="F1611" t="s">
        <v>38</v>
      </c>
      <c r="G1611" t="str">
        <f>VLOOKUP(A1611,[1]Kreise!$A$1:$C$53,3,FALSE)</f>
        <v>K030</v>
      </c>
      <c r="H1611">
        <v>86156</v>
      </c>
    </row>
    <row r="1612" spans="1:8">
      <c r="A1612">
        <v>1</v>
      </c>
      <c r="B1612" t="s">
        <v>145</v>
      </c>
      <c r="C1612">
        <v>2010</v>
      </c>
      <c r="D1612" t="s">
        <v>11</v>
      </c>
      <c r="E1612" t="s">
        <v>10</v>
      </c>
      <c r="F1612" t="s">
        <v>38</v>
      </c>
      <c r="G1612" t="str">
        <f>VLOOKUP(A1612,[1]Kreise!$A$1:$C$53,3,FALSE)</f>
        <v>K031</v>
      </c>
      <c r="H1612">
        <v>16251</v>
      </c>
    </row>
    <row r="1613" spans="1:8">
      <c r="A1613">
        <v>2</v>
      </c>
      <c r="B1613" t="s">
        <v>146</v>
      </c>
      <c r="C1613">
        <v>2010</v>
      </c>
      <c r="D1613" t="s">
        <v>11</v>
      </c>
      <c r="E1613" t="s">
        <v>10</v>
      </c>
      <c r="F1613" t="s">
        <v>38</v>
      </c>
      <c r="G1613" t="str">
        <f>VLOOKUP(A1613,[1]Kreise!$A$1:$C$53,3,FALSE)</f>
        <v>K032</v>
      </c>
      <c r="H1613">
        <v>21130</v>
      </c>
    </row>
    <row r="1614" spans="1:8">
      <c r="A1614">
        <v>3</v>
      </c>
      <c r="B1614" t="s">
        <v>147</v>
      </c>
      <c r="C1614">
        <v>2010</v>
      </c>
      <c r="D1614" t="s">
        <v>11</v>
      </c>
      <c r="E1614" t="s">
        <v>10</v>
      </c>
      <c r="F1614" t="s">
        <v>38</v>
      </c>
      <c r="G1614" t="str">
        <f>VLOOKUP(A1614,[1]Kreise!$A$1:$C$53,3,FALSE)</f>
        <v>K033</v>
      </c>
      <c r="H1614">
        <v>20093</v>
      </c>
    </row>
    <row r="1615" spans="1:8">
      <c r="A1615">
        <v>4</v>
      </c>
      <c r="B1615" t="s">
        <v>148</v>
      </c>
      <c r="C1615">
        <v>2010</v>
      </c>
      <c r="D1615" t="s">
        <v>11</v>
      </c>
      <c r="E1615" t="s">
        <v>10</v>
      </c>
      <c r="F1615" t="s">
        <v>38</v>
      </c>
      <c r="G1615" t="str">
        <f>VLOOKUP(A1615,[1]Kreise!$A$1:$C$53,3,FALSE)</f>
        <v>K034</v>
      </c>
      <c r="H1615">
        <v>29677</v>
      </c>
    </row>
    <row r="1616" spans="1:8">
      <c r="A1616">
        <v>0</v>
      </c>
      <c r="B1616" t="s">
        <v>34</v>
      </c>
      <c r="C1616">
        <v>2010</v>
      </c>
      <c r="D1616" t="s">
        <v>11</v>
      </c>
      <c r="E1616" t="s">
        <v>10</v>
      </c>
      <c r="F1616" t="s">
        <v>38</v>
      </c>
      <c r="G1616" t="str">
        <f>VLOOKUP(A1616,[1]Kreise!$A$1:$C$53,3,FALSE)</f>
        <v>K030</v>
      </c>
      <c r="H1616">
        <v>87151</v>
      </c>
    </row>
    <row r="1617" spans="1:8">
      <c r="A1617">
        <v>1</v>
      </c>
      <c r="B1617" t="s">
        <v>145</v>
      </c>
      <c r="C1617">
        <v>2005</v>
      </c>
      <c r="D1617" t="s">
        <v>11</v>
      </c>
      <c r="E1617" t="s">
        <v>10</v>
      </c>
      <c r="F1617" t="s">
        <v>38</v>
      </c>
      <c r="G1617" t="str">
        <f>VLOOKUP(A1617,[1]Kreise!$A$1:$C$53,3,FALSE)</f>
        <v>K031</v>
      </c>
      <c r="H1617">
        <v>17696</v>
      </c>
    </row>
    <row r="1618" spans="1:8">
      <c r="A1618">
        <v>2</v>
      </c>
      <c r="B1618" t="s">
        <v>146</v>
      </c>
      <c r="C1618">
        <v>2005</v>
      </c>
      <c r="D1618" t="s">
        <v>11</v>
      </c>
      <c r="E1618" t="s">
        <v>10</v>
      </c>
      <c r="F1618" t="s">
        <v>38</v>
      </c>
      <c r="G1618" t="str">
        <f>VLOOKUP(A1618,[1]Kreise!$A$1:$C$53,3,FALSE)</f>
        <v>K032</v>
      </c>
      <c r="H1618">
        <v>21782</v>
      </c>
    </row>
    <row r="1619" spans="1:8">
      <c r="A1619">
        <v>3</v>
      </c>
      <c r="B1619" t="s">
        <v>147</v>
      </c>
      <c r="C1619">
        <v>2005</v>
      </c>
      <c r="D1619" t="s">
        <v>11</v>
      </c>
      <c r="E1619" t="s">
        <v>10</v>
      </c>
      <c r="F1619" t="s">
        <v>38</v>
      </c>
      <c r="G1619" t="str">
        <f>VLOOKUP(A1619,[1]Kreise!$A$1:$C$53,3,FALSE)</f>
        <v>K033</v>
      </c>
      <c r="H1619">
        <v>20632</v>
      </c>
    </row>
    <row r="1620" spans="1:8">
      <c r="A1620">
        <v>4</v>
      </c>
      <c r="B1620" t="s">
        <v>148</v>
      </c>
      <c r="C1620">
        <v>2005</v>
      </c>
      <c r="D1620" t="s">
        <v>11</v>
      </c>
      <c r="E1620" t="s">
        <v>10</v>
      </c>
      <c r="F1620" t="s">
        <v>38</v>
      </c>
      <c r="G1620" t="str">
        <f>VLOOKUP(A1620,[1]Kreise!$A$1:$C$53,3,FALSE)</f>
        <v>K034</v>
      </c>
      <c r="H1620">
        <v>30914</v>
      </c>
    </row>
    <row r="1621" spans="1:8">
      <c r="A1621">
        <v>0</v>
      </c>
      <c r="B1621" t="s">
        <v>34</v>
      </c>
      <c r="C1621">
        <v>2005</v>
      </c>
      <c r="D1621" t="s">
        <v>11</v>
      </c>
      <c r="E1621" t="s">
        <v>10</v>
      </c>
      <c r="F1621" t="s">
        <v>38</v>
      </c>
      <c r="G1621" t="str">
        <f>VLOOKUP(A1621,[1]Kreise!$A$1:$C$53,3,FALSE)</f>
        <v>K030</v>
      </c>
      <c r="H1621">
        <v>91024</v>
      </c>
    </row>
    <row r="1622" spans="1:8">
      <c r="A1622">
        <v>1</v>
      </c>
      <c r="B1622" t="s">
        <v>30</v>
      </c>
      <c r="C1622">
        <v>2020</v>
      </c>
      <c r="D1622" t="s">
        <v>12</v>
      </c>
      <c r="E1622" t="s">
        <v>10</v>
      </c>
      <c r="F1622" t="s">
        <v>38</v>
      </c>
      <c r="G1622" t="str">
        <f>VLOOKUP(A1622,[1]Kreise!$A$1:$C$53,3,FALSE)</f>
        <v>K031</v>
      </c>
      <c r="H1622">
        <v>1466</v>
      </c>
    </row>
    <row r="1623" spans="1:8">
      <c r="A1623">
        <v>2</v>
      </c>
      <c r="B1623" t="s">
        <v>31</v>
      </c>
      <c r="C1623">
        <v>2020</v>
      </c>
      <c r="D1623" t="s">
        <v>12</v>
      </c>
      <c r="E1623" t="s">
        <v>10</v>
      </c>
      <c r="F1623" t="s">
        <v>38</v>
      </c>
      <c r="G1623" t="str">
        <f>VLOOKUP(A1623,[1]Kreise!$A$1:$C$53,3,FALSE)</f>
        <v>K032</v>
      </c>
      <c r="H1623">
        <v>2395</v>
      </c>
    </row>
    <row r="1624" spans="1:8">
      <c r="A1624">
        <v>3</v>
      </c>
      <c r="B1624" t="s">
        <v>32</v>
      </c>
      <c r="C1624">
        <v>2020</v>
      </c>
      <c r="D1624" t="s">
        <v>12</v>
      </c>
      <c r="E1624" t="s">
        <v>10</v>
      </c>
      <c r="F1624" t="s">
        <v>38</v>
      </c>
      <c r="G1624" t="str">
        <f>VLOOKUP(A1624,[1]Kreise!$A$1:$C$53,3,FALSE)</f>
        <v>K033</v>
      </c>
      <c r="H1624">
        <v>1387</v>
      </c>
    </row>
    <row r="1625" spans="1:8">
      <c r="A1625">
        <v>4</v>
      </c>
      <c r="B1625" t="s">
        <v>33</v>
      </c>
      <c r="C1625">
        <v>2020</v>
      </c>
      <c r="D1625" t="s">
        <v>12</v>
      </c>
      <c r="E1625" t="s">
        <v>10</v>
      </c>
      <c r="F1625" t="s">
        <v>38</v>
      </c>
      <c r="G1625" t="str">
        <f>VLOOKUP(A1625,[1]Kreise!$A$1:$C$53,3,FALSE)</f>
        <v>K034</v>
      </c>
      <c r="H1625">
        <v>2647</v>
      </c>
    </row>
    <row r="1626" spans="1:8">
      <c r="A1626">
        <v>0</v>
      </c>
      <c r="B1626" t="s">
        <v>34</v>
      </c>
      <c r="C1626">
        <v>2020</v>
      </c>
      <c r="D1626" t="s">
        <v>12</v>
      </c>
      <c r="E1626" t="s">
        <v>10</v>
      </c>
      <c r="F1626" t="s">
        <v>38</v>
      </c>
      <c r="G1626" t="str">
        <f>VLOOKUP(A1626,[1]Kreise!$A$1:$C$53,3,FALSE)</f>
        <v>K030</v>
      </c>
      <c r="H1626">
        <v>7895</v>
      </c>
    </row>
    <row r="1627" spans="1:8">
      <c r="A1627">
        <v>1</v>
      </c>
      <c r="B1627" t="s">
        <v>30</v>
      </c>
      <c r="C1627">
        <v>2019</v>
      </c>
      <c r="D1627" t="s">
        <v>12</v>
      </c>
      <c r="E1627" t="s">
        <v>10</v>
      </c>
      <c r="F1627" t="s">
        <v>38</v>
      </c>
      <c r="G1627" t="str">
        <f>VLOOKUP(A1627,[1]Kreise!$A$1:$C$53,3,FALSE)</f>
        <v>K031</v>
      </c>
      <c r="H1627">
        <v>1370</v>
      </c>
    </row>
    <row r="1628" spans="1:8">
      <c r="A1628">
        <v>2</v>
      </c>
      <c r="B1628" t="s">
        <v>31</v>
      </c>
      <c r="C1628">
        <v>2019</v>
      </c>
      <c r="D1628" t="s">
        <v>12</v>
      </c>
      <c r="E1628" t="s">
        <v>10</v>
      </c>
      <c r="F1628" t="s">
        <v>38</v>
      </c>
      <c r="G1628" t="str">
        <f>VLOOKUP(A1628,[1]Kreise!$A$1:$C$53,3,FALSE)</f>
        <v>K032</v>
      </c>
      <c r="H1628">
        <v>2265</v>
      </c>
    </row>
    <row r="1629" spans="1:8">
      <c r="A1629">
        <v>3</v>
      </c>
      <c r="B1629" t="s">
        <v>32</v>
      </c>
      <c r="C1629">
        <v>2019</v>
      </c>
      <c r="D1629" t="s">
        <v>12</v>
      </c>
      <c r="E1629" t="s">
        <v>10</v>
      </c>
      <c r="F1629" t="s">
        <v>38</v>
      </c>
      <c r="G1629" t="str">
        <f>VLOOKUP(A1629,[1]Kreise!$A$1:$C$53,3,FALSE)</f>
        <v>K033</v>
      </c>
      <c r="H1629">
        <v>1246</v>
      </c>
    </row>
    <row r="1630" spans="1:8">
      <c r="A1630">
        <v>4</v>
      </c>
      <c r="B1630" t="s">
        <v>33</v>
      </c>
      <c r="C1630">
        <v>2019</v>
      </c>
      <c r="D1630" t="s">
        <v>12</v>
      </c>
      <c r="E1630" t="s">
        <v>10</v>
      </c>
      <c r="F1630" t="s">
        <v>38</v>
      </c>
      <c r="G1630" t="str">
        <f>VLOOKUP(A1630,[1]Kreise!$A$1:$C$53,3,FALSE)</f>
        <v>K034</v>
      </c>
      <c r="H1630">
        <v>2415</v>
      </c>
    </row>
    <row r="1631" spans="1:8">
      <c r="A1631">
        <v>0</v>
      </c>
      <c r="B1631" t="s">
        <v>34</v>
      </c>
      <c r="C1631">
        <v>2019</v>
      </c>
      <c r="D1631" t="s">
        <v>12</v>
      </c>
      <c r="E1631" t="s">
        <v>10</v>
      </c>
      <c r="F1631" t="s">
        <v>38</v>
      </c>
      <c r="G1631" t="str">
        <f>VLOOKUP(A1631,[1]Kreise!$A$1:$C$53,3,FALSE)</f>
        <v>K030</v>
      </c>
      <c r="H1631">
        <v>7296</v>
      </c>
    </row>
    <row r="1632" spans="1:8">
      <c r="A1632">
        <v>1</v>
      </c>
      <c r="B1632" t="s">
        <v>30</v>
      </c>
      <c r="C1632">
        <v>2018</v>
      </c>
      <c r="D1632" t="s">
        <v>12</v>
      </c>
      <c r="E1632" t="s">
        <v>10</v>
      </c>
      <c r="F1632" t="s">
        <v>38</v>
      </c>
      <c r="G1632" t="str">
        <f>VLOOKUP(A1632,[1]Kreise!$A$1:$C$53,3,FALSE)</f>
        <v>K031</v>
      </c>
      <c r="H1632">
        <v>1257</v>
      </c>
    </row>
    <row r="1633" spans="1:8">
      <c r="A1633">
        <v>2</v>
      </c>
      <c r="B1633" t="s">
        <v>31</v>
      </c>
      <c r="C1633">
        <v>2018</v>
      </c>
      <c r="D1633" t="s">
        <v>12</v>
      </c>
      <c r="E1633" t="s">
        <v>10</v>
      </c>
      <c r="F1633" t="s">
        <v>38</v>
      </c>
      <c r="G1633" t="str">
        <f>VLOOKUP(A1633,[1]Kreise!$A$1:$C$53,3,FALSE)</f>
        <v>K032</v>
      </c>
      <c r="H1633">
        <v>2089</v>
      </c>
    </row>
    <row r="1634" spans="1:8">
      <c r="A1634">
        <v>3</v>
      </c>
      <c r="B1634" t="s">
        <v>32</v>
      </c>
      <c r="C1634">
        <v>2018</v>
      </c>
      <c r="D1634" t="s">
        <v>12</v>
      </c>
      <c r="E1634" t="s">
        <v>10</v>
      </c>
      <c r="F1634" t="s">
        <v>38</v>
      </c>
      <c r="G1634" t="str">
        <f>VLOOKUP(A1634,[1]Kreise!$A$1:$C$53,3,FALSE)</f>
        <v>K033</v>
      </c>
      <c r="H1634">
        <v>1188</v>
      </c>
    </row>
    <row r="1635" spans="1:8">
      <c r="A1635">
        <v>4</v>
      </c>
      <c r="B1635" t="s">
        <v>33</v>
      </c>
      <c r="C1635">
        <v>2018</v>
      </c>
      <c r="D1635" t="s">
        <v>12</v>
      </c>
      <c r="E1635" t="s">
        <v>10</v>
      </c>
      <c r="F1635" t="s">
        <v>38</v>
      </c>
      <c r="G1635" t="str">
        <f>VLOOKUP(A1635,[1]Kreise!$A$1:$C$53,3,FALSE)</f>
        <v>K034</v>
      </c>
      <c r="H1635">
        <v>2183</v>
      </c>
    </row>
    <row r="1636" spans="1:8">
      <c r="A1636">
        <v>0</v>
      </c>
      <c r="B1636" t="s">
        <v>34</v>
      </c>
      <c r="C1636">
        <v>2018</v>
      </c>
      <c r="D1636" t="s">
        <v>12</v>
      </c>
      <c r="E1636" t="s">
        <v>10</v>
      </c>
      <c r="F1636" t="s">
        <v>38</v>
      </c>
      <c r="G1636" t="str">
        <f>VLOOKUP(A1636,[1]Kreise!$A$1:$C$53,3,FALSE)</f>
        <v>K030</v>
      </c>
      <c r="H1636">
        <v>6717</v>
      </c>
    </row>
    <row r="1637" spans="1:8">
      <c r="A1637">
        <v>1</v>
      </c>
      <c r="B1637" t="s">
        <v>30</v>
      </c>
      <c r="C1637">
        <v>2017</v>
      </c>
      <c r="D1637" t="s">
        <v>12</v>
      </c>
      <c r="E1637" t="s">
        <v>10</v>
      </c>
      <c r="F1637" t="s">
        <v>38</v>
      </c>
      <c r="G1637" t="str">
        <f>VLOOKUP(A1637,[1]Kreise!$A$1:$C$53,3,FALSE)</f>
        <v>K031</v>
      </c>
      <c r="H1637">
        <v>1168</v>
      </c>
    </row>
    <row r="1638" spans="1:8">
      <c r="A1638">
        <v>2</v>
      </c>
      <c r="B1638" t="s">
        <v>31</v>
      </c>
      <c r="C1638">
        <v>2017</v>
      </c>
      <c r="D1638" t="s">
        <v>12</v>
      </c>
      <c r="E1638" t="s">
        <v>10</v>
      </c>
      <c r="F1638" t="s">
        <v>38</v>
      </c>
      <c r="G1638" t="str">
        <f>VLOOKUP(A1638,[1]Kreise!$A$1:$C$53,3,FALSE)</f>
        <v>K032</v>
      </c>
      <c r="H1638">
        <v>1947</v>
      </c>
    </row>
    <row r="1639" spans="1:8">
      <c r="A1639">
        <v>3</v>
      </c>
      <c r="B1639" t="s">
        <v>32</v>
      </c>
      <c r="C1639">
        <v>2017</v>
      </c>
      <c r="D1639" t="s">
        <v>12</v>
      </c>
      <c r="E1639" t="s">
        <v>10</v>
      </c>
      <c r="F1639" t="s">
        <v>38</v>
      </c>
      <c r="G1639" t="str">
        <f>VLOOKUP(A1639,[1]Kreise!$A$1:$C$53,3,FALSE)</f>
        <v>K033</v>
      </c>
      <c r="H1639">
        <v>1031</v>
      </c>
    </row>
    <row r="1640" spans="1:8">
      <c r="A1640">
        <v>4</v>
      </c>
      <c r="B1640" t="s">
        <v>33</v>
      </c>
      <c r="C1640">
        <v>2017</v>
      </c>
      <c r="D1640" t="s">
        <v>12</v>
      </c>
      <c r="E1640" t="s">
        <v>10</v>
      </c>
      <c r="F1640" t="s">
        <v>38</v>
      </c>
      <c r="G1640" t="str">
        <f>VLOOKUP(A1640,[1]Kreise!$A$1:$C$53,3,FALSE)</f>
        <v>K034</v>
      </c>
      <c r="H1640">
        <v>1981</v>
      </c>
    </row>
    <row r="1641" spans="1:8">
      <c r="A1641">
        <v>0</v>
      </c>
      <c r="B1641" t="s">
        <v>34</v>
      </c>
      <c r="C1641">
        <v>2017</v>
      </c>
      <c r="D1641" t="s">
        <v>12</v>
      </c>
      <c r="E1641" t="s">
        <v>10</v>
      </c>
      <c r="F1641" t="s">
        <v>38</v>
      </c>
      <c r="G1641" t="str">
        <f>VLOOKUP(A1641,[1]Kreise!$A$1:$C$53,3,FALSE)</f>
        <v>K030</v>
      </c>
      <c r="H1641">
        <v>6127</v>
      </c>
    </row>
    <row r="1642" spans="1:8">
      <c r="A1642">
        <v>1</v>
      </c>
      <c r="B1642" t="s">
        <v>30</v>
      </c>
      <c r="C1642">
        <v>2016</v>
      </c>
      <c r="D1642" t="s">
        <v>12</v>
      </c>
      <c r="E1642" t="s">
        <v>10</v>
      </c>
      <c r="F1642" t="s">
        <v>38</v>
      </c>
      <c r="G1642" t="str">
        <f>VLOOKUP(A1642,[1]Kreise!$A$1:$C$53,3,FALSE)</f>
        <v>K031</v>
      </c>
      <c r="H1642">
        <v>1032</v>
      </c>
    </row>
    <row r="1643" spans="1:8">
      <c r="A1643">
        <v>2</v>
      </c>
      <c r="B1643" t="s">
        <v>31</v>
      </c>
      <c r="C1643">
        <v>2016</v>
      </c>
      <c r="D1643" t="s">
        <v>12</v>
      </c>
      <c r="E1643" t="s">
        <v>10</v>
      </c>
      <c r="F1643" t="s">
        <v>38</v>
      </c>
      <c r="G1643" t="str">
        <f>VLOOKUP(A1643,[1]Kreise!$A$1:$C$53,3,FALSE)</f>
        <v>K032</v>
      </c>
      <c r="H1643">
        <v>1572</v>
      </c>
    </row>
    <row r="1644" spans="1:8">
      <c r="A1644">
        <v>3</v>
      </c>
      <c r="B1644" t="s">
        <v>32</v>
      </c>
      <c r="C1644">
        <v>2016</v>
      </c>
      <c r="D1644" t="s">
        <v>12</v>
      </c>
      <c r="E1644" t="s">
        <v>10</v>
      </c>
      <c r="F1644" t="s">
        <v>38</v>
      </c>
      <c r="G1644" t="str">
        <f>VLOOKUP(A1644,[1]Kreise!$A$1:$C$53,3,FALSE)</f>
        <v>K033</v>
      </c>
      <c r="H1644">
        <v>911</v>
      </c>
    </row>
    <row r="1645" spans="1:8">
      <c r="A1645">
        <v>4</v>
      </c>
      <c r="B1645" t="s">
        <v>33</v>
      </c>
      <c r="C1645">
        <v>2016</v>
      </c>
      <c r="D1645" t="s">
        <v>12</v>
      </c>
      <c r="E1645" t="s">
        <v>10</v>
      </c>
      <c r="F1645" t="s">
        <v>38</v>
      </c>
      <c r="G1645" t="str">
        <f>VLOOKUP(A1645,[1]Kreise!$A$1:$C$53,3,FALSE)</f>
        <v>K034</v>
      </c>
      <c r="H1645">
        <v>1688</v>
      </c>
    </row>
    <row r="1646" spans="1:8">
      <c r="A1646">
        <v>0</v>
      </c>
      <c r="B1646" t="s">
        <v>34</v>
      </c>
      <c r="C1646">
        <v>2016</v>
      </c>
      <c r="D1646" t="s">
        <v>12</v>
      </c>
      <c r="E1646" t="s">
        <v>10</v>
      </c>
      <c r="F1646" t="s">
        <v>38</v>
      </c>
      <c r="G1646" t="str">
        <f>VLOOKUP(A1646,[1]Kreise!$A$1:$C$53,3,FALSE)</f>
        <v>K030</v>
      </c>
      <c r="H1646">
        <v>5203</v>
      </c>
    </row>
    <row r="1647" spans="1:8">
      <c r="A1647">
        <v>1</v>
      </c>
      <c r="B1647" t="s">
        <v>30</v>
      </c>
      <c r="C1647">
        <v>2015</v>
      </c>
      <c r="D1647" t="s">
        <v>12</v>
      </c>
      <c r="E1647" t="s">
        <v>10</v>
      </c>
      <c r="F1647" t="s">
        <v>38</v>
      </c>
      <c r="G1647" t="str">
        <f>VLOOKUP(A1647,[1]Kreise!$A$1:$C$53,3,FALSE)</f>
        <v>K031</v>
      </c>
      <c r="H1647">
        <v>828</v>
      </c>
    </row>
    <row r="1648" spans="1:8">
      <c r="A1648">
        <v>2</v>
      </c>
      <c r="B1648" t="s">
        <v>31</v>
      </c>
      <c r="C1648">
        <v>2015</v>
      </c>
      <c r="D1648" t="s">
        <v>12</v>
      </c>
      <c r="E1648" t="s">
        <v>10</v>
      </c>
      <c r="F1648" t="s">
        <v>38</v>
      </c>
      <c r="G1648" t="str">
        <f>VLOOKUP(A1648,[1]Kreise!$A$1:$C$53,3,FALSE)</f>
        <v>K032</v>
      </c>
      <c r="H1648">
        <v>1526</v>
      </c>
    </row>
    <row r="1649" spans="1:8">
      <c r="A1649">
        <v>3</v>
      </c>
      <c r="B1649" t="s">
        <v>32</v>
      </c>
      <c r="C1649">
        <v>2015</v>
      </c>
      <c r="D1649" t="s">
        <v>12</v>
      </c>
      <c r="E1649" t="s">
        <v>10</v>
      </c>
      <c r="F1649" t="s">
        <v>38</v>
      </c>
      <c r="G1649" t="str">
        <f>VLOOKUP(A1649,[1]Kreise!$A$1:$C$53,3,FALSE)</f>
        <v>K033</v>
      </c>
      <c r="H1649">
        <v>730</v>
      </c>
    </row>
    <row r="1650" spans="1:8">
      <c r="A1650">
        <v>4</v>
      </c>
      <c r="B1650" t="s">
        <v>33</v>
      </c>
      <c r="C1650">
        <v>2015</v>
      </c>
      <c r="D1650" t="s">
        <v>12</v>
      </c>
      <c r="E1650" t="s">
        <v>10</v>
      </c>
      <c r="F1650" t="s">
        <v>38</v>
      </c>
      <c r="G1650" t="str">
        <f>VLOOKUP(A1650,[1]Kreise!$A$1:$C$53,3,FALSE)</f>
        <v>K034</v>
      </c>
      <c r="H1650">
        <v>1395</v>
      </c>
    </row>
    <row r="1651" spans="1:8">
      <c r="A1651">
        <v>0</v>
      </c>
      <c r="B1651" t="s">
        <v>34</v>
      </c>
      <c r="C1651">
        <v>2015</v>
      </c>
      <c r="D1651" t="s">
        <v>12</v>
      </c>
      <c r="E1651" t="s">
        <v>10</v>
      </c>
      <c r="F1651" t="s">
        <v>38</v>
      </c>
      <c r="G1651" t="str">
        <f>VLOOKUP(A1651,[1]Kreise!$A$1:$C$53,3,FALSE)</f>
        <v>K030</v>
      </c>
      <c r="H1651">
        <v>4479</v>
      </c>
    </row>
    <row r="1652" spans="1:8">
      <c r="A1652">
        <v>1</v>
      </c>
      <c r="B1652" t="s">
        <v>145</v>
      </c>
      <c r="C1652">
        <v>2014</v>
      </c>
      <c r="D1652" t="s">
        <v>12</v>
      </c>
      <c r="E1652" t="s">
        <v>10</v>
      </c>
      <c r="F1652" t="s">
        <v>38</v>
      </c>
      <c r="G1652" t="str">
        <f>VLOOKUP(A1652,[1]Kreise!$A$1:$C$53,3,FALSE)</f>
        <v>K031</v>
      </c>
      <c r="H1652">
        <v>807</v>
      </c>
    </row>
    <row r="1653" spans="1:8">
      <c r="A1653">
        <v>2</v>
      </c>
      <c r="B1653" t="s">
        <v>146</v>
      </c>
      <c r="C1653">
        <v>2014</v>
      </c>
      <c r="D1653" t="s">
        <v>12</v>
      </c>
      <c r="E1653" t="s">
        <v>10</v>
      </c>
      <c r="F1653" t="s">
        <v>38</v>
      </c>
      <c r="G1653" t="str">
        <f>VLOOKUP(A1653,[1]Kreise!$A$1:$C$53,3,FALSE)</f>
        <v>K032</v>
      </c>
      <c r="H1653">
        <v>1470</v>
      </c>
    </row>
    <row r="1654" spans="1:8">
      <c r="A1654">
        <v>3</v>
      </c>
      <c r="B1654" t="s">
        <v>147</v>
      </c>
      <c r="C1654">
        <v>2014</v>
      </c>
      <c r="D1654" t="s">
        <v>12</v>
      </c>
      <c r="E1654" t="s">
        <v>10</v>
      </c>
      <c r="F1654" t="s">
        <v>38</v>
      </c>
      <c r="G1654" t="str">
        <f>VLOOKUP(A1654,[1]Kreise!$A$1:$C$53,3,FALSE)</f>
        <v>K033</v>
      </c>
      <c r="H1654">
        <v>724</v>
      </c>
    </row>
    <row r="1655" spans="1:8">
      <c r="A1655">
        <v>4</v>
      </c>
      <c r="B1655" t="s">
        <v>148</v>
      </c>
      <c r="C1655">
        <v>2014</v>
      </c>
      <c r="D1655" t="s">
        <v>12</v>
      </c>
      <c r="E1655" t="s">
        <v>10</v>
      </c>
      <c r="F1655" t="s">
        <v>38</v>
      </c>
      <c r="G1655" t="str">
        <f>VLOOKUP(A1655,[1]Kreise!$A$1:$C$53,3,FALSE)</f>
        <v>K034</v>
      </c>
      <c r="H1655">
        <v>1373</v>
      </c>
    </row>
    <row r="1656" spans="1:8">
      <c r="A1656">
        <v>0</v>
      </c>
      <c r="B1656" t="s">
        <v>34</v>
      </c>
      <c r="C1656">
        <v>2014</v>
      </c>
      <c r="D1656" t="s">
        <v>12</v>
      </c>
      <c r="E1656" t="s">
        <v>10</v>
      </c>
      <c r="F1656" t="s">
        <v>38</v>
      </c>
      <c r="G1656" t="str">
        <f>VLOOKUP(A1656,[1]Kreise!$A$1:$C$53,3,FALSE)</f>
        <v>K030</v>
      </c>
      <c r="H1656">
        <v>4374</v>
      </c>
    </row>
    <row r="1657" spans="1:8">
      <c r="A1657">
        <v>1</v>
      </c>
      <c r="B1657" t="s">
        <v>30</v>
      </c>
      <c r="C1657">
        <v>2013</v>
      </c>
      <c r="D1657" t="s">
        <v>12</v>
      </c>
      <c r="E1657" t="s">
        <v>10</v>
      </c>
      <c r="F1657" t="s">
        <v>38</v>
      </c>
      <c r="G1657" t="str">
        <f>VLOOKUP(A1657,[1]Kreise!$A$1:$C$53,3,FALSE)</f>
        <v>K031</v>
      </c>
      <c r="H1657">
        <v>943</v>
      </c>
    </row>
    <row r="1658" spans="1:8">
      <c r="A1658">
        <v>2</v>
      </c>
      <c r="B1658" t="s">
        <v>31</v>
      </c>
      <c r="C1658">
        <v>2013</v>
      </c>
      <c r="D1658" t="s">
        <v>12</v>
      </c>
      <c r="E1658" t="s">
        <v>10</v>
      </c>
      <c r="F1658" t="s">
        <v>38</v>
      </c>
      <c r="G1658" t="str">
        <f>VLOOKUP(A1658,[1]Kreise!$A$1:$C$53,3,FALSE)</f>
        <v>K032</v>
      </c>
      <c r="H1658">
        <v>1672</v>
      </c>
    </row>
    <row r="1659" spans="1:8">
      <c r="A1659">
        <v>3</v>
      </c>
      <c r="B1659" t="s">
        <v>32</v>
      </c>
      <c r="C1659">
        <v>2013</v>
      </c>
      <c r="D1659" t="s">
        <v>12</v>
      </c>
      <c r="E1659" t="s">
        <v>10</v>
      </c>
      <c r="F1659" t="s">
        <v>38</v>
      </c>
      <c r="G1659" t="str">
        <f>VLOOKUP(A1659,[1]Kreise!$A$1:$C$53,3,FALSE)</f>
        <v>K033</v>
      </c>
      <c r="H1659">
        <v>677</v>
      </c>
    </row>
    <row r="1660" spans="1:8">
      <c r="A1660">
        <v>4</v>
      </c>
      <c r="B1660" t="s">
        <v>33</v>
      </c>
      <c r="C1660">
        <v>2013</v>
      </c>
      <c r="D1660" t="s">
        <v>12</v>
      </c>
      <c r="E1660" t="s">
        <v>10</v>
      </c>
      <c r="F1660" t="s">
        <v>38</v>
      </c>
      <c r="G1660" t="str">
        <f>VLOOKUP(A1660,[1]Kreise!$A$1:$C$53,3,FALSE)</f>
        <v>K034</v>
      </c>
      <c r="H1660">
        <v>1342</v>
      </c>
    </row>
    <row r="1661" spans="1:8">
      <c r="A1661">
        <v>0</v>
      </c>
      <c r="B1661" t="s">
        <v>34</v>
      </c>
      <c r="C1661">
        <v>2013</v>
      </c>
      <c r="D1661" t="s">
        <v>12</v>
      </c>
      <c r="E1661" t="s">
        <v>10</v>
      </c>
      <c r="F1661" t="s">
        <v>38</v>
      </c>
      <c r="G1661" t="str">
        <f>VLOOKUP(A1661,[1]Kreise!$A$1:$C$53,3,FALSE)</f>
        <v>K030</v>
      </c>
      <c r="H1661">
        <v>4634</v>
      </c>
    </row>
    <row r="1662" spans="1:8">
      <c r="A1662">
        <v>1</v>
      </c>
      <c r="B1662" t="s">
        <v>145</v>
      </c>
      <c r="C1662">
        <v>2012</v>
      </c>
      <c r="D1662" t="s">
        <v>12</v>
      </c>
      <c r="E1662" t="s">
        <v>10</v>
      </c>
      <c r="F1662" t="s">
        <v>38</v>
      </c>
      <c r="G1662" t="str">
        <f>VLOOKUP(A1662,[1]Kreise!$A$1:$C$53,3,FALSE)</f>
        <v>K031</v>
      </c>
      <c r="H1662">
        <v>1028</v>
      </c>
    </row>
    <row r="1663" spans="1:8">
      <c r="A1663">
        <v>2</v>
      </c>
      <c r="B1663" t="s">
        <v>146</v>
      </c>
      <c r="C1663">
        <v>2012</v>
      </c>
      <c r="D1663" t="s">
        <v>12</v>
      </c>
      <c r="E1663" t="s">
        <v>10</v>
      </c>
      <c r="F1663" t="s">
        <v>38</v>
      </c>
      <c r="G1663" t="str">
        <f>VLOOKUP(A1663,[1]Kreise!$A$1:$C$53,3,FALSE)</f>
        <v>K032</v>
      </c>
      <c r="H1663">
        <v>1902</v>
      </c>
    </row>
    <row r="1664" spans="1:8">
      <c r="A1664">
        <v>3</v>
      </c>
      <c r="B1664" t="s">
        <v>147</v>
      </c>
      <c r="C1664">
        <v>2012</v>
      </c>
      <c r="D1664" t="s">
        <v>12</v>
      </c>
      <c r="E1664" t="s">
        <v>10</v>
      </c>
      <c r="F1664" t="s">
        <v>38</v>
      </c>
      <c r="G1664" t="str">
        <f>VLOOKUP(A1664,[1]Kreise!$A$1:$C$53,3,FALSE)</f>
        <v>K033</v>
      </c>
      <c r="H1664">
        <v>772</v>
      </c>
    </row>
    <row r="1665" spans="1:8">
      <c r="A1665">
        <v>4</v>
      </c>
      <c r="B1665" t="s">
        <v>148</v>
      </c>
      <c r="C1665">
        <v>2012</v>
      </c>
      <c r="D1665" t="s">
        <v>12</v>
      </c>
      <c r="E1665" t="s">
        <v>10</v>
      </c>
      <c r="F1665" t="s">
        <v>38</v>
      </c>
      <c r="G1665" t="str">
        <f>VLOOKUP(A1665,[1]Kreise!$A$1:$C$53,3,FALSE)</f>
        <v>K034</v>
      </c>
      <c r="H1665">
        <v>1428</v>
      </c>
    </row>
    <row r="1666" spans="1:8">
      <c r="A1666">
        <v>0</v>
      </c>
      <c r="B1666" t="s">
        <v>34</v>
      </c>
      <c r="C1666">
        <v>2012</v>
      </c>
      <c r="D1666" t="s">
        <v>12</v>
      </c>
      <c r="E1666" t="s">
        <v>10</v>
      </c>
      <c r="F1666" t="s">
        <v>38</v>
      </c>
      <c r="G1666" t="str">
        <f>VLOOKUP(A1666,[1]Kreise!$A$1:$C$53,3,FALSE)</f>
        <v>K030</v>
      </c>
      <c r="H1666">
        <v>5130</v>
      </c>
    </row>
    <row r="1667" spans="1:8">
      <c r="A1667">
        <v>1</v>
      </c>
      <c r="B1667" t="s">
        <v>30</v>
      </c>
      <c r="C1667">
        <v>2011</v>
      </c>
      <c r="D1667" t="s">
        <v>12</v>
      </c>
      <c r="E1667" t="s">
        <v>10</v>
      </c>
      <c r="F1667" t="s">
        <v>38</v>
      </c>
      <c r="G1667" t="str">
        <f>VLOOKUP(A1667,[1]Kreise!$A$1:$C$53,3,FALSE)</f>
        <v>K031</v>
      </c>
      <c r="H1667">
        <v>1087</v>
      </c>
    </row>
    <row r="1668" spans="1:8">
      <c r="A1668">
        <v>2</v>
      </c>
      <c r="B1668" t="s">
        <v>31</v>
      </c>
      <c r="C1668">
        <v>2011</v>
      </c>
      <c r="D1668" t="s">
        <v>12</v>
      </c>
      <c r="E1668" t="s">
        <v>10</v>
      </c>
      <c r="F1668" t="s">
        <v>38</v>
      </c>
      <c r="G1668" t="str">
        <f>VLOOKUP(A1668,[1]Kreise!$A$1:$C$53,3,FALSE)</f>
        <v>K032</v>
      </c>
      <c r="H1668">
        <v>1988</v>
      </c>
    </row>
    <row r="1669" spans="1:8">
      <c r="A1669">
        <v>3</v>
      </c>
      <c r="B1669" t="s">
        <v>32</v>
      </c>
      <c r="C1669">
        <v>2011</v>
      </c>
      <c r="D1669" t="s">
        <v>12</v>
      </c>
      <c r="E1669" t="s">
        <v>10</v>
      </c>
      <c r="F1669" t="s">
        <v>38</v>
      </c>
      <c r="G1669" t="str">
        <f>VLOOKUP(A1669,[1]Kreise!$A$1:$C$53,3,FALSE)</f>
        <v>K033</v>
      </c>
      <c r="H1669">
        <v>862</v>
      </c>
    </row>
    <row r="1670" spans="1:8">
      <c r="A1670">
        <v>4</v>
      </c>
      <c r="B1670" t="s">
        <v>33</v>
      </c>
      <c r="C1670">
        <v>2011</v>
      </c>
      <c r="D1670" t="s">
        <v>12</v>
      </c>
      <c r="E1670" t="s">
        <v>10</v>
      </c>
      <c r="F1670" t="s">
        <v>38</v>
      </c>
      <c r="G1670" t="str">
        <f>VLOOKUP(A1670,[1]Kreise!$A$1:$C$53,3,FALSE)</f>
        <v>K034</v>
      </c>
      <c r="H1670">
        <v>1565</v>
      </c>
    </row>
    <row r="1671" spans="1:8">
      <c r="A1671">
        <v>0</v>
      </c>
      <c r="B1671" t="s">
        <v>34</v>
      </c>
      <c r="C1671">
        <v>2011</v>
      </c>
      <c r="D1671" t="s">
        <v>12</v>
      </c>
      <c r="E1671" t="s">
        <v>10</v>
      </c>
      <c r="F1671" t="s">
        <v>38</v>
      </c>
      <c r="G1671" t="str">
        <f>VLOOKUP(A1671,[1]Kreise!$A$1:$C$53,3,FALSE)</f>
        <v>K030</v>
      </c>
      <c r="H1671">
        <v>5502</v>
      </c>
    </row>
    <row r="1672" spans="1:8">
      <c r="A1672">
        <v>1</v>
      </c>
      <c r="B1672" t="s">
        <v>145</v>
      </c>
      <c r="C1672">
        <v>2010</v>
      </c>
      <c r="D1672" t="s">
        <v>12</v>
      </c>
      <c r="E1672" t="s">
        <v>10</v>
      </c>
      <c r="F1672" t="s">
        <v>38</v>
      </c>
      <c r="G1672" t="str">
        <f>VLOOKUP(A1672,[1]Kreise!$A$1:$C$53,3,FALSE)</f>
        <v>K031</v>
      </c>
      <c r="H1672">
        <v>1147</v>
      </c>
    </row>
    <row r="1673" spans="1:8">
      <c r="A1673">
        <v>2</v>
      </c>
      <c r="B1673" t="s">
        <v>146</v>
      </c>
      <c r="C1673">
        <v>2010</v>
      </c>
      <c r="D1673" t="s">
        <v>12</v>
      </c>
      <c r="E1673" t="s">
        <v>10</v>
      </c>
      <c r="F1673" t="s">
        <v>38</v>
      </c>
      <c r="G1673" t="str">
        <f>VLOOKUP(A1673,[1]Kreise!$A$1:$C$53,3,FALSE)</f>
        <v>K032</v>
      </c>
      <c r="H1673">
        <v>1987</v>
      </c>
    </row>
    <row r="1674" spans="1:8">
      <c r="A1674">
        <v>3</v>
      </c>
      <c r="B1674" t="s">
        <v>147</v>
      </c>
      <c r="C1674">
        <v>2010</v>
      </c>
      <c r="D1674" t="s">
        <v>12</v>
      </c>
      <c r="E1674" t="s">
        <v>10</v>
      </c>
      <c r="F1674" t="s">
        <v>38</v>
      </c>
      <c r="G1674" t="str">
        <f>VLOOKUP(A1674,[1]Kreise!$A$1:$C$53,3,FALSE)</f>
        <v>K033</v>
      </c>
      <c r="H1674">
        <v>821</v>
      </c>
    </row>
    <row r="1675" spans="1:8">
      <c r="A1675">
        <v>4</v>
      </c>
      <c r="B1675" t="s">
        <v>148</v>
      </c>
      <c r="C1675">
        <v>2010</v>
      </c>
      <c r="D1675" t="s">
        <v>12</v>
      </c>
      <c r="E1675" t="s">
        <v>10</v>
      </c>
      <c r="F1675" t="s">
        <v>38</v>
      </c>
      <c r="G1675" t="str">
        <f>VLOOKUP(A1675,[1]Kreise!$A$1:$C$53,3,FALSE)</f>
        <v>K034</v>
      </c>
      <c r="H1675">
        <v>1439</v>
      </c>
    </row>
    <row r="1676" spans="1:8">
      <c r="A1676">
        <v>0</v>
      </c>
      <c r="B1676" t="s">
        <v>34</v>
      </c>
      <c r="C1676">
        <v>2010</v>
      </c>
      <c r="D1676" t="s">
        <v>12</v>
      </c>
      <c r="E1676" t="s">
        <v>10</v>
      </c>
      <c r="F1676" t="s">
        <v>38</v>
      </c>
      <c r="G1676" t="str">
        <f>VLOOKUP(A1676,[1]Kreise!$A$1:$C$53,3,FALSE)</f>
        <v>K030</v>
      </c>
      <c r="H1676">
        <v>5394</v>
      </c>
    </row>
    <row r="1677" spans="1:8">
      <c r="A1677">
        <v>1</v>
      </c>
      <c r="B1677" t="s">
        <v>145</v>
      </c>
      <c r="C1677">
        <v>2005</v>
      </c>
      <c r="D1677" t="s">
        <v>12</v>
      </c>
      <c r="E1677" t="s">
        <v>10</v>
      </c>
      <c r="F1677" t="s">
        <v>38</v>
      </c>
      <c r="G1677" t="str">
        <f>VLOOKUP(A1677,[1]Kreise!$A$1:$C$53,3,FALSE)</f>
        <v>K031</v>
      </c>
      <c r="H1677">
        <v>1401</v>
      </c>
    </row>
    <row r="1678" spans="1:8">
      <c r="A1678">
        <v>2</v>
      </c>
      <c r="B1678" t="s">
        <v>146</v>
      </c>
      <c r="C1678">
        <v>2005</v>
      </c>
      <c r="D1678" t="s">
        <v>12</v>
      </c>
      <c r="E1678" t="s">
        <v>10</v>
      </c>
      <c r="F1678" t="s">
        <v>38</v>
      </c>
      <c r="G1678" t="str">
        <f>VLOOKUP(A1678,[1]Kreise!$A$1:$C$53,3,FALSE)</f>
        <v>K032</v>
      </c>
      <c r="H1678">
        <v>2387</v>
      </c>
    </row>
    <row r="1679" spans="1:8">
      <c r="A1679">
        <v>3</v>
      </c>
      <c r="B1679" t="s">
        <v>147</v>
      </c>
      <c r="C1679">
        <v>2005</v>
      </c>
      <c r="D1679" t="s">
        <v>12</v>
      </c>
      <c r="E1679" t="s">
        <v>10</v>
      </c>
      <c r="F1679" t="s">
        <v>38</v>
      </c>
      <c r="G1679" t="str">
        <f>VLOOKUP(A1679,[1]Kreise!$A$1:$C$53,3,FALSE)</f>
        <v>K033</v>
      </c>
      <c r="H1679">
        <v>1064</v>
      </c>
    </row>
    <row r="1680" spans="1:8">
      <c r="A1680">
        <v>4</v>
      </c>
      <c r="B1680" t="s">
        <v>148</v>
      </c>
      <c r="C1680">
        <v>2005</v>
      </c>
      <c r="D1680" t="s">
        <v>12</v>
      </c>
      <c r="E1680" t="s">
        <v>10</v>
      </c>
      <c r="F1680" t="s">
        <v>38</v>
      </c>
      <c r="G1680" t="str">
        <f>VLOOKUP(A1680,[1]Kreise!$A$1:$C$53,3,FALSE)</f>
        <v>K034</v>
      </c>
      <c r="H1680">
        <v>1681</v>
      </c>
    </row>
    <row r="1681" spans="1:8">
      <c r="A1681">
        <v>0</v>
      </c>
      <c r="B1681" t="s">
        <v>34</v>
      </c>
      <c r="C1681">
        <v>2005</v>
      </c>
      <c r="D1681" t="s">
        <v>12</v>
      </c>
      <c r="E1681" t="s">
        <v>10</v>
      </c>
      <c r="F1681" t="s">
        <v>38</v>
      </c>
      <c r="G1681" t="str">
        <f>VLOOKUP(A1681,[1]Kreise!$A$1:$C$53,3,FALSE)</f>
        <v>K030</v>
      </c>
      <c r="H1681">
        <v>6533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H2145"/>
  <sheetViews>
    <sheetView workbookViewId="0">
      <selection sqref="A1:XFD1048576"/>
    </sheetView>
  </sheetViews>
  <sheetFormatPr baseColWidth="10" defaultRowHeight="15"/>
  <cols>
    <col min="2" max="2" width="31.28515625" customWidth="1"/>
    <col min="3" max="3" width="12.5703125" customWidth="1"/>
    <col min="4" max="4" width="28.85546875" customWidth="1"/>
    <col min="5" max="5" width="35.28515625" customWidth="1"/>
  </cols>
  <sheetData>
    <row r="1" spans="1:8">
      <c r="A1" t="s">
        <v>117</v>
      </c>
      <c r="B1" t="s">
        <v>153</v>
      </c>
      <c r="C1" t="s">
        <v>140</v>
      </c>
      <c r="D1" t="s">
        <v>136</v>
      </c>
      <c r="E1" t="s">
        <v>111</v>
      </c>
      <c r="F1" t="s">
        <v>138</v>
      </c>
      <c r="G1" t="s">
        <v>141</v>
      </c>
      <c r="H1" t="s">
        <v>137</v>
      </c>
    </row>
    <row r="2" spans="1:8">
      <c r="A2">
        <v>1</v>
      </c>
      <c r="B2" t="s">
        <v>30</v>
      </c>
      <c r="C2">
        <v>2020</v>
      </c>
      <c r="D2" t="s">
        <v>11</v>
      </c>
      <c r="E2" t="s">
        <v>4</v>
      </c>
      <c r="F2" t="s">
        <v>13</v>
      </c>
      <c r="G2" t="str">
        <f>VLOOKUP(A2,[1]Kreise!$A$1:$C$53,3,FALSE)</f>
        <v>K031</v>
      </c>
      <c r="H2">
        <v>70.62818336162988</v>
      </c>
    </row>
    <row r="3" spans="1:8">
      <c r="A3">
        <v>2</v>
      </c>
      <c r="B3" t="s">
        <v>31</v>
      </c>
      <c r="C3">
        <v>2020</v>
      </c>
      <c r="D3" t="s">
        <v>11</v>
      </c>
      <c r="E3" t="s">
        <v>4</v>
      </c>
      <c r="F3" t="s">
        <v>13</v>
      </c>
      <c r="G3" t="str">
        <f>VLOOKUP(A3,[1]Kreise!$A$1:$C$53,3,FALSE)</f>
        <v>K032</v>
      </c>
      <c r="H3">
        <v>68.172268907563023</v>
      </c>
    </row>
    <row r="4" spans="1:8">
      <c r="A4">
        <v>3</v>
      </c>
      <c r="B4" t="s">
        <v>32</v>
      </c>
      <c r="C4">
        <v>2020</v>
      </c>
      <c r="D4" t="s">
        <v>11</v>
      </c>
      <c r="E4" t="s">
        <v>4</v>
      </c>
      <c r="F4" t="s">
        <v>13</v>
      </c>
      <c r="G4" t="str">
        <f>VLOOKUP(A4,[1]Kreise!$A$1:$C$53,3,FALSE)</f>
        <v>K033</v>
      </c>
      <c r="H4">
        <v>80.724174653887118</v>
      </c>
    </row>
    <row r="5" spans="1:8">
      <c r="A5">
        <v>4</v>
      </c>
      <c r="B5" t="s">
        <v>33</v>
      </c>
      <c r="C5">
        <v>2020</v>
      </c>
      <c r="D5" t="s">
        <v>11</v>
      </c>
      <c r="E5" t="s">
        <v>4</v>
      </c>
      <c r="F5" t="s">
        <v>13</v>
      </c>
      <c r="G5" t="str">
        <f>VLOOKUP(A5,[1]Kreise!$A$1:$C$53,3,FALSE)</f>
        <v>K034</v>
      </c>
      <c r="H5">
        <v>75.303951367781153</v>
      </c>
    </row>
    <row r="6" spans="1:8">
      <c r="A6">
        <v>0</v>
      </c>
      <c r="B6" t="s">
        <v>34</v>
      </c>
      <c r="C6">
        <v>2020</v>
      </c>
      <c r="D6" t="s">
        <v>11</v>
      </c>
      <c r="E6" t="s">
        <v>4</v>
      </c>
      <c r="F6" t="s">
        <v>13</v>
      </c>
      <c r="G6" t="str">
        <f>VLOOKUP(A6,[1]Kreise!$A$1:$C$53,3,FALSE)</f>
        <v>K030</v>
      </c>
      <c r="H6">
        <v>73.660205245153932</v>
      </c>
    </row>
    <row r="7" spans="1:8">
      <c r="A7">
        <v>1</v>
      </c>
      <c r="B7" t="s">
        <v>30</v>
      </c>
      <c r="C7">
        <v>2019</v>
      </c>
      <c r="D7" t="s">
        <v>11</v>
      </c>
      <c r="E7" t="s">
        <v>4</v>
      </c>
      <c r="F7" t="s">
        <v>13</v>
      </c>
      <c r="G7" t="str">
        <f>VLOOKUP(A7,[1]Kreise!$A$1:$C$53,3,FALSE)</f>
        <v>K031</v>
      </c>
      <c r="H7">
        <v>71.931196247068016</v>
      </c>
    </row>
    <row r="8" spans="1:8">
      <c r="A8">
        <v>2</v>
      </c>
      <c r="B8" t="s">
        <v>31</v>
      </c>
      <c r="C8">
        <v>2019</v>
      </c>
      <c r="D8" t="s">
        <v>11</v>
      </c>
      <c r="E8" t="s">
        <v>4</v>
      </c>
      <c r="F8" t="s">
        <v>13</v>
      </c>
      <c r="G8" t="str">
        <f>VLOOKUP(A8,[1]Kreise!$A$1:$C$53,3,FALSE)</f>
        <v>K032</v>
      </c>
      <c r="H8">
        <v>69.980506822612085</v>
      </c>
    </row>
    <row r="9" spans="1:8">
      <c r="A9">
        <v>3</v>
      </c>
      <c r="B9" t="s">
        <v>32</v>
      </c>
      <c r="C9">
        <v>2019</v>
      </c>
      <c r="D9" t="s">
        <v>11</v>
      </c>
      <c r="E9" t="s">
        <v>4</v>
      </c>
      <c r="F9" t="s">
        <v>13</v>
      </c>
      <c r="G9" t="str">
        <f>VLOOKUP(A9,[1]Kreise!$A$1:$C$53,3,FALSE)</f>
        <v>K033</v>
      </c>
      <c r="H9">
        <v>81.742738589211612</v>
      </c>
    </row>
    <row r="10" spans="1:8">
      <c r="A10">
        <v>4</v>
      </c>
      <c r="B10" t="s">
        <v>33</v>
      </c>
      <c r="C10">
        <v>2019</v>
      </c>
      <c r="D10" t="s">
        <v>11</v>
      </c>
      <c r="E10" t="s">
        <v>4</v>
      </c>
      <c r="F10" t="s">
        <v>13</v>
      </c>
      <c r="G10" t="str">
        <f>VLOOKUP(A10,[1]Kreise!$A$1:$C$53,3,FALSE)</f>
        <v>K034</v>
      </c>
      <c r="H10">
        <v>76.649369903632319</v>
      </c>
    </row>
    <row r="11" spans="1:8">
      <c r="A11">
        <v>0</v>
      </c>
      <c r="B11" t="s">
        <v>34</v>
      </c>
      <c r="C11">
        <v>2019</v>
      </c>
      <c r="D11" t="s">
        <v>11</v>
      </c>
      <c r="E11" t="s">
        <v>4</v>
      </c>
      <c r="F11" t="s">
        <v>13</v>
      </c>
      <c r="G11" t="str">
        <f>VLOOKUP(A11,[1]Kreise!$A$1:$C$53,3,FALSE)</f>
        <v>K030</v>
      </c>
      <c r="H11">
        <v>74.924209614551756</v>
      </c>
    </row>
    <row r="12" spans="1:8">
      <c r="A12">
        <v>1</v>
      </c>
      <c r="B12" t="s">
        <v>30</v>
      </c>
      <c r="C12">
        <v>2018</v>
      </c>
      <c r="D12" t="s">
        <v>11</v>
      </c>
      <c r="E12" t="s">
        <v>4</v>
      </c>
      <c r="F12" t="s">
        <v>13</v>
      </c>
      <c r="G12" t="str">
        <f>VLOOKUP(A12,[1]Kreise!$A$1:$C$53,3,FALSE)</f>
        <v>K031</v>
      </c>
      <c r="H12">
        <v>73.902633679169995</v>
      </c>
    </row>
    <row r="13" spans="1:8">
      <c r="A13">
        <v>2</v>
      </c>
      <c r="B13" t="s">
        <v>31</v>
      </c>
      <c r="C13">
        <v>2018</v>
      </c>
      <c r="D13" t="s">
        <v>11</v>
      </c>
      <c r="E13" t="s">
        <v>4</v>
      </c>
      <c r="F13" t="s">
        <v>13</v>
      </c>
      <c r="G13" t="str">
        <f>VLOOKUP(A13,[1]Kreise!$A$1:$C$53,3,FALSE)</f>
        <v>K032</v>
      </c>
      <c r="H13">
        <v>69.328063241106719</v>
      </c>
    </row>
    <row r="14" spans="1:8">
      <c r="A14">
        <v>3</v>
      </c>
      <c r="B14" t="s">
        <v>32</v>
      </c>
      <c r="C14">
        <v>2018</v>
      </c>
      <c r="D14" t="s">
        <v>11</v>
      </c>
      <c r="E14" t="s">
        <v>4</v>
      </c>
      <c r="F14" t="s">
        <v>13</v>
      </c>
      <c r="G14" t="str">
        <f>VLOOKUP(A14,[1]Kreise!$A$1:$C$53,3,FALSE)</f>
        <v>K033</v>
      </c>
      <c r="H14">
        <v>83.549351944167498</v>
      </c>
    </row>
    <row r="15" spans="1:8">
      <c r="A15">
        <v>4</v>
      </c>
      <c r="B15" t="s">
        <v>33</v>
      </c>
      <c r="C15">
        <v>2018</v>
      </c>
      <c r="D15" t="s">
        <v>11</v>
      </c>
      <c r="E15" t="s">
        <v>4</v>
      </c>
      <c r="F15" t="s">
        <v>13</v>
      </c>
      <c r="G15" t="str">
        <f>VLOOKUP(A15,[1]Kreise!$A$1:$C$53,3,FALSE)</f>
        <v>K034</v>
      </c>
      <c r="H15">
        <v>79.099678456591633</v>
      </c>
    </row>
    <row r="16" spans="1:8">
      <c r="A16">
        <v>0</v>
      </c>
      <c r="B16" t="s">
        <v>34</v>
      </c>
      <c r="C16">
        <v>2018</v>
      </c>
      <c r="D16" t="s">
        <v>11</v>
      </c>
      <c r="E16" t="s">
        <v>4</v>
      </c>
      <c r="F16" t="s">
        <v>13</v>
      </c>
      <c r="G16" t="str">
        <f>VLOOKUP(A16,[1]Kreise!$A$1:$C$53,3,FALSE)</f>
        <v>K030</v>
      </c>
      <c r="H16">
        <v>76.26083530338849</v>
      </c>
    </row>
    <row r="17" spans="1:8">
      <c r="A17">
        <v>1</v>
      </c>
      <c r="B17" t="s">
        <v>30</v>
      </c>
      <c r="C17">
        <v>2017</v>
      </c>
      <c r="D17" t="s">
        <v>11</v>
      </c>
      <c r="E17" t="s">
        <v>4</v>
      </c>
      <c r="F17" t="s">
        <v>13</v>
      </c>
      <c r="G17" t="str">
        <f>VLOOKUP(A17,[1]Kreise!$A$1:$C$53,3,FALSE)</f>
        <v>K031</v>
      </c>
      <c r="H17">
        <v>77.272727272727266</v>
      </c>
    </row>
    <row r="18" spans="1:8">
      <c r="A18">
        <v>2</v>
      </c>
      <c r="B18" t="s">
        <v>31</v>
      </c>
      <c r="C18">
        <v>2017</v>
      </c>
      <c r="D18" t="s">
        <v>11</v>
      </c>
      <c r="E18" t="s">
        <v>4</v>
      </c>
      <c r="F18" t="s">
        <v>13</v>
      </c>
      <c r="G18" t="str">
        <f>VLOOKUP(A18,[1]Kreise!$A$1:$C$53,3,FALSE)</f>
        <v>K032</v>
      </c>
      <c r="H18">
        <v>72.385620915032675</v>
      </c>
    </row>
    <row r="19" spans="1:8">
      <c r="A19">
        <v>3</v>
      </c>
      <c r="B19" t="s">
        <v>32</v>
      </c>
      <c r="C19">
        <v>2017</v>
      </c>
      <c r="D19" t="s">
        <v>11</v>
      </c>
      <c r="E19" t="s">
        <v>4</v>
      </c>
      <c r="F19" t="s">
        <v>13</v>
      </c>
      <c r="G19" t="str">
        <f>VLOOKUP(A19,[1]Kreise!$A$1:$C$53,3,FALSE)</f>
        <v>K033</v>
      </c>
      <c r="H19">
        <v>83.748753738783648</v>
      </c>
    </row>
    <row r="20" spans="1:8">
      <c r="A20">
        <v>4</v>
      </c>
      <c r="B20" t="s">
        <v>33</v>
      </c>
      <c r="C20">
        <v>2017</v>
      </c>
      <c r="D20" t="s">
        <v>11</v>
      </c>
      <c r="E20" t="s">
        <v>4</v>
      </c>
      <c r="F20" t="s">
        <v>13</v>
      </c>
      <c r="G20" t="str">
        <f>VLOOKUP(A20,[1]Kreise!$A$1:$C$53,3,FALSE)</f>
        <v>K034</v>
      </c>
      <c r="H20">
        <v>83.601669648181272</v>
      </c>
    </row>
    <row r="21" spans="1:8">
      <c r="A21">
        <v>0</v>
      </c>
      <c r="B21" t="s">
        <v>34</v>
      </c>
      <c r="C21">
        <v>2017</v>
      </c>
      <c r="D21" t="s">
        <v>11</v>
      </c>
      <c r="E21" t="s">
        <v>4</v>
      </c>
      <c r="F21" t="s">
        <v>13</v>
      </c>
      <c r="G21" t="str">
        <f>VLOOKUP(A21,[1]Kreise!$A$1:$C$53,3,FALSE)</f>
        <v>K030</v>
      </c>
      <c r="H21">
        <v>79.411764705882348</v>
      </c>
    </row>
    <row r="22" spans="1:8">
      <c r="A22">
        <v>1</v>
      </c>
      <c r="B22" t="s">
        <v>30</v>
      </c>
      <c r="C22">
        <v>2016</v>
      </c>
      <c r="D22" t="s">
        <v>11</v>
      </c>
      <c r="E22" t="s">
        <v>4</v>
      </c>
      <c r="F22" t="s">
        <v>13</v>
      </c>
      <c r="G22" t="str">
        <f>VLOOKUP(A22,[1]Kreise!$A$1:$C$53,3,FALSE)</f>
        <v>K031</v>
      </c>
      <c r="H22">
        <v>81.403508771929822</v>
      </c>
    </row>
    <row r="23" spans="1:8">
      <c r="A23">
        <v>2</v>
      </c>
      <c r="B23" t="s">
        <v>31</v>
      </c>
      <c r="C23">
        <v>2016</v>
      </c>
      <c r="D23" t="s">
        <v>11</v>
      </c>
      <c r="E23" t="s">
        <v>4</v>
      </c>
      <c r="F23" t="s">
        <v>13</v>
      </c>
      <c r="G23" t="str">
        <f>VLOOKUP(A23,[1]Kreise!$A$1:$C$53,3,FALSE)</f>
        <v>K032</v>
      </c>
      <c r="H23">
        <v>78.844765342960287</v>
      </c>
    </row>
    <row r="24" spans="1:8">
      <c r="A24">
        <v>3</v>
      </c>
      <c r="B24" t="s">
        <v>32</v>
      </c>
      <c r="C24">
        <v>2016</v>
      </c>
      <c r="D24" t="s">
        <v>11</v>
      </c>
      <c r="E24" t="s">
        <v>4</v>
      </c>
      <c r="F24" t="s">
        <v>13</v>
      </c>
      <c r="G24" t="str">
        <f>VLOOKUP(A24,[1]Kreise!$A$1:$C$53,3,FALSE)</f>
        <v>K033</v>
      </c>
      <c r="H24">
        <v>84.343434343434339</v>
      </c>
    </row>
    <row r="25" spans="1:8">
      <c r="A25">
        <v>4</v>
      </c>
      <c r="B25" t="s">
        <v>33</v>
      </c>
      <c r="C25">
        <v>2016</v>
      </c>
      <c r="D25" t="s">
        <v>11</v>
      </c>
      <c r="E25" t="s">
        <v>4</v>
      </c>
      <c r="F25" t="s">
        <v>13</v>
      </c>
      <c r="G25" t="str">
        <f>VLOOKUP(A25,[1]Kreise!$A$1:$C$53,3,FALSE)</f>
        <v>K034</v>
      </c>
      <c r="H25">
        <v>84.323271665043819</v>
      </c>
    </row>
    <row r="26" spans="1:8">
      <c r="A26">
        <v>0</v>
      </c>
      <c r="B26" t="s">
        <v>34</v>
      </c>
      <c r="C26">
        <v>2016</v>
      </c>
      <c r="D26" t="s">
        <v>11</v>
      </c>
      <c r="E26" t="s">
        <v>4</v>
      </c>
      <c r="F26" t="s">
        <v>13</v>
      </c>
      <c r="G26" t="str">
        <f>VLOOKUP(A26,[1]Kreise!$A$1:$C$53,3,FALSE)</f>
        <v>K030</v>
      </c>
      <c r="H26">
        <v>82.385988103106413</v>
      </c>
    </row>
    <row r="27" spans="1:8">
      <c r="A27">
        <v>1</v>
      </c>
      <c r="B27" t="s">
        <v>30</v>
      </c>
      <c r="C27">
        <v>2015</v>
      </c>
      <c r="D27" t="s">
        <v>11</v>
      </c>
      <c r="E27" t="s">
        <v>4</v>
      </c>
      <c r="F27" t="s">
        <v>13</v>
      </c>
      <c r="G27" t="str">
        <f>VLOOKUP(A27,[1]Kreise!$A$1:$C$53,3,FALSE)</f>
        <v>K031</v>
      </c>
      <c r="H27">
        <v>84.492350486787203</v>
      </c>
    </row>
    <row r="28" spans="1:8">
      <c r="A28">
        <v>2</v>
      </c>
      <c r="B28" t="s">
        <v>31</v>
      </c>
      <c r="C28">
        <v>2015</v>
      </c>
      <c r="D28" t="s">
        <v>11</v>
      </c>
      <c r="E28" t="s">
        <v>4</v>
      </c>
      <c r="F28" t="s">
        <v>13</v>
      </c>
      <c r="G28" t="str">
        <f>VLOOKUP(A28,[1]Kreise!$A$1:$C$53,3,FALSE)</f>
        <v>K032</v>
      </c>
      <c r="H28">
        <v>79.856584093872229</v>
      </c>
    </row>
    <row r="29" spans="1:8">
      <c r="A29">
        <v>3</v>
      </c>
      <c r="B29" t="s">
        <v>32</v>
      </c>
      <c r="C29">
        <v>2015</v>
      </c>
      <c r="D29" t="s">
        <v>11</v>
      </c>
      <c r="E29" t="s">
        <v>4</v>
      </c>
      <c r="F29" t="s">
        <v>13</v>
      </c>
      <c r="G29" t="str">
        <f>VLOOKUP(A29,[1]Kreise!$A$1:$C$53,3,FALSE)</f>
        <v>K033</v>
      </c>
      <c r="H29">
        <v>85.397553516819571</v>
      </c>
    </row>
    <row r="30" spans="1:8">
      <c r="A30">
        <v>4</v>
      </c>
      <c r="B30" t="s">
        <v>33</v>
      </c>
      <c r="C30">
        <v>2015</v>
      </c>
      <c r="D30" t="s">
        <v>11</v>
      </c>
      <c r="E30" t="s">
        <v>4</v>
      </c>
      <c r="F30" t="s">
        <v>13</v>
      </c>
      <c r="G30" t="str">
        <f>VLOOKUP(A30,[1]Kreise!$A$1:$C$53,3,FALSE)</f>
        <v>K034</v>
      </c>
      <c r="H30">
        <v>86.017121891561359</v>
      </c>
    </row>
    <row r="31" spans="1:8">
      <c r="A31">
        <v>0</v>
      </c>
      <c r="B31" t="s">
        <v>34</v>
      </c>
      <c r="C31">
        <v>2015</v>
      </c>
      <c r="D31" t="s">
        <v>11</v>
      </c>
      <c r="E31" t="s">
        <v>4</v>
      </c>
      <c r="F31" t="s">
        <v>13</v>
      </c>
      <c r="G31" t="str">
        <f>VLOOKUP(A31,[1]Kreise!$A$1:$C$53,3,FALSE)</f>
        <v>K030</v>
      </c>
      <c r="H31">
        <v>84.1675330461904</v>
      </c>
    </row>
    <row r="32" spans="1:8">
      <c r="A32">
        <v>1</v>
      </c>
      <c r="B32" t="s">
        <v>145</v>
      </c>
      <c r="C32">
        <v>2014</v>
      </c>
      <c r="D32" t="s">
        <v>11</v>
      </c>
      <c r="E32" t="s">
        <v>4</v>
      </c>
      <c r="F32" t="s">
        <v>13</v>
      </c>
      <c r="G32" t="str">
        <f>VLOOKUP(A32,[1]Kreise!$A$1:$C$53,3,FALSE)</f>
        <v>K031</v>
      </c>
      <c r="H32">
        <v>86.500283607487233</v>
      </c>
    </row>
    <row r="33" spans="1:8">
      <c r="A33">
        <v>2</v>
      </c>
      <c r="B33" t="s">
        <v>146</v>
      </c>
      <c r="C33">
        <v>2014</v>
      </c>
      <c r="D33" t="s">
        <v>11</v>
      </c>
      <c r="E33" t="s">
        <v>4</v>
      </c>
      <c r="F33" t="s">
        <v>13</v>
      </c>
      <c r="G33" t="str">
        <f>VLOOKUP(A33,[1]Kreise!$A$1:$C$53,3,FALSE)</f>
        <v>K032</v>
      </c>
      <c r="H33">
        <v>84.094407388404306</v>
      </c>
    </row>
    <row r="34" spans="1:8">
      <c r="A34">
        <v>3</v>
      </c>
      <c r="B34" t="s">
        <v>147</v>
      </c>
      <c r="C34">
        <v>2014</v>
      </c>
      <c r="D34" t="s">
        <v>11</v>
      </c>
      <c r="E34" t="s">
        <v>4</v>
      </c>
      <c r="F34" t="s">
        <v>13</v>
      </c>
      <c r="G34" t="str">
        <f>VLOOKUP(A34,[1]Kreise!$A$1:$C$53,3,FALSE)</f>
        <v>K033</v>
      </c>
      <c r="H34">
        <v>89.040451552210726</v>
      </c>
    </row>
    <row r="35" spans="1:8">
      <c r="A35">
        <v>4</v>
      </c>
      <c r="B35" t="s">
        <v>148</v>
      </c>
      <c r="C35">
        <v>2014</v>
      </c>
      <c r="D35" t="s">
        <v>11</v>
      </c>
      <c r="E35" t="s">
        <v>4</v>
      </c>
      <c r="F35" t="s">
        <v>13</v>
      </c>
      <c r="G35" t="str">
        <f>VLOOKUP(A35,[1]Kreise!$A$1:$C$53,3,FALSE)</f>
        <v>K034</v>
      </c>
      <c r="H35">
        <v>87.415799142682175</v>
      </c>
    </row>
    <row r="36" spans="1:8">
      <c r="A36">
        <v>0</v>
      </c>
      <c r="B36" t="s">
        <v>34</v>
      </c>
      <c r="C36">
        <v>2014</v>
      </c>
      <c r="D36" t="s">
        <v>11</v>
      </c>
      <c r="E36" t="s">
        <v>4</v>
      </c>
      <c r="F36" t="s">
        <v>13</v>
      </c>
      <c r="G36" t="str">
        <f>VLOOKUP(A36,[1]Kreise!$A$1:$C$53,3,FALSE)</f>
        <v>K030</v>
      </c>
      <c r="H36">
        <v>86.906854130052722</v>
      </c>
    </row>
    <row r="37" spans="1:8">
      <c r="A37">
        <v>1</v>
      </c>
      <c r="B37" t="s">
        <v>30</v>
      </c>
      <c r="C37">
        <v>2013</v>
      </c>
      <c r="D37" t="s">
        <v>11</v>
      </c>
      <c r="E37" t="s">
        <v>4</v>
      </c>
      <c r="F37" t="s">
        <v>13</v>
      </c>
      <c r="G37" t="str">
        <f>VLOOKUP(A37,[1]Kreise!$A$1:$C$53,3,FALSE)</f>
        <v>K031</v>
      </c>
      <c r="H37">
        <v>87.665406427221171</v>
      </c>
    </row>
    <row r="38" spans="1:8">
      <c r="A38">
        <v>2</v>
      </c>
      <c r="B38" t="s">
        <v>31</v>
      </c>
      <c r="C38">
        <v>2013</v>
      </c>
      <c r="D38" t="s">
        <v>11</v>
      </c>
      <c r="E38" t="s">
        <v>4</v>
      </c>
      <c r="F38" t="s">
        <v>13</v>
      </c>
      <c r="G38" t="str">
        <f>VLOOKUP(A38,[1]Kreise!$A$1:$C$53,3,FALSE)</f>
        <v>K032</v>
      </c>
      <c r="H38">
        <v>84.060650887573956</v>
      </c>
    </row>
    <row r="39" spans="1:8">
      <c r="A39">
        <v>3</v>
      </c>
      <c r="B39" t="s">
        <v>32</v>
      </c>
      <c r="C39">
        <v>2013</v>
      </c>
      <c r="D39" t="s">
        <v>11</v>
      </c>
      <c r="E39" t="s">
        <v>4</v>
      </c>
      <c r="F39" t="s">
        <v>13</v>
      </c>
      <c r="G39" t="str">
        <f>VLOOKUP(A39,[1]Kreise!$A$1:$C$53,3,FALSE)</f>
        <v>K033</v>
      </c>
      <c r="H39">
        <v>91.190914671577644</v>
      </c>
    </row>
    <row r="40" spans="1:8">
      <c r="A40">
        <v>4</v>
      </c>
      <c r="B40" t="s">
        <v>33</v>
      </c>
      <c r="C40">
        <v>2013</v>
      </c>
      <c r="D40" t="s">
        <v>11</v>
      </c>
      <c r="E40" t="s">
        <v>4</v>
      </c>
      <c r="F40" t="s">
        <v>13</v>
      </c>
      <c r="G40" t="str">
        <f>VLOOKUP(A40,[1]Kreise!$A$1:$C$53,3,FALSE)</f>
        <v>K034</v>
      </c>
      <c r="H40">
        <v>90.400782013685244</v>
      </c>
    </row>
    <row r="41" spans="1:8">
      <c r="A41">
        <v>0</v>
      </c>
      <c r="B41" t="s">
        <v>34</v>
      </c>
      <c r="C41">
        <v>2013</v>
      </c>
      <c r="D41" t="s">
        <v>11</v>
      </c>
      <c r="E41" t="s">
        <v>4</v>
      </c>
      <c r="F41" t="s">
        <v>13</v>
      </c>
      <c r="G41" t="str">
        <f>VLOOKUP(A41,[1]Kreise!$A$1:$C$53,3,FALSE)</f>
        <v>K030</v>
      </c>
      <c r="H41">
        <v>88.857727582809062</v>
      </c>
    </row>
    <row r="42" spans="1:8">
      <c r="A42">
        <v>1</v>
      </c>
      <c r="B42" t="s">
        <v>145</v>
      </c>
      <c r="C42">
        <v>2012</v>
      </c>
      <c r="D42" t="s">
        <v>11</v>
      </c>
      <c r="E42" t="s">
        <v>4</v>
      </c>
      <c r="F42" t="s">
        <v>13</v>
      </c>
      <c r="G42" t="str">
        <f>VLOOKUP(A42,[1]Kreise!$A$1:$C$53,3,FALSE)</f>
        <v>K031</v>
      </c>
      <c r="H42">
        <v>87.432600580671917</v>
      </c>
    </row>
    <row r="43" spans="1:8">
      <c r="A43">
        <v>2</v>
      </c>
      <c r="B43" t="s">
        <v>146</v>
      </c>
      <c r="C43">
        <v>2012</v>
      </c>
      <c r="D43" t="s">
        <v>11</v>
      </c>
      <c r="E43" t="s">
        <v>4</v>
      </c>
      <c r="F43" t="s">
        <v>13</v>
      </c>
      <c r="G43" t="str">
        <f>VLOOKUP(A43,[1]Kreise!$A$1:$C$53,3,FALSE)</f>
        <v>K032</v>
      </c>
      <c r="H43">
        <v>83.954840916866232</v>
      </c>
    </row>
    <row r="44" spans="1:8">
      <c r="A44">
        <v>3</v>
      </c>
      <c r="B44" t="s">
        <v>147</v>
      </c>
      <c r="C44">
        <v>2012</v>
      </c>
      <c r="D44" t="s">
        <v>11</v>
      </c>
      <c r="E44" t="s">
        <v>4</v>
      </c>
      <c r="F44" t="s">
        <v>13</v>
      </c>
      <c r="G44" t="str">
        <f>VLOOKUP(A44,[1]Kreise!$A$1:$C$53,3,FALSE)</f>
        <v>K033</v>
      </c>
      <c r="H44">
        <v>90.391983495431774</v>
      </c>
    </row>
    <row r="45" spans="1:8">
      <c r="A45">
        <v>4</v>
      </c>
      <c r="B45" t="s">
        <v>148</v>
      </c>
      <c r="C45">
        <v>2012</v>
      </c>
      <c r="D45" t="s">
        <v>11</v>
      </c>
      <c r="E45" t="s">
        <v>4</v>
      </c>
      <c r="F45" t="s">
        <v>13</v>
      </c>
      <c r="G45" t="str">
        <f>VLOOKUP(A45,[1]Kreise!$A$1:$C$53,3,FALSE)</f>
        <v>K034</v>
      </c>
      <c r="H45">
        <v>90.007163323782237</v>
      </c>
    </row>
    <row r="46" spans="1:8">
      <c r="A46">
        <v>0</v>
      </c>
      <c r="B46" t="s">
        <v>34</v>
      </c>
      <c r="C46">
        <v>2012</v>
      </c>
      <c r="D46" t="s">
        <v>11</v>
      </c>
      <c r="E46" t="s">
        <v>4</v>
      </c>
      <c r="F46" t="s">
        <v>13</v>
      </c>
      <c r="G46" t="str">
        <f>VLOOKUP(A46,[1]Kreise!$A$1:$C$53,3,FALSE)</f>
        <v>K030</v>
      </c>
      <c r="H46">
        <v>88.428481587589971</v>
      </c>
    </row>
    <row r="47" spans="1:8">
      <c r="A47">
        <v>1</v>
      </c>
      <c r="B47" t="s">
        <v>30</v>
      </c>
      <c r="C47">
        <v>2011</v>
      </c>
      <c r="D47" t="s">
        <v>11</v>
      </c>
      <c r="E47" t="s">
        <v>4</v>
      </c>
      <c r="F47" t="s">
        <v>13</v>
      </c>
      <c r="G47" t="str">
        <f>VLOOKUP(A47,[1]Kreise!$A$1:$C$53,3,FALSE)</f>
        <v>K031</v>
      </c>
      <c r="H47">
        <v>87.360308285163782</v>
      </c>
    </row>
    <row r="48" spans="1:8">
      <c r="A48">
        <v>2</v>
      </c>
      <c r="B48" t="s">
        <v>31</v>
      </c>
      <c r="C48">
        <v>2011</v>
      </c>
      <c r="D48" t="s">
        <v>11</v>
      </c>
      <c r="E48" t="s">
        <v>4</v>
      </c>
      <c r="F48" t="s">
        <v>13</v>
      </c>
      <c r="G48" t="str">
        <f>VLOOKUP(A48,[1]Kreise!$A$1:$C$53,3,FALSE)</f>
        <v>K032</v>
      </c>
      <c r="H48">
        <v>84.688847812692543</v>
      </c>
    </row>
    <row r="49" spans="1:8">
      <c r="A49">
        <v>3</v>
      </c>
      <c r="B49" t="s">
        <v>32</v>
      </c>
      <c r="C49">
        <v>2011</v>
      </c>
      <c r="D49" t="s">
        <v>11</v>
      </c>
      <c r="E49" t="s">
        <v>4</v>
      </c>
      <c r="F49" t="s">
        <v>13</v>
      </c>
      <c r="G49" t="str">
        <f>VLOOKUP(A49,[1]Kreise!$A$1:$C$53,3,FALSE)</f>
        <v>K033</v>
      </c>
      <c r="H49">
        <v>90.789818945158757</v>
      </c>
    </row>
    <row r="50" spans="1:8">
      <c r="A50">
        <v>4</v>
      </c>
      <c r="B50" t="s">
        <v>33</v>
      </c>
      <c r="C50">
        <v>2011</v>
      </c>
      <c r="D50" t="s">
        <v>11</v>
      </c>
      <c r="E50" t="s">
        <v>4</v>
      </c>
      <c r="F50" t="s">
        <v>13</v>
      </c>
      <c r="G50" t="str">
        <f>VLOOKUP(A50,[1]Kreise!$A$1:$C$53,3,FALSE)</f>
        <v>K034</v>
      </c>
      <c r="H50">
        <v>89.929357647445372</v>
      </c>
    </row>
    <row r="51" spans="1:8">
      <c r="A51">
        <v>0</v>
      </c>
      <c r="B51" t="s">
        <v>34</v>
      </c>
      <c r="C51">
        <v>2011</v>
      </c>
      <c r="D51" t="s">
        <v>11</v>
      </c>
      <c r="E51" t="s">
        <v>4</v>
      </c>
      <c r="F51" t="s">
        <v>13</v>
      </c>
      <c r="G51" t="str">
        <f>VLOOKUP(A51,[1]Kreise!$A$1:$C$53,3,FALSE)</f>
        <v>K030</v>
      </c>
      <c r="H51">
        <v>88.63333121545206</v>
      </c>
    </row>
    <row r="52" spans="1:8">
      <c r="A52">
        <v>1</v>
      </c>
      <c r="B52" t="s">
        <v>145</v>
      </c>
      <c r="C52">
        <v>2010</v>
      </c>
      <c r="D52" t="s">
        <v>11</v>
      </c>
      <c r="E52" t="s">
        <v>4</v>
      </c>
      <c r="F52" t="s">
        <v>13</v>
      </c>
      <c r="G52" t="str">
        <f>VLOOKUP(A52,[1]Kreise!$A$1:$C$53,3,FALSE)</f>
        <v>K031</v>
      </c>
      <c r="H52">
        <v>86.239534037131421</v>
      </c>
    </row>
    <row r="53" spans="1:8">
      <c r="A53">
        <v>2</v>
      </c>
      <c r="B53" t="s">
        <v>146</v>
      </c>
      <c r="C53">
        <v>2010</v>
      </c>
      <c r="D53" t="s">
        <v>11</v>
      </c>
      <c r="E53" t="s">
        <v>4</v>
      </c>
      <c r="F53" t="s">
        <v>13</v>
      </c>
      <c r="G53" t="str">
        <f>VLOOKUP(A53,[1]Kreise!$A$1:$C$53,3,FALSE)</f>
        <v>K032</v>
      </c>
      <c r="H53">
        <v>83.760941744642309</v>
      </c>
    </row>
    <row r="54" spans="1:8">
      <c r="A54">
        <v>3</v>
      </c>
      <c r="B54" t="s">
        <v>147</v>
      </c>
      <c r="C54">
        <v>2010</v>
      </c>
      <c r="D54" t="s">
        <v>11</v>
      </c>
      <c r="E54" t="s">
        <v>4</v>
      </c>
      <c r="F54" t="s">
        <v>13</v>
      </c>
      <c r="G54" t="str">
        <f>VLOOKUP(A54,[1]Kreise!$A$1:$C$53,3,FALSE)</f>
        <v>K033</v>
      </c>
      <c r="H54">
        <v>90.6642259414226</v>
      </c>
    </row>
    <row r="55" spans="1:8">
      <c r="A55">
        <v>4</v>
      </c>
      <c r="B55" t="s">
        <v>148</v>
      </c>
      <c r="C55">
        <v>2010</v>
      </c>
      <c r="D55" t="s">
        <v>11</v>
      </c>
      <c r="E55" t="s">
        <v>4</v>
      </c>
      <c r="F55" t="s">
        <v>13</v>
      </c>
      <c r="G55" t="str">
        <f>VLOOKUP(A55,[1]Kreise!$A$1:$C$53,3,FALSE)</f>
        <v>K034</v>
      </c>
      <c r="H55">
        <v>90.694263363754885</v>
      </c>
    </row>
    <row r="56" spans="1:8">
      <c r="A56">
        <v>0</v>
      </c>
      <c r="B56" t="s">
        <v>34</v>
      </c>
      <c r="C56">
        <v>2010</v>
      </c>
      <c r="D56" t="s">
        <v>11</v>
      </c>
      <c r="E56" t="s">
        <v>4</v>
      </c>
      <c r="F56" t="s">
        <v>13</v>
      </c>
      <c r="G56" t="str">
        <f>VLOOKUP(A56,[1]Kreise!$A$1:$C$53,3,FALSE)</f>
        <v>K030</v>
      </c>
      <c r="H56">
        <v>88.489388264669174</v>
      </c>
    </row>
    <row r="57" spans="1:8">
      <c r="A57">
        <v>1</v>
      </c>
      <c r="B57" t="s">
        <v>145</v>
      </c>
      <c r="C57">
        <v>2005</v>
      </c>
      <c r="D57" t="s">
        <v>11</v>
      </c>
      <c r="E57" t="s">
        <v>4</v>
      </c>
      <c r="F57" t="s">
        <v>13</v>
      </c>
      <c r="G57" t="str">
        <f>VLOOKUP(A57,[1]Kreise!$A$1:$C$53,3,FALSE)</f>
        <v>K031</v>
      </c>
      <c r="H57">
        <v>86.913463805706201</v>
      </c>
    </row>
    <row r="58" spans="1:8">
      <c r="A58">
        <v>2</v>
      </c>
      <c r="B58" t="s">
        <v>146</v>
      </c>
      <c r="C58">
        <v>2005</v>
      </c>
      <c r="D58" t="s">
        <v>11</v>
      </c>
      <c r="E58" t="s">
        <v>4</v>
      </c>
      <c r="F58" t="s">
        <v>13</v>
      </c>
      <c r="G58" t="str">
        <f>VLOOKUP(A58,[1]Kreise!$A$1:$C$53,3,FALSE)</f>
        <v>K032</v>
      </c>
      <c r="H58">
        <v>85.288440917864037</v>
      </c>
    </row>
    <row r="59" spans="1:8">
      <c r="A59">
        <v>3</v>
      </c>
      <c r="B59" t="s">
        <v>147</v>
      </c>
      <c r="C59">
        <v>2005</v>
      </c>
      <c r="D59" t="s">
        <v>11</v>
      </c>
      <c r="E59" t="s">
        <v>4</v>
      </c>
      <c r="F59" t="s">
        <v>13</v>
      </c>
      <c r="G59" t="str">
        <f>VLOOKUP(A59,[1]Kreise!$A$1:$C$53,3,FALSE)</f>
        <v>K033</v>
      </c>
      <c r="H59">
        <v>90.577507598784194</v>
      </c>
    </row>
    <row r="60" spans="1:8">
      <c r="A60">
        <v>4</v>
      </c>
      <c r="B60" t="s">
        <v>148</v>
      </c>
      <c r="C60">
        <v>2005</v>
      </c>
      <c r="D60" t="s">
        <v>11</v>
      </c>
      <c r="E60" t="s">
        <v>4</v>
      </c>
      <c r="F60" t="s">
        <v>13</v>
      </c>
      <c r="G60" t="str">
        <f>VLOOKUP(A60,[1]Kreise!$A$1:$C$53,3,FALSE)</f>
        <v>K034</v>
      </c>
      <c r="H60">
        <v>92.082011780697783</v>
      </c>
    </row>
    <row r="61" spans="1:8">
      <c r="A61">
        <v>0</v>
      </c>
      <c r="B61" t="s">
        <v>34</v>
      </c>
      <c r="C61">
        <v>2005</v>
      </c>
      <c r="D61" t="s">
        <v>11</v>
      </c>
      <c r="E61" t="s">
        <v>4</v>
      </c>
      <c r="F61" t="s">
        <v>13</v>
      </c>
      <c r="G61" t="str">
        <f>VLOOKUP(A61,[1]Kreise!$A$1:$C$53,3,FALSE)</f>
        <v>K030</v>
      </c>
      <c r="H61">
        <v>89.423365487674161</v>
      </c>
    </row>
    <row r="62" spans="1:8">
      <c r="A62">
        <v>1</v>
      </c>
      <c r="B62" t="s">
        <v>30</v>
      </c>
      <c r="C62">
        <v>2020</v>
      </c>
      <c r="D62" t="s">
        <v>12</v>
      </c>
      <c r="E62" t="s">
        <v>4</v>
      </c>
      <c r="F62" t="s">
        <v>13</v>
      </c>
      <c r="G62" t="str">
        <f>VLOOKUP(A62,[1]Kreise!$A$1:$C$53,3,FALSE)</f>
        <v>K031</v>
      </c>
      <c r="H62">
        <v>29.37181663837012</v>
      </c>
    </row>
    <row r="63" spans="1:8">
      <c r="A63">
        <v>2</v>
      </c>
      <c r="B63" t="s">
        <v>31</v>
      </c>
      <c r="C63">
        <v>2020</v>
      </c>
      <c r="D63" t="s">
        <v>12</v>
      </c>
      <c r="E63" t="s">
        <v>4</v>
      </c>
      <c r="F63" t="s">
        <v>13</v>
      </c>
      <c r="G63" t="str">
        <f>VLOOKUP(A63,[1]Kreise!$A$1:$C$53,3,FALSE)</f>
        <v>K032</v>
      </c>
      <c r="H63">
        <v>31.827731092436974</v>
      </c>
    </row>
    <row r="64" spans="1:8">
      <c r="A64">
        <v>3</v>
      </c>
      <c r="B64" t="s">
        <v>32</v>
      </c>
      <c r="C64">
        <v>2020</v>
      </c>
      <c r="D64" t="s">
        <v>12</v>
      </c>
      <c r="E64" t="s">
        <v>4</v>
      </c>
      <c r="F64" t="s">
        <v>13</v>
      </c>
      <c r="G64" t="str">
        <f>VLOOKUP(A64,[1]Kreise!$A$1:$C$53,3,FALSE)</f>
        <v>K033</v>
      </c>
      <c r="H64">
        <v>19.275825346112885</v>
      </c>
    </row>
    <row r="65" spans="1:8">
      <c r="A65">
        <v>4</v>
      </c>
      <c r="B65" t="s">
        <v>33</v>
      </c>
      <c r="C65">
        <v>2020</v>
      </c>
      <c r="D65" t="s">
        <v>12</v>
      </c>
      <c r="E65" t="s">
        <v>4</v>
      </c>
      <c r="F65" t="s">
        <v>13</v>
      </c>
      <c r="G65" t="str">
        <f>VLOOKUP(A65,[1]Kreise!$A$1:$C$53,3,FALSE)</f>
        <v>K034</v>
      </c>
      <c r="H65">
        <v>24.696048632218844</v>
      </c>
    </row>
    <row r="66" spans="1:8">
      <c r="A66">
        <v>0</v>
      </c>
      <c r="B66" t="s">
        <v>34</v>
      </c>
      <c r="C66">
        <v>2020</v>
      </c>
      <c r="D66" t="s">
        <v>12</v>
      </c>
      <c r="E66" t="s">
        <v>4</v>
      </c>
      <c r="F66" t="s">
        <v>13</v>
      </c>
      <c r="G66" t="str">
        <f>VLOOKUP(A66,[1]Kreise!$A$1:$C$53,3,FALSE)</f>
        <v>K030</v>
      </c>
      <c r="H66">
        <v>26.339794754846068</v>
      </c>
    </row>
    <row r="67" spans="1:8">
      <c r="A67">
        <v>1</v>
      </c>
      <c r="B67" t="s">
        <v>30</v>
      </c>
      <c r="C67">
        <v>2019</v>
      </c>
      <c r="D67" t="s">
        <v>12</v>
      </c>
      <c r="E67" t="s">
        <v>4</v>
      </c>
      <c r="F67" t="s">
        <v>13</v>
      </c>
      <c r="G67" t="str">
        <f>VLOOKUP(A67,[1]Kreise!$A$1:$C$53,3,FALSE)</f>
        <v>K031</v>
      </c>
      <c r="H67">
        <v>28.068803752931977</v>
      </c>
    </row>
    <row r="68" spans="1:8">
      <c r="A68">
        <v>2</v>
      </c>
      <c r="B68" t="s">
        <v>31</v>
      </c>
      <c r="C68">
        <v>2019</v>
      </c>
      <c r="D68" t="s">
        <v>12</v>
      </c>
      <c r="E68" t="s">
        <v>4</v>
      </c>
      <c r="F68" t="s">
        <v>13</v>
      </c>
      <c r="G68" t="str">
        <f>VLOOKUP(A68,[1]Kreise!$A$1:$C$53,3,FALSE)</f>
        <v>K032</v>
      </c>
      <c r="H68">
        <v>30.019493177387911</v>
      </c>
    </row>
    <row r="69" spans="1:8">
      <c r="A69">
        <v>3</v>
      </c>
      <c r="B69" t="s">
        <v>32</v>
      </c>
      <c r="C69">
        <v>2019</v>
      </c>
      <c r="D69" t="s">
        <v>12</v>
      </c>
      <c r="E69" t="s">
        <v>4</v>
      </c>
      <c r="F69" t="s">
        <v>13</v>
      </c>
      <c r="G69" t="str">
        <f>VLOOKUP(A69,[1]Kreise!$A$1:$C$53,3,FALSE)</f>
        <v>K033</v>
      </c>
      <c r="H69">
        <v>18.257261410788381</v>
      </c>
    </row>
    <row r="70" spans="1:8">
      <c r="A70">
        <v>4</v>
      </c>
      <c r="B70" t="s">
        <v>33</v>
      </c>
      <c r="C70">
        <v>2019</v>
      </c>
      <c r="D70" t="s">
        <v>12</v>
      </c>
      <c r="E70" t="s">
        <v>4</v>
      </c>
      <c r="F70" t="s">
        <v>13</v>
      </c>
      <c r="G70" t="str">
        <f>VLOOKUP(A70,[1]Kreise!$A$1:$C$53,3,FALSE)</f>
        <v>K034</v>
      </c>
      <c r="H70">
        <v>23.350630096367681</v>
      </c>
    </row>
    <row r="71" spans="1:8">
      <c r="A71">
        <v>0</v>
      </c>
      <c r="B71" t="s">
        <v>34</v>
      </c>
      <c r="C71">
        <v>2019</v>
      </c>
      <c r="D71" t="s">
        <v>12</v>
      </c>
      <c r="E71" t="s">
        <v>4</v>
      </c>
      <c r="F71" t="s">
        <v>13</v>
      </c>
      <c r="G71" t="str">
        <f>VLOOKUP(A71,[1]Kreise!$A$1:$C$53,3,FALSE)</f>
        <v>K030</v>
      </c>
      <c r="H71">
        <v>25.075790385448244</v>
      </c>
    </row>
    <row r="72" spans="1:8">
      <c r="A72">
        <v>1</v>
      </c>
      <c r="B72" t="s">
        <v>30</v>
      </c>
      <c r="C72">
        <v>2018</v>
      </c>
      <c r="D72" t="s">
        <v>12</v>
      </c>
      <c r="E72" t="s">
        <v>4</v>
      </c>
      <c r="F72" t="s">
        <v>13</v>
      </c>
      <c r="G72" t="str">
        <f>VLOOKUP(A72,[1]Kreise!$A$1:$C$53,3,FALSE)</f>
        <v>K031</v>
      </c>
      <c r="H72">
        <v>26.097366320830005</v>
      </c>
    </row>
    <row r="73" spans="1:8">
      <c r="A73">
        <v>2</v>
      </c>
      <c r="B73" t="s">
        <v>31</v>
      </c>
      <c r="C73">
        <v>2018</v>
      </c>
      <c r="D73" t="s">
        <v>12</v>
      </c>
      <c r="E73" t="s">
        <v>4</v>
      </c>
      <c r="F73" t="s">
        <v>13</v>
      </c>
      <c r="G73" t="str">
        <f>VLOOKUP(A73,[1]Kreise!$A$1:$C$53,3,FALSE)</f>
        <v>K032</v>
      </c>
      <c r="H73">
        <v>30.671936758893281</v>
      </c>
    </row>
    <row r="74" spans="1:8">
      <c r="A74">
        <v>3</v>
      </c>
      <c r="B74" t="s">
        <v>32</v>
      </c>
      <c r="C74">
        <v>2018</v>
      </c>
      <c r="D74" t="s">
        <v>12</v>
      </c>
      <c r="E74" t="s">
        <v>4</v>
      </c>
      <c r="F74" t="s">
        <v>13</v>
      </c>
      <c r="G74" t="str">
        <f>VLOOKUP(A74,[1]Kreise!$A$1:$C$53,3,FALSE)</f>
        <v>K033</v>
      </c>
      <c r="H74">
        <v>16.450648055832502</v>
      </c>
    </row>
    <row r="75" spans="1:8">
      <c r="A75">
        <v>4</v>
      </c>
      <c r="B75" t="s">
        <v>33</v>
      </c>
      <c r="C75">
        <v>2018</v>
      </c>
      <c r="D75" t="s">
        <v>12</v>
      </c>
      <c r="E75" t="s">
        <v>4</v>
      </c>
      <c r="F75" t="s">
        <v>13</v>
      </c>
      <c r="G75" t="str">
        <f>VLOOKUP(A75,[1]Kreise!$A$1:$C$53,3,FALSE)</f>
        <v>K034</v>
      </c>
      <c r="H75">
        <v>20.90032154340836</v>
      </c>
    </row>
    <row r="76" spans="1:8">
      <c r="A76">
        <v>0</v>
      </c>
      <c r="B76" t="s">
        <v>34</v>
      </c>
      <c r="C76">
        <v>2018</v>
      </c>
      <c r="D76" t="s">
        <v>12</v>
      </c>
      <c r="E76" t="s">
        <v>4</v>
      </c>
      <c r="F76" t="s">
        <v>13</v>
      </c>
      <c r="G76" t="str">
        <f>VLOOKUP(A76,[1]Kreise!$A$1:$C$53,3,FALSE)</f>
        <v>K030</v>
      </c>
      <c r="H76">
        <v>23.739164696611507</v>
      </c>
    </row>
    <row r="77" spans="1:8">
      <c r="A77">
        <v>1</v>
      </c>
      <c r="B77" t="s">
        <v>30</v>
      </c>
      <c r="C77">
        <v>2017</v>
      </c>
      <c r="D77" t="s">
        <v>12</v>
      </c>
      <c r="E77" t="s">
        <v>4</v>
      </c>
      <c r="F77" t="s">
        <v>13</v>
      </c>
      <c r="G77" t="str">
        <f>VLOOKUP(A77,[1]Kreise!$A$1:$C$53,3,FALSE)</f>
        <v>K031</v>
      </c>
      <c r="H77">
        <v>22.727272727272727</v>
      </c>
    </row>
    <row r="78" spans="1:8">
      <c r="A78">
        <v>2</v>
      </c>
      <c r="B78" t="s">
        <v>31</v>
      </c>
      <c r="C78">
        <v>2017</v>
      </c>
      <c r="D78" t="s">
        <v>12</v>
      </c>
      <c r="E78" t="s">
        <v>4</v>
      </c>
      <c r="F78" t="s">
        <v>13</v>
      </c>
      <c r="G78" t="str">
        <f>VLOOKUP(A78,[1]Kreise!$A$1:$C$53,3,FALSE)</f>
        <v>K032</v>
      </c>
      <c r="H78">
        <v>27.614379084967322</v>
      </c>
    </row>
    <row r="79" spans="1:8">
      <c r="A79">
        <v>3</v>
      </c>
      <c r="B79" t="s">
        <v>32</v>
      </c>
      <c r="C79">
        <v>2017</v>
      </c>
      <c r="D79" t="s">
        <v>12</v>
      </c>
      <c r="E79" t="s">
        <v>4</v>
      </c>
      <c r="F79" t="s">
        <v>13</v>
      </c>
      <c r="G79" t="str">
        <f>VLOOKUP(A79,[1]Kreise!$A$1:$C$53,3,FALSE)</f>
        <v>K033</v>
      </c>
      <c r="H79">
        <v>16.251246261216352</v>
      </c>
    </row>
    <row r="80" spans="1:8">
      <c r="A80">
        <v>4</v>
      </c>
      <c r="B80" t="s">
        <v>33</v>
      </c>
      <c r="C80">
        <v>2017</v>
      </c>
      <c r="D80" t="s">
        <v>12</v>
      </c>
      <c r="E80" t="s">
        <v>4</v>
      </c>
      <c r="F80" t="s">
        <v>13</v>
      </c>
      <c r="G80" t="str">
        <f>VLOOKUP(A80,[1]Kreise!$A$1:$C$53,3,FALSE)</f>
        <v>K034</v>
      </c>
      <c r="H80">
        <v>16.398330351818725</v>
      </c>
    </row>
    <row r="81" spans="1:8">
      <c r="A81">
        <v>0</v>
      </c>
      <c r="B81" t="s">
        <v>34</v>
      </c>
      <c r="C81">
        <v>2017</v>
      </c>
      <c r="D81" t="s">
        <v>12</v>
      </c>
      <c r="E81" t="s">
        <v>4</v>
      </c>
      <c r="F81" t="s">
        <v>13</v>
      </c>
      <c r="G81" t="str">
        <f>VLOOKUP(A81,[1]Kreise!$A$1:$C$53,3,FALSE)</f>
        <v>K030</v>
      </c>
      <c r="H81">
        <v>20.588235294117645</v>
      </c>
    </row>
    <row r="82" spans="1:8">
      <c r="A82">
        <v>1</v>
      </c>
      <c r="B82" t="s">
        <v>30</v>
      </c>
      <c r="C82">
        <v>2016</v>
      </c>
      <c r="D82" t="s">
        <v>12</v>
      </c>
      <c r="E82" t="s">
        <v>4</v>
      </c>
      <c r="F82" t="s">
        <v>13</v>
      </c>
      <c r="G82" t="str">
        <f>VLOOKUP(A82,[1]Kreise!$A$1:$C$53,3,FALSE)</f>
        <v>K031</v>
      </c>
      <c r="H82">
        <v>18.596491228070175</v>
      </c>
    </row>
    <row r="83" spans="1:8">
      <c r="A83">
        <v>2</v>
      </c>
      <c r="B83" t="s">
        <v>31</v>
      </c>
      <c r="C83">
        <v>2016</v>
      </c>
      <c r="D83" t="s">
        <v>12</v>
      </c>
      <c r="E83" t="s">
        <v>4</v>
      </c>
      <c r="F83" t="s">
        <v>13</v>
      </c>
      <c r="G83" t="str">
        <f>VLOOKUP(A83,[1]Kreise!$A$1:$C$53,3,FALSE)</f>
        <v>K032</v>
      </c>
      <c r="H83">
        <v>21.155234657039713</v>
      </c>
    </row>
    <row r="84" spans="1:8">
      <c r="A84">
        <v>3</v>
      </c>
      <c r="B84" t="s">
        <v>32</v>
      </c>
      <c r="C84">
        <v>2016</v>
      </c>
      <c r="D84" t="s">
        <v>12</v>
      </c>
      <c r="E84" t="s">
        <v>4</v>
      </c>
      <c r="F84" t="s">
        <v>13</v>
      </c>
      <c r="G84" t="str">
        <f>VLOOKUP(A84,[1]Kreise!$A$1:$C$53,3,FALSE)</f>
        <v>K033</v>
      </c>
      <c r="H84">
        <v>15.656565656565657</v>
      </c>
    </row>
    <row r="85" spans="1:8">
      <c r="A85">
        <v>4</v>
      </c>
      <c r="B85" t="s">
        <v>33</v>
      </c>
      <c r="C85">
        <v>2016</v>
      </c>
      <c r="D85" t="s">
        <v>12</v>
      </c>
      <c r="E85" t="s">
        <v>4</v>
      </c>
      <c r="F85" t="s">
        <v>13</v>
      </c>
      <c r="G85" t="str">
        <f>VLOOKUP(A85,[1]Kreise!$A$1:$C$53,3,FALSE)</f>
        <v>K034</v>
      </c>
      <c r="H85">
        <v>15.676728334956183</v>
      </c>
    </row>
    <row r="86" spans="1:8">
      <c r="A86">
        <v>0</v>
      </c>
      <c r="B86" t="s">
        <v>34</v>
      </c>
      <c r="C86">
        <v>2016</v>
      </c>
      <c r="D86" t="s">
        <v>12</v>
      </c>
      <c r="E86" t="s">
        <v>4</v>
      </c>
      <c r="F86" t="s">
        <v>13</v>
      </c>
      <c r="G86" t="str">
        <f>VLOOKUP(A86,[1]Kreise!$A$1:$C$53,3,FALSE)</f>
        <v>K030</v>
      </c>
      <c r="H86">
        <v>17.61401189689359</v>
      </c>
    </row>
    <row r="87" spans="1:8">
      <c r="A87">
        <v>1</v>
      </c>
      <c r="B87" t="s">
        <v>30</v>
      </c>
      <c r="C87">
        <v>2015</v>
      </c>
      <c r="D87" t="s">
        <v>12</v>
      </c>
      <c r="E87" t="s">
        <v>4</v>
      </c>
      <c r="F87" t="s">
        <v>13</v>
      </c>
      <c r="G87" t="str">
        <f>VLOOKUP(A87,[1]Kreise!$A$1:$C$53,3,FALSE)</f>
        <v>K031</v>
      </c>
      <c r="H87">
        <v>15.507649513212796</v>
      </c>
    </row>
    <row r="88" spans="1:8">
      <c r="A88">
        <v>2</v>
      </c>
      <c r="B88" t="s">
        <v>31</v>
      </c>
      <c r="C88">
        <v>2015</v>
      </c>
      <c r="D88" t="s">
        <v>12</v>
      </c>
      <c r="E88" t="s">
        <v>4</v>
      </c>
      <c r="F88" t="s">
        <v>13</v>
      </c>
      <c r="G88" t="str">
        <f>VLOOKUP(A88,[1]Kreise!$A$1:$C$53,3,FALSE)</f>
        <v>K032</v>
      </c>
      <c r="H88">
        <v>20.143415906127771</v>
      </c>
    </row>
    <row r="89" spans="1:8">
      <c r="A89">
        <v>3</v>
      </c>
      <c r="B89" t="s">
        <v>32</v>
      </c>
      <c r="C89">
        <v>2015</v>
      </c>
      <c r="D89" t="s">
        <v>12</v>
      </c>
      <c r="E89" t="s">
        <v>4</v>
      </c>
      <c r="F89" t="s">
        <v>13</v>
      </c>
      <c r="G89" t="str">
        <f>VLOOKUP(A89,[1]Kreise!$A$1:$C$53,3,FALSE)</f>
        <v>K033</v>
      </c>
      <c r="H89">
        <v>14.602446483180428</v>
      </c>
    </row>
    <row r="90" spans="1:8">
      <c r="A90">
        <v>4</v>
      </c>
      <c r="B90" t="s">
        <v>33</v>
      </c>
      <c r="C90">
        <v>2015</v>
      </c>
      <c r="D90" t="s">
        <v>12</v>
      </c>
      <c r="E90" t="s">
        <v>4</v>
      </c>
      <c r="F90" t="s">
        <v>13</v>
      </c>
      <c r="G90" t="str">
        <f>VLOOKUP(A90,[1]Kreise!$A$1:$C$53,3,FALSE)</f>
        <v>K034</v>
      </c>
      <c r="H90">
        <v>13.982878108438646</v>
      </c>
    </row>
    <row r="91" spans="1:8">
      <c r="A91">
        <v>0</v>
      </c>
      <c r="B91" t="s">
        <v>34</v>
      </c>
      <c r="C91">
        <v>2015</v>
      </c>
      <c r="D91" t="s">
        <v>12</v>
      </c>
      <c r="E91" t="s">
        <v>4</v>
      </c>
      <c r="F91" t="s">
        <v>13</v>
      </c>
      <c r="G91" t="str">
        <f>VLOOKUP(A91,[1]Kreise!$A$1:$C$53,3,FALSE)</f>
        <v>K030</v>
      </c>
      <c r="H91">
        <v>15.832466953809595</v>
      </c>
    </row>
    <row r="92" spans="1:8">
      <c r="A92">
        <v>1</v>
      </c>
      <c r="B92" t="s">
        <v>145</v>
      </c>
      <c r="C92">
        <v>2014</v>
      </c>
      <c r="D92" t="s">
        <v>12</v>
      </c>
      <c r="E92" t="s">
        <v>4</v>
      </c>
      <c r="F92" t="s">
        <v>13</v>
      </c>
      <c r="G92" t="str">
        <f>VLOOKUP(A92,[1]Kreise!$A$1:$C$53,3,FALSE)</f>
        <v>K031</v>
      </c>
      <c r="H92">
        <v>13.499716392512761</v>
      </c>
    </row>
    <row r="93" spans="1:8">
      <c r="A93">
        <v>2</v>
      </c>
      <c r="B93" t="s">
        <v>146</v>
      </c>
      <c r="C93">
        <v>2014</v>
      </c>
      <c r="D93" t="s">
        <v>12</v>
      </c>
      <c r="E93" t="s">
        <v>4</v>
      </c>
      <c r="F93" t="s">
        <v>13</v>
      </c>
      <c r="G93" t="str">
        <f>VLOOKUP(A93,[1]Kreise!$A$1:$C$53,3,FALSE)</f>
        <v>K032</v>
      </c>
      <c r="H93">
        <v>15.90559261159569</v>
      </c>
    </row>
    <row r="94" spans="1:8">
      <c r="A94">
        <v>3</v>
      </c>
      <c r="B94" t="s">
        <v>147</v>
      </c>
      <c r="C94">
        <v>2014</v>
      </c>
      <c r="D94" t="s">
        <v>12</v>
      </c>
      <c r="E94" t="s">
        <v>4</v>
      </c>
      <c r="F94" t="s">
        <v>13</v>
      </c>
      <c r="G94" t="str">
        <f>VLOOKUP(A94,[1]Kreise!$A$1:$C$53,3,FALSE)</f>
        <v>K033</v>
      </c>
      <c r="H94">
        <v>10.959548447789276</v>
      </c>
    </row>
    <row r="95" spans="1:8">
      <c r="A95">
        <v>4</v>
      </c>
      <c r="B95" t="s">
        <v>148</v>
      </c>
      <c r="C95">
        <v>2014</v>
      </c>
      <c r="D95" t="s">
        <v>12</v>
      </c>
      <c r="E95" t="s">
        <v>4</v>
      </c>
      <c r="F95" t="s">
        <v>13</v>
      </c>
      <c r="G95" t="str">
        <f>VLOOKUP(A95,[1]Kreise!$A$1:$C$53,3,FALSE)</f>
        <v>K034</v>
      </c>
      <c r="H95">
        <v>12.584200857317821</v>
      </c>
    </row>
    <row r="96" spans="1:8">
      <c r="A96">
        <v>0</v>
      </c>
      <c r="B96" t="s">
        <v>34</v>
      </c>
      <c r="C96">
        <v>2014</v>
      </c>
      <c r="D96" t="s">
        <v>12</v>
      </c>
      <c r="E96" t="s">
        <v>4</v>
      </c>
      <c r="F96" t="s">
        <v>13</v>
      </c>
      <c r="G96" t="str">
        <f>VLOOKUP(A96,[1]Kreise!$A$1:$C$53,3,FALSE)</f>
        <v>K030</v>
      </c>
      <c r="H96">
        <v>13.093145869947275</v>
      </c>
    </row>
    <row r="97" spans="1:8">
      <c r="A97">
        <v>1</v>
      </c>
      <c r="B97" t="s">
        <v>30</v>
      </c>
      <c r="C97">
        <v>2013</v>
      </c>
      <c r="D97" t="s">
        <v>12</v>
      </c>
      <c r="E97" t="s">
        <v>4</v>
      </c>
      <c r="F97" t="s">
        <v>13</v>
      </c>
      <c r="G97" t="str">
        <f>VLOOKUP(A97,[1]Kreise!$A$1:$C$53,3,FALSE)</f>
        <v>K031</v>
      </c>
      <c r="H97">
        <v>12.334593572778827</v>
      </c>
    </row>
    <row r="98" spans="1:8">
      <c r="A98">
        <v>2</v>
      </c>
      <c r="B98" t="s">
        <v>31</v>
      </c>
      <c r="C98">
        <v>2013</v>
      </c>
      <c r="D98" t="s">
        <v>12</v>
      </c>
      <c r="E98" t="s">
        <v>4</v>
      </c>
      <c r="F98" t="s">
        <v>13</v>
      </c>
      <c r="G98" t="str">
        <f>VLOOKUP(A98,[1]Kreise!$A$1:$C$53,3,FALSE)</f>
        <v>K032</v>
      </c>
      <c r="H98">
        <v>15.939349112426035</v>
      </c>
    </row>
    <row r="99" spans="1:8">
      <c r="A99">
        <v>3</v>
      </c>
      <c r="B99" t="s">
        <v>32</v>
      </c>
      <c r="C99">
        <v>2013</v>
      </c>
      <c r="D99" t="s">
        <v>12</v>
      </c>
      <c r="E99" t="s">
        <v>4</v>
      </c>
      <c r="F99" t="s">
        <v>13</v>
      </c>
      <c r="G99" t="str">
        <f>VLOOKUP(A99,[1]Kreise!$A$1:$C$53,3,FALSE)</f>
        <v>K033</v>
      </c>
      <c r="H99">
        <v>8.8090853284223449</v>
      </c>
    </row>
    <row r="100" spans="1:8">
      <c r="A100">
        <v>4</v>
      </c>
      <c r="B100" t="s">
        <v>33</v>
      </c>
      <c r="C100">
        <v>2013</v>
      </c>
      <c r="D100" t="s">
        <v>12</v>
      </c>
      <c r="E100" t="s">
        <v>4</v>
      </c>
      <c r="F100" t="s">
        <v>13</v>
      </c>
      <c r="G100" t="str">
        <f>VLOOKUP(A100,[1]Kreise!$A$1:$C$53,3,FALSE)</f>
        <v>K034</v>
      </c>
      <c r="H100">
        <v>9.5992179863147609</v>
      </c>
    </row>
    <row r="101" spans="1:8">
      <c r="A101">
        <v>0</v>
      </c>
      <c r="B101" t="s">
        <v>34</v>
      </c>
      <c r="C101">
        <v>2013</v>
      </c>
      <c r="D101" t="s">
        <v>12</v>
      </c>
      <c r="E101" t="s">
        <v>4</v>
      </c>
      <c r="F101" t="s">
        <v>13</v>
      </c>
      <c r="G101" t="str">
        <f>VLOOKUP(A101,[1]Kreise!$A$1:$C$53,3,FALSE)</f>
        <v>K030</v>
      </c>
      <c r="H101">
        <v>11.142272417190934</v>
      </c>
    </row>
    <row r="102" spans="1:8">
      <c r="A102">
        <v>1</v>
      </c>
      <c r="B102" t="s">
        <v>145</v>
      </c>
      <c r="C102">
        <v>2012</v>
      </c>
      <c r="D102" t="s">
        <v>12</v>
      </c>
      <c r="E102" t="s">
        <v>4</v>
      </c>
      <c r="F102" t="s">
        <v>13</v>
      </c>
      <c r="G102" t="str">
        <f>VLOOKUP(A102,[1]Kreise!$A$1:$C$53,3,FALSE)</f>
        <v>K031</v>
      </c>
      <c r="H102">
        <v>12.56739941932808</v>
      </c>
    </row>
    <row r="103" spans="1:8">
      <c r="A103">
        <v>2</v>
      </c>
      <c r="B103" t="s">
        <v>146</v>
      </c>
      <c r="C103">
        <v>2012</v>
      </c>
      <c r="D103" t="s">
        <v>12</v>
      </c>
      <c r="E103" t="s">
        <v>4</v>
      </c>
      <c r="F103" t="s">
        <v>13</v>
      </c>
      <c r="G103" t="str">
        <f>VLOOKUP(A103,[1]Kreise!$A$1:$C$53,3,FALSE)</f>
        <v>K032</v>
      </c>
      <c r="H103">
        <v>16.045159083133768</v>
      </c>
    </row>
    <row r="104" spans="1:8">
      <c r="A104">
        <v>3</v>
      </c>
      <c r="B104" t="s">
        <v>147</v>
      </c>
      <c r="C104">
        <v>2012</v>
      </c>
      <c r="D104" t="s">
        <v>12</v>
      </c>
      <c r="E104" t="s">
        <v>4</v>
      </c>
      <c r="F104" t="s">
        <v>13</v>
      </c>
      <c r="G104" t="str">
        <f>VLOOKUP(A104,[1]Kreise!$A$1:$C$53,3,FALSE)</f>
        <v>K033</v>
      </c>
      <c r="H104">
        <v>9.6080165045682282</v>
      </c>
    </row>
    <row r="105" spans="1:8">
      <c r="A105">
        <v>4</v>
      </c>
      <c r="B105" t="s">
        <v>148</v>
      </c>
      <c r="C105">
        <v>2012</v>
      </c>
      <c r="D105" t="s">
        <v>12</v>
      </c>
      <c r="E105" t="s">
        <v>4</v>
      </c>
      <c r="F105" t="s">
        <v>13</v>
      </c>
      <c r="G105" t="str">
        <f>VLOOKUP(A105,[1]Kreise!$A$1:$C$53,3,FALSE)</f>
        <v>K034</v>
      </c>
      <c r="H105">
        <v>9.9928366762177649</v>
      </c>
    </row>
    <row r="106" spans="1:8">
      <c r="A106">
        <v>0</v>
      </c>
      <c r="B106" t="s">
        <v>34</v>
      </c>
      <c r="C106">
        <v>2012</v>
      </c>
      <c r="D106" t="s">
        <v>12</v>
      </c>
      <c r="E106" t="s">
        <v>4</v>
      </c>
      <c r="F106" t="s">
        <v>13</v>
      </c>
      <c r="G106" t="str">
        <f>VLOOKUP(A106,[1]Kreise!$A$1:$C$53,3,FALSE)</f>
        <v>K030</v>
      </c>
      <c r="H106">
        <v>11.571518412410034</v>
      </c>
    </row>
    <row r="107" spans="1:8">
      <c r="A107">
        <v>1</v>
      </c>
      <c r="B107" t="s">
        <v>30</v>
      </c>
      <c r="C107">
        <v>2011</v>
      </c>
      <c r="D107" t="s">
        <v>12</v>
      </c>
      <c r="E107" t="s">
        <v>4</v>
      </c>
      <c r="F107" t="s">
        <v>13</v>
      </c>
      <c r="G107" t="str">
        <f>VLOOKUP(A107,[1]Kreise!$A$1:$C$53,3,FALSE)</f>
        <v>K031</v>
      </c>
      <c r="H107">
        <v>12.639691714836223</v>
      </c>
    </row>
    <row r="108" spans="1:8">
      <c r="A108">
        <v>2</v>
      </c>
      <c r="B108" t="s">
        <v>31</v>
      </c>
      <c r="C108">
        <v>2011</v>
      </c>
      <c r="D108" t="s">
        <v>12</v>
      </c>
      <c r="E108" t="s">
        <v>4</v>
      </c>
      <c r="F108" t="s">
        <v>13</v>
      </c>
      <c r="G108" t="str">
        <f>VLOOKUP(A108,[1]Kreise!$A$1:$C$53,3,FALSE)</f>
        <v>K032</v>
      </c>
      <c r="H108">
        <v>15.311152187307457</v>
      </c>
    </row>
    <row r="109" spans="1:8">
      <c r="A109">
        <v>3</v>
      </c>
      <c r="B109" t="s">
        <v>32</v>
      </c>
      <c r="C109">
        <v>2011</v>
      </c>
      <c r="D109" t="s">
        <v>12</v>
      </c>
      <c r="E109" t="s">
        <v>4</v>
      </c>
      <c r="F109" t="s">
        <v>13</v>
      </c>
      <c r="G109" t="str">
        <f>VLOOKUP(A109,[1]Kreise!$A$1:$C$53,3,FALSE)</f>
        <v>K033</v>
      </c>
      <c r="H109">
        <v>9.2101810548412484</v>
      </c>
    </row>
    <row r="110" spans="1:8">
      <c r="A110">
        <v>4</v>
      </c>
      <c r="B110" t="s">
        <v>33</v>
      </c>
      <c r="C110">
        <v>2011</v>
      </c>
      <c r="D110" t="s">
        <v>12</v>
      </c>
      <c r="E110" t="s">
        <v>4</v>
      </c>
      <c r="F110" t="s">
        <v>13</v>
      </c>
      <c r="G110" t="str">
        <f>VLOOKUP(A110,[1]Kreise!$A$1:$C$53,3,FALSE)</f>
        <v>K034</v>
      </c>
      <c r="H110">
        <v>10.070642352554625</v>
      </c>
    </row>
    <row r="111" spans="1:8">
      <c r="A111">
        <v>0</v>
      </c>
      <c r="B111" t="s">
        <v>34</v>
      </c>
      <c r="C111">
        <v>2011</v>
      </c>
      <c r="D111" t="s">
        <v>12</v>
      </c>
      <c r="E111" t="s">
        <v>4</v>
      </c>
      <c r="F111" t="s">
        <v>13</v>
      </c>
      <c r="G111" t="str">
        <f>VLOOKUP(A111,[1]Kreise!$A$1:$C$53,3,FALSE)</f>
        <v>K030</v>
      </c>
      <c r="H111">
        <v>11.366668784547938</v>
      </c>
    </row>
    <row r="112" spans="1:8">
      <c r="A112">
        <v>1</v>
      </c>
      <c r="B112" t="s">
        <v>145</v>
      </c>
      <c r="C112">
        <v>2010</v>
      </c>
      <c r="D112" t="s">
        <v>12</v>
      </c>
      <c r="E112" t="s">
        <v>4</v>
      </c>
      <c r="F112" t="s">
        <v>13</v>
      </c>
      <c r="G112" t="str">
        <f>VLOOKUP(A112,[1]Kreise!$A$1:$C$53,3,FALSE)</f>
        <v>K031</v>
      </c>
      <c r="H112">
        <v>13.760465962868585</v>
      </c>
    </row>
    <row r="113" spans="1:8">
      <c r="A113">
        <v>2</v>
      </c>
      <c r="B113" t="s">
        <v>146</v>
      </c>
      <c r="C113">
        <v>2010</v>
      </c>
      <c r="D113" t="s">
        <v>12</v>
      </c>
      <c r="E113" t="s">
        <v>4</v>
      </c>
      <c r="F113" t="s">
        <v>13</v>
      </c>
      <c r="G113" t="str">
        <f>VLOOKUP(A113,[1]Kreise!$A$1:$C$53,3,FALSE)</f>
        <v>K032</v>
      </c>
      <c r="H113">
        <v>16.239058255357683</v>
      </c>
    </row>
    <row r="114" spans="1:8">
      <c r="A114">
        <v>3</v>
      </c>
      <c r="B114" t="s">
        <v>147</v>
      </c>
      <c r="C114">
        <v>2010</v>
      </c>
      <c r="D114" t="s">
        <v>12</v>
      </c>
      <c r="E114" t="s">
        <v>4</v>
      </c>
      <c r="F114" t="s">
        <v>13</v>
      </c>
      <c r="G114" t="str">
        <f>VLOOKUP(A114,[1]Kreise!$A$1:$C$53,3,FALSE)</f>
        <v>K033</v>
      </c>
      <c r="H114">
        <v>9.3357740585774067</v>
      </c>
    </row>
    <row r="115" spans="1:8">
      <c r="A115">
        <v>4</v>
      </c>
      <c r="B115" t="s">
        <v>148</v>
      </c>
      <c r="C115">
        <v>2010</v>
      </c>
      <c r="D115" t="s">
        <v>12</v>
      </c>
      <c r="E115" t="s">
        <v>4</v>
      </c>
      <c r="F115" t="s">
        <v>13</v>
      </c>
      <c r="G115" t="str">
        <f>VLOOKUP(A115,[1]Kreise!$A$1:$C$53,3,FALSE)</f>
        <v>K034</v>
      </c>
      <c r="H115">
        <v>9.3057366362451113</v>
      </c>
    </row>
    <row r="116" spans="1:8">
      <c r="A116">
        <v>0</v>
      </c>
      <c r="B116" t="s">
        <v>34</v>
      </c>
      <c r="C116">
        <v>2010</v>
      </c>
      <c r="D116" t="s">
        <v>12</v>
      </c>
      <c r="E116" t="s">
        <v>4</v>
      </c>
      <c r="F116" t="s">
        <v>13</v>
      </c>
      <c r="G116" t="str">
        <f>VLOOKUP(A116,[1]Kreise!$A$1:$C$53,3,FALSE)</f>
        <v>K030</v>
      </c>
      <c r="H116">
        <v>11.510611735330837</v>
      </c>
    </row>
    <row r="117" spans="1:8">
      <c r="A117">
        <v>1</v>
      </c>
      <c r="B117" t="s">
        <v>145</v>
      </c>
      <c r="C117">
        <v>2005</v>
      </c>
      <c r="D117" t="s">
        <v>12</v>
      </c>
      <c r="E117" t="s">
        <v>4</v>
      </c>
      <c r="F117" t="s">
        <v>13</v>
      </c>
      <c r="G117" t="str">
        <f>VLOOKUP(A117,[1]Kreise!$A$1:$C$53,3,FALSE)</f>
        <v>K031</v>
      </c>
      <c r="H117">
        <v>13.086536194293799</v>
      </c>
    </row>
    <row r="118" spans="1:8">
      <c r="A118">
        <v>2</v>
      </c>
      <c r="B118" t="s">
        <v>146</v>
      </c>
      <c r="C118">
        <v>2005</v>
      </c>
      <c r="D118" t="s">
        <v>12</v>
      </c>
      <c r="E118" t="s">
        <v>4</v>
      </c>
      <c r="F118" t="s">
        <v>13</v>
      </c>
      <c r="G118" t="str">
        <f>VLOOKUP(A118,[1]Kreise!$A$1:$C$53,3,FALSE)</f>
        <v>K032</v>
      </c>
      <c r="H118">
        <v>14.711559082135963</v>
      </c>
    </row>
    <row r="119" spans="1:8">
      <c r="A119">
        <v>3</v>
      </c>
      <c r="B119" t="s">
        <v>147</v>
      </c>
      <c r="C119">
        <v>2005</v>
      </c>
      <c r="D119" t="s">
        <v>12</v>
      </c>
      <c r="E119" t="s">
        <v>4</v>
      </c>
      <c r="F119" t="s">
        <v>13</v>
      </c>
      <c r="G119" t="str">
        <f>VLOOKUP(A119,[1]Kreise!$A$1:$C$53,3,FALSE)</f>
        <v>K033</v>
      </c>
      <c r="H119">
        <v>9.4224924012158056</v>
      </c>
    </row>
    <row r="120" spans="1:8">
      <c r="A120">
        <v>4</v>
      </c>
      <c r="B120" t="s">
        <v>148</v>
      </c>
      <c r="C120">
        <v>2005</v>
      </c>
      <c r="D120" t="s">
        <v>12</v>
      </c>
      <c r="E120" t="s">
        <v>4</v>
      </c>
      <c r="F120" t="s">
        <v>13</v>
      </c>
      <c r="G120" t="str">
        <f>VLOOKUP(A120,[1]Kreise!$A$1:$C$53,3,FALSE)</f>
        <v>K034</v>
      </c>
      <c r="H120">
        <v>7.9179882193022202</v>
      </c>
    </row>
    <row r="121" spans="1:8">
      <c r="A121">
        <v>0</v>
      </c>
      <c r="B121" t="s">
        <v>34</v>
      </c>
      <c r="C121">
        <v>2005</v>
      </c>
      <c r="D121" t="s">
        <v>12</v>
      </c>
      <c r="E121" t="s">
        <v>4</v>
      </c>
      <c r="F121" t="s">
        <v>13</v>
      </c>
      <c r="G121" t="str">
        <f>VLOOKUP(A121,[1]Kreise!$A$1:$C$53,3,FALSE)</f>
        <v>K030</v>
      </c>
      <c r="H121">
        <v>10.57663451232583</v>
      </c>
    </row>
    <row r="122" spans="1:8">
      <c r="A122">
        <v>1</v>
      </c>
      <c r="B122" t="s">
        <v>30</v>
      </c>
      <c r="C122">
        <v>2020</v>
      </c>
      <c r="D122" t="s">
        <v>11</v>
      </c>
      <c r="E122" t="s">
        <v>5</v>
      </c>
      <c r="F122" t="s">
        <v>13</v>
      </c>
      <c r="G122" t="str">
        <f>VLOOKUP(A122,[1]Kreise!$A$1:$C$53,3,FALSE)</f>
        <v>K031</v>
      </c>
      <c r="H122">
        <v>88.866956178444539</v>
      </c>
    </row>
    <row r="123" spans="1:8">
      <c r="A123">
        <v>2</v>
      </c>
      <c r="B123" t="s">
        <v>31</v>
      </c>
      <c r="C123">
        <v>2020</v>
      </c>
      <c r="D123" t="s">
        <v>11</v>
      </c>
      <c r="E123" t="s">
        <v>5</v>
      </c>
      <c r="F123" t="s">
        <v>13</v>
      </c>
      <c r="G123" t="str">
        <f>VLOOKUP(A123,[1]Kreise!$A$1:$C$53,3,FALSE)</f>
        <v>K032</v>
      </c>
      <c r="H123">
        <v>86.927449013707786</v>
      </c>
    </row>
    <row r="124" spans="1:8">
      <c r="A124">
        <v>3</v>
      </c>
      <c r="B124" t="s">
        <v>32</v>
      </c>
      <c r="C124">
        <v>2020</v>
      </c>
      <c r="D124" t="s">
        <v>11</v>
      </c>
      <c r="E124" t="s">
        <v>5</v>
      </c>
      <c r="F124" t="s">
        <v>13</v>
      </c>
      <c r="G124" t="str">
        <f>VLOOKUP(A124,[1]Kreise!$A$1:$C$53,3,FALSE)</f>
        <v>K033</v>
      </c>
      <c r="H124">
        <v>91.538461538461533</v>
      </c>
    </row>
    <row r="125" spans="1:8">
      <c r="A125">
        <v>4</v>
      </c>
      <c r="B125" t="s">
        <v>33</v>
      </c>
      <c r="C125">
        <v>2020</v>
      </c>
      <c r="D125" t="s">
        <v>11</v>
      </c>
      <c r="E125" t="s">
        <v>5</v>
      </c>
      <c r="F125" t="s">
        <v>13</v>
      </c>
      <c r="G125" t="str">
        <f>VLOOKUP(A125,[1]Kreise!$A$1:$C$53,3,FALSE)</f>
        <v>K034</v>
      </c>
      <c r="H125">
        <v>90.189642596644788</v>
      </c>
    </row>
    <row r="126" spans="1:8">
      <c r="A126">
        <v>0</v>
      </c>
      <c r="B126" t="s">
        <v>34</v>
      </c>
      <c r="C126">
        <v>2020</v>
      </c>
      <c r="D126" t="s">
        <v>11</v>
      </c>
      <c r="E126" t="s">
        <v>5</v>
      </c>
      <c r="F126" t="s">
        <v>13</v>
      </c>
      <c r="G126" t="str">
        <f>VLOOKUP(A126,[1]Kreise!$A$1:$C$53,3,FALSE)</f>
        <v>K030</v>
      </c>
      <c r="H126">
        <v>89.193891358979315</v>
      </c>
    </row>
    <row r="127" spans="1:8">
      <c r="A127">
        <v>1</v>
      </c>
      <c r="B127" t="s">
        <v>30</v>
      </c>
      <c r="C127">
        <v>2019</v>
      </c>
      <c r="D127" t="s">
        <v>11</v>
      </c>
      <c r="E127" t="s">
        <v>5</v>
      </c>
      <c r="F127" t="s">
        <v>13</v>
      </c>
      <c r="G127" t="str">
        <f>VLOOKUP(A127,[1]Kreise!$A$1:$C$53,3,FALSE)</f>
        <v>K031</v>
      </c>
      <c r="H127">
        <v>88.690022848438687</v>
      </c>
    </row>
    <row r="128" spans="1:8">
      <c r="A128">
        <v>2</v>
      </c>
      <c r="B128" t="s">
        <v>31</v>
      </c>
      <c r="C128">
        <v>2019</v>
      </c>
      <c r="D128" t="s">
        <v>11</v>
      </c>
      <c r="E128" t="s">
        <v>5</v>
      </c>
      <c r="F128" t="s">
        <v>13</v>
      </c>
      <c r="G128" t="str">
        <f>VLOOKUP(A128,[1]Kreise!$A$1:$C$53,3,FALSE)</f>
        <v>K032</v>
      </c>
      <c r="H128">
        <v>87.109249113760882</v>
      </c>
    </row>
    <row r="129" spans="1:8">
      <c r="A129">
        <v>3</v>
      </c>
      <c r="B129" t="s">
        <v>32</v>
      </c>
      <c r="C129">
        <v>2019</v>
      </c>
      <c r="D129" t="s">
        <v>11</v>
      </c>
      <c r="E129" t="s">
        <v>5</v>
      </c>
      <c r="F129" t="s">
        <v>13</v>
      </c>
      <c r="G129" t="str">
        <f>VLOOKUP(A129,[1]Kreise!$A$1:$C$53,3,FALSE)</f>
        <v>K033</v>
      </c>
      <c r="H129">
        <v>92.666051660516601</v>
      </c>
    </row>
    <row r="130" spans="1:8">
      <c r="A130">
        <v>4</v>
      </c>
      <c r="B130" t="s">
        <v>33</v>
      </c>
      <c r="C130">
        <v>2019</v>
      </c>
      <c r="D130" t="s">
        <v>11</v>
      </c>
      <c r="E130" t="s">
        <v>5</v>
      </c>
      <c r="F130" t="s">
        <v>13</v>
      </c>
      <c r="G130" t="str">
        <f>VLOOKUP(A130,[1]Kreise!$A$1:$C$53,3,FALSE)</f>
        <v>K034</v>
      </c>
      <c r="H130">
        <v>91.80921052631578</v>
      </c>
    </row>
    <row r="131" spans="1:8">
      <c r="A131">
        <v>0</v>
      </c>
      <c r="B131" t="s">
        <v>34</v>
      </c>
      <c r="C131">
        <v>2019</v>
      </c>
      <c r="D131" t="s">
        <v>11</v>
      </c>
      <c r="E131" t="s">
        <v>5</v>
      </c>
      <c r="F131" t="s">
        <v>13</v>
      </c>
      <c r="G131" t="str">
        <f>VLOOKUP(A131,[1]Kreise!$A$1:$C$53,3,FALSE)</f>
        <v>K030</v>
      </c>
      <c r="H131">
        <v>89.896680991131035</v>
      </c>
    </row>
    <row r="132" spans="1:8">
      <c r="A132">
        <v>1</v>
      </c>
      <c r="B132" t="s">
        <v>30</v>
      </c>
      <c r="C132">
        <v>2018</v>
      </c>
      <c r="D132" t="s">
        <v>11</v>
      </c>
      <c r="E132" t="s">
        <v>5</v>
      </c>
      <c r="F132" t="s">
        <v>13</v>
      </c>
      <c r="G132" t="str">
        <f>VLOOKUP(A132,[1]Kreise!$A$1:$C$53,3,FALSE)</f>
        <v>K031</v>
      </c>
      <c r="H132">
        <v>90.558103975535161</v>
      </c>
    </row>
    <row r="133" spans="1:8">
      <c r="A133">
        <v>2</v>
      </c>
      <c r="B133" t="s">
        <v>31</v>
      </c>
      <c r="C133">
        <v>2018</v>
      </c>
      <c r="D133" t="s">
        <v>11</v>
      </c>
      <c r="E133" t="s">
        <v>5</v>
      </c>
      <c r="F133" t="s">
        <v>13</v>
      </c>
      <c r="G133" t="str">
        <f>VLOOKUP(A133,[1]Kreise!$A$1:$C$53,3,FALSE)</f>
        <v>K032</v>
      </c>
      <c r="H133">
        <v>86.256200758681061</v>
      </c>
    </row>
    <row r="134" spans="1:8">
      <c r="A134">
        <v>3</v>
      </c>
      <c r="B134" t="s">
        <v>32</v>
      </c>
      <c r="C134">
        <v>2018</v>
      </c>
      <c r="D134" t="s">
        <v>11</v>
      </c>
      <c r="E134" t="s">
        <v>5</v>
      </c>
      <c r="F134" t="s">
        <v>13</v>
      </c>
      <c r="G134" t="str">
        <f>VLOOKUP(A134,[1]Kreise!$A$1:$C$53,3,FALSE)</f>
        <v>K033</v>
      </c>
      <c r="H134">
        <v>93.519751442521084</v>
      </c>
    </row>
    <row r="135" spans="1:8">
      <c r="A135">
        <v>4</v>
      </c>
      <c r="B135" t="s">
        <v>33</v>
      </c>
      <c r="C135">
        <v>2018</v>
      </c>
      <c r="D135" t="s">
        <v>11</v>
      </c>
      <c r="E135" t="s">
        <v>5</v>
      </c>
      <c r="F135" t="s">
        <v>13</v>
      </c>
      <c r="G135" t="str">
        <f>VLOOKUP(A135,[1]Kreise!$A$1:$C$53,3,FALSE)</f>
        <v>K034</v>
      </c>
      <c r="H135">
        <v>91.854636591478695</v>
      </c>
    </row>
    <row r="136" spans="1:8">
      <c r="A136">
        <v>0</v>
      </c>
      <c r="B136" t="s">
        <v>34</v>
      </c>
      <c r="C136">
        <v>2018</v>
      </c>
      <c r="D136" t="s">
        <v>11</v>
      </c>
      <c r="E136" t="s">
        <v>5</v>
      </c>
      <c r="F136" t="s">
        <v>13</v>
      </c>
      <c r="G136" t="str">
        <f>VLOOKUP(A136,[1]Kreise!$A$1:$C$53,3,FALSE)</f>
        <v>K030</v>
      </c>
      <c r="H136">
        <v>90.215877437325915</v>
      </c>
    </row>
    <row r="137" spans="1:8">
      <c r="A137">
        <v>1</v>
      </c>
      <c r="B137" t="s">
        <v>30</v>
      </c>
      <c r="C137">
        <v>2017</v>
      </c>
      <c r="D137" t="s">
        <v>11</v>
      </c>
      <c r="E137" t="s">
        <v>5</v>
      </c>
      <c r="F137" t="s">
        <v>13</v>
      </c>
      <c r="G137" t="str">
        <f>VLOOKUP(A137,[1]Kreise!$A$1:$C$53,3,FALSE)</f>
        <v>K031</v>
      </c>
      <c r="H137">
        <v>90.634110787172006</v>
      </c>
    </row>
    <row r="138" spans="1:8">
      <c r="A138">
        <v>2</v>
      </c>
      <c r="B138" t="s">
        <v>31</v>
      </c>
      <c r="C138">
        <v>2017</v>
      </c>
      <c r="D138" t="s">
        <v>11</v>
      </c>
      <c r="E138" t="s">
        <v>5</v>
      </c>
      <c r="F138" t="s">
        <v>13</v>
      </c>
      <c r="G138" t="str">
        <f>VLOOKUP(A138,[1]Kreise!$A$1:$C$53,3,FALSE)</f>
        <v>K032</v>
      </c>
      <c r="H138">
        <v>88.401775804661483</v>
      </c>
    </row>
    <row r="139" spans="1:8">
      <c r="A139">
        <v>3</v>
      </c>
      <c r="B139" t="s">
        <v>32</v>
      </c>
      <c r="C139">
        <v>2017</v>
      </c>
      <c r="D139" t="s">
        <v>11</v>
      </c>
      <c r="E139" t="s">
        <v>5</v>
      </c>
      <c r="F139" t="s">
        <v>13</v>
      </c>
      <c r="G139" t="str">
        <f>VLOOKUP(A139,[1]Kreise!$A$1:$C$53,3,FALSE)</f>
        <v>K033</v>
      </c>
      <c r="H139">
        <v>94.031141868512108</v>
      </c>
    </row>
    <row r="140" spans="1:8">
      <c r="A140">
        <v>4</v>
      </c>
      <c r="B140" t="s">
        <v>33</v>
      </c>
      <c r="C140">
        <v>2017</v>
      </c>
      <c r="D140" t="s">
        <v>11</v>
      </c>
      <c r="E140" t="s">
        <v>5</v>
      </c>
      <c r="F140" t="s">
        <v>13</v>
      </c>
      <c r="G140" t="str">
        <f>VLOOKUP(A140,[1]Kreise!$A$1:$C$53,3,FALSE)</f>
        <v>K034</v>
      </c>
      <c r="H140">
        <v>92.655217965653904</v>
      </c>
    </row>
    <row r="141" spans="1:8">
      <c r="A141">
        <v>0</v>
      </c>
      <c r="B141" t="s">
        <v>34</v>
      </c>
      <c r="C141">
        <v>2017</v>
      </c>
      <c r="D141" t="s">
        <v>11</v>
      </c>
      <c r="E141" t="s">
        <v>5</v>
      </c>
      <c r="F141" t="s">
        <v>13</v>
      </c>
      <c r="G141" t="str">
        <f>VLOOKUP(A141,[1]Kreise!$A$1:$C$53,3,FALSE)</f>
        <v>K030</v>
      </c>
      <c r="H141">
        <v>91.233427079148257</v>
      </c>
    </row>
    <row r="142" spans="1:8">
      <c r="A142">
        <v>1</v>
      </c>
      <c r="B142" t="s">
        <v>30</v>
      </c>
      <c r="C142">
        <v>2016</v>
      </c>
      <c r="D142" t="s">
        <v>11</v>
      </c>
      <c r="E142" t="s">
        <v>5</v>
      </c>
      <c r="F142" t="s">
        <v>13</v>
      </c>
      <c r="G142" t="str">
        <f>VLOOKUP(A142,[1]Kreise!$A$1:$C$53,3,FALSE)</f>
        <v>K031</v>
      </c>
      <c r="H142">
        <v>90.344337948171813</v>
      </c>
    </row>
    <row r="143" spans="1:8">
      <c r="A143">
        <v>2</v>
      </c>
      <c r="B143" t="s">
        <v>31</v>
      </c>
      <c r="C143">
        <v>2016</v>
      </c>
      <c r="D143" t="s">
        <v>11</v>
      </c>
      <c r="E143" t="s">
        <v>5</v>
      </c>
      <c r="F143" t="s">
        <v>13</v>
      </c>
      <c r="G143" t="str">
        <f>VLOOKUP(A143,[1]Kreise!$A$1:$C$53,3,FALSE)</f>
        <v>K032</v>
      </c>
      <c r="H143">
        <v>89.614395886889469</v>
      </c>
    </row>
    <row r="144" spans="1:8">
      <c r="A144">
        <v>3</v>
      </c>
      <c r="B144" t="s">
        <v>32</v>
      </c>
      <c r="C144">
        <v>2016</v>
      </c>
      <c r="D144" t="s">
        <v>11</v>
      </c>
      <c r="E144" t="s">
        <v>5</v>
      </c>
      <c r="F144" t="s">
        <v>13</v>
      </c>
      <c r="G144" t="str">
        <f>VLOOKUP(A144,[1]Kreise!$A$1:$C$53,3,FALSE)</f>
        <v>K033</v>
      </c>
      <c r="H144">
        <v>94.15384615384616</v>
      </c>
    </row>
    <row r="145" spans="1:8">
      <c r="A145">
        <v>4</v>
      </c>
      <c r="B145" t="s">
        <v>33</v>
      </c>
      <c r="C145">
        <v>2016</v>
      </c>
      <c r="D145" t="s">
        <v>11</v>
      </c>
      <c r="E145" t="s">
        <v>5</v>
      </c>
      <c r="F145" t="s">
        <v>13</v>
      </c>
      <c r="G145" t="str">
        <f>VLOOKUP(A145,[1]Kreise!$A$1:$C$53,3,FALSE)</f>
        <v>K034</v>
      </c>
      <c r="H145">
        <v>93.7020316027088</v>
      </c>
    </row>
    <row r="146" spans="1:8">
      <c r="A146">
        <v>0</v>
      </c>
      <c r="B146" t="s">
        <v>34</v>
      </c>
      <c r="C146">
        <v>2016</v>
      </c>
      <c r="D146" t="s">
        <v>11</v>
      </c>
      <c r="E146" t="s">
        <v>5</v>
      </c>
      <c r="F146" t="s">
        <v>13</v>
      </c>
      <c r="G146" t="str">
        <f>VLOOKUP(A146,[1]Kreise!$A$1:$C$53,3,FALSE)</f>
        <v>K030</v>
      </c>
      <c r="H146">
        <v>91.941471937104168</v>
      </c>
    </row>
    <row r="147" spans="1:8">
      <c r="A147">
        <v>1</v>
      </c>
      <c r="B147" t="s">
        <v>30</v>
      </c>
      <c r="C147">
        <v>2015</v>
      </c>
      <c r="D147" t="s">
        <v>11</v>
      </c>
      <c r="E147" t="s">
        <v>5</v>
      </c>
      <c r="F147" t="s">
        <v>13</v>
      </c>
      <c r="G147" t="str">
        <f>VLOOKUP(A147,[1]Kreise!$A$1:$C$53,3,FALSE)</f>
        <v>K031</v>
      </c>
      <c r="H147">
        <v>93.181076672104396</v>
      </c>
    </row>
    <row r="148" spans="1:8">
      <c r="A148">
        <v>2</v>
      </c>
      <c r="B148" t="s">
        <v>31</v>
      </c>
      <c r="C148">
        <v>2015</v>
      </c>
      <c r="D148" t="s">
        <v>11</v>
      </c>
      <c r="E148" t="s">
        <v>5</v>
      </c>
      <c r="F148" t="s">
        <v>13</v>
      </c>
      <c r="G148" t="str">
        <f>VLOOKUP(A148,[1]Kreise!$A$1:$C$53,3,FALSE)</f>
        <v>K032</v>
      </c>
      <c r="H148">
        <v>91.330596474281577</v>
      </c>
    </row>
    <row r="149" spans="1:8">
      <c r="A149">
        <v>3</v>
      </c>
      <c r="B149" t="s">
        <v>32</v>
      </c>
      <c r="C149">
        <v>2015</v>
      </c>
      <c r="D149" t="s">
        <v>11</v>
      </c>
      <c r="E149" t="s">
        <v>5</v>
      </c>
      <c r="F149" t="s">
        <v>13</v>
      </c>
      <c r="G149" t="str">
        <f>VLOOKUP(A149,[1]Kreise!$A$1:$C$53,3,FALSE)</f>
        <v>K033</v>
      </c>
      <c r="H149">
        <v>96.382252559726965</v>
      </c>
    </row>
    <row r="150" spans="1:8">
      <c r="A150">
        <v>4</v>
      </c>
      <c r="B150" t="s">
        <v>33</v>
      </c>
      <c r="C150">
        <v>2015</v>
      </c>
      <c r="D150" t="s">
        <v>11</v>
      </c>
      <c r="E150" t="s">
        <v>5</v>
      </c>
      <c r="F150" t="s">
        <v>13</v>
      </c>
      <c r="G150" t="str">
        <f>VLOOKUP(A150,[1]Kreise!$A$1:$C$53,3,FALSE)</f>
        <v>K034</v>
      </c>
      <c r="H150">
        <v>95.14910536779324</v>
      </c>
    </row>
    <row r="151" spans="1:8">
      <c r="A151">
        <v>0</v>
      </c>
      <c r="B151" t="s">
        <v>34</v>
      </c>
      <c r="C151">
        <v>2015</v>
      </c>
      <c r="D151" t="s">
        <v>11</v>
      </c>
      <c r="E151" t="s">
        <v>5</v>
      </c>
      <c r="F151" t="s">
        <v>13</v>
      </c>
      <c r="G151" t="str">
        <f>VLOOKUP(A151,[1]Kreise!$A$1:$C$53,3,FALSE)</f>
        <v>K030</v>
      </c>
      <c r="H151">
        <v>93.946986680733218</v>
      </c>
    </row>
    <row r="152" spans="1:8">
      <c r="A152">
        <v>1</v>
      </c>
      <c r="B152" t="s">
        <v>145</v>
      </c>
      <c r="C152">
        <v>2014</v>
      </c>
      <c r="D152" t="s">
        <v>11</v>
      </c>
      <c r="E152" t="s">
        <v>5</v>
      </c>
      <c r="F152" t="s">
        <v>13</v>
      </c>
      <c r="G152" t="str">
        <f>VLOOKUP(A152,[1]Kreise!$A$1:$C$53,3,FALSE)</f>
        <v>K031</v>
      </c>
      <c r="H152">
        <v>93.81606765327696</v>
      </c>
    </row>
    <row r="153" spans="1:8">
      <c r="A153">
        <v>2</v>
      </c>
      <c r="B153" t="s">
        <v>146</v>
      </c>
      <c r="C153">
        <v>2014</v>
      </c>
      <c r="D153" t="s">
        <v>11</v>
      </c>
      <c r="E153" t="s">
        <v>5</v>
      </c>
      <c r="F153" t="s">
        <v>13</v>
      </c>
      <c r="G153" t="str">
        <f>VLOOKUP(A153,[1]Kreise!$A$1:$C$53,3,FALSE)</f>
        <v>K032</v>
      </c>
      <c r="H153">
        <v>91.752360965372503</v>
      </c>
    </row>
    <row r="154" spans="1:8">
      <c r="A154">
        <v>3</v>
      </c>
      <c r="B154" t="s">
        <v>147</v>
      </c>
      <c r="C154">
        <v>2014</v>
      </c>
      <c r="D154" t="s">
        <v>11</v>
      </c>
      <c r="E154" t="s">
        <v>5</v>
      </c>
      <c r="F154" t="s">
        <v>13</v>
      </c>
      <c r="G154" t="str">
        <f>VLOOKUP(A154,[1]Kreise!$A$1:$C$53,3,FALSE)</f>
        <v>K033</v>
      </c>
      <c r="H154">
        <v>96.707070707070713</v>
      </c>
    </row>
    <row r="155" spans="1:8">
      <c r="A155">
        <v>4</v>
      </c>
      <c r="B155" t="s">
        <v>148</v>
      </c>
      <c r="C155">
        <v>2014</v>
      </c>
      <c r="D155" t="s">
        <v>11</v>
      </c>
      <c r="E155" t="s">
        <v>5</v>
      </c>
      <c r="F155" t="s">
        <v>13</v>
      </c>
      <c r="G155" t="str">
        <f>VLOOKUP(A155,[1]Kreise!$A$1:$C$53,3,FALSE)</f>
        <v>K034</v>
      </c>
      <c r="H155">
        <v>94.854126960856178</v>
      </c>
    </row>
    <row r="156" spans="1:8">
      <c r="A156">
        <v>0</v>
      </c>
      <c r="B156" t="s">
        <v>34</v>
      </c>
      <c r="C156">
        <v>2014</v>
      </c>
      <c r="D156" t="s">
        <v>11</v>
      </c>
      <c r="E156" t="s">
        <v>5</v>
      </c>
      <c r="F156" t="s">
        <v>13</v>
      </c>
      <c r="G156" t="str">
        <f>VLOOKUP(A156,[1]Kreise!$A$1:$C$53,3,FALSE)</f>
        <v>K030</v>
      </c>
      <c r="H156">
        <v>94.384842519685037</v>
      </c>
    </row>
    <row r="157" spans="1:8">
      <c r="A157">
        <v>1</v>
      </c>
      <c r="B157" t="s">
        <v>30</v>
      </c>
      <c r="C157">
        <v>2013</v>
      </c>
      <c r="D157" t="s">
        <v>11</v>
      </c>
      <c r="E157" t="s">
        <v>5</v>
      </c>
      <c r="F157" t="s">
        <v>13</v>
      </c>
      <c r="G157" t="str">
        <f>VLOOKUP(A157,[1]Kreise!$A$1:$C$53,3,FALSE)</f>
        <v>K031</v>
      </c>
      <c r="H157">
        <v>92.291535391724437</v>
      </c>
    </row>
    <row r="158" spans="1:8">
      <c r="A158">
        <v>2</v>
      </c>
      <c r="B158" t="s">
        <v>31</v>
      </c>
      <c r="C158">
        <v>2013</v>
      </c>
      <c r="D158" t="s">
        <v>11</v>
      </c>
      <c r="E158" t="s">
        <v>5</v>
      </c>
      <c r="F158" t="s">
        <v>13</v>
      </c>
      <c r="G158" t="str">
        <f>VLOOKUP(A158,[1]Kreise!$A$1:$C$53,3,FALSE)</f>
        <v>K032</v>
      </c>
      <c r="H158">
        <v>91.621275232297336</v>
      </c>
    </row>
    <row r="159" spans="1:8">
      <c r="A159">
        <v>3</v>
      </c>
      <c r="B159" t="s">
        <v>32</v>
      </c>
      <c r="C159">
        <v>2013</v>
      </c>
      <c r="D159" t="s">
        <v>11</v>
      </c>
      <c r="E159" t="s">
        <v>5</v>
      </c>
      <c r="F159" t="s">
        <v>13</v>
      </c>
      <c r="G159" t="str">
        <f>VLOOKUP(A159,[1]Kreise!$A$1:$C$53,3,FALSE)</f>
        <v>K033</v>
      </c>
      <c r="H159">
        <v>96.96693569382974</v>
      </c>
    </row>
    <row r="160" spans="1:8">
      <c r="A160">
        <v>4</v>
      </c>
      <c r="B160" t="s">
        <v>33</v>
      </c>
      <c r="C160">
        <v>2013</v>
      </c>
      <c r="D160" t="s">
        <v>11</v>
      </c>
      <c r="E160" t="s">
        <v>5</v>
      </c>
      <c r="F160" t="s">
        <v>13</v>
      </c>
      <c r="G160" t="str">
        <f>VLOOKUP(A160,[1]Kreise!$A$1:$C$53,3,FALSE)</f>
        <v>K034</v>
      </c>
      <c r="H160">
        <v>95.600074892342263</v>
      </c>
    </row>
    <row r="161" spans="1:8">
      <c r="A161">
        <v>0</v>
      </c>
      <c r="B161" t="s">
        <v>34</v>
      </c>
      <c r="C161">
        <v>2013</v>
      </c>
      <c r="D161" t="s">
        <v>11</v>
      </c>
      <c r="E161" t="s">
        <v>5</v>
      </c>
      <c r="F161" t="s">
        <v>13</v>
      </c>
      <c r="G161" t="str">
        <f>VLOOKUP(A161,[1]Kreise!$A$1:$C$53,3,FALSE)</f>
        <v>K030</v>
      </c>
      <c r="H161">
        <v>94.575543977934416</v>
      </c>
    </row>
    <row r="162" spans="1:8">
      <c r="A162">
        <v>1</v>
      </c>
      <c r="B162" t="s">
        <v>145</v>
      </c>
      <c r="C162">
        <v>2012</v>
      </c>
      <c r="D162" t="s">
        <v>11</v>
      </c>
      <c r="E162" t="s">
        <v>5</v>
      </c>
      <c r="F162" t="s">
        <v>13</v>
      </c>
      <c r="G162" t="str">
        <f>VLOOKUP(A162,[1]Kreise!$A$1:$C$53,3,FALSE)</f>
        <v>K031</v>
      </c>
      <c r="H162">
        <v>92.855767379164263</v>
      </c>
    </row>
    <row r="163" spans="1:8">
      <c r="A163">
        <v>2</v>
      </c>
      <c r="B163" t="s">
        <v>146</v>
      </c>
      <c r="C163">
        <v>2012</v>
      </c>
      <c r="D163" t="s">
        <v>11</v>
      </c>
      <c r="E163" t="s">
        <v>5</v>
      </c>
      <c r="F163" t="s">
        <v>13</v>
      </c>
      <c r="G163" t="str">
        <f>VLOOKUP(A163,[1]Kreise!$A$1:$C$53,3,FALSE)</f>
        <v>K032</v>
      </c>
      <c r="H163">
        <v>91.018922852983991</v>
      </c>
    </row>
    <row r="164" spans="1:8">
      <c r="A164">
        <v>3</v>
      </c>
      <c r="B164" t="s">
        <v>147</v>
      </c>
      <c r="C164">
        <v>2012</v>
      </c>
      <c r="D164" t="s">
        <v>11</v>
      </c>
      <c r="E164" t="s">
        <v>5</v>
      </c>
      <c r="F164" t="s">
        <v>13</v>
      </c>
      <c r="G164" t="str">
        <f>VLOOKUP(A164,[1]Kreise!$A$1:$C$53,3,FALSE)</f>
        <v>K033</v>
      </c>
      <c r="H164">
        <v>96.638874413757165</v>
      </c>
    </row>
    <row r="165" spans="1:8">
      <c r="A165">
        <v>4</v>
      </c>
      <c r="B165" t="s">
        <v>148</v>
      </c>
      <c r="C165">
        <v>2012</v>
      </c>
      <c r="D165" t="s">
        <v>11</v>
      </c>
      <c r="E165" t="s">
        <v>5</v>
      </c>
      <c r="F165" t="s">
        <v>13</v>
      </c>
      <c r="G165" t="str">
        <f>VLOOKUP(A165,[1]Kreise!$A$1:$C$53,3,FALSE)</f>
        <v>K034</v>
      </c>
      <c r="H165">
        <v>95.456582131015324</v>
      </c>
    </row>
    <row r="166" spans="1:8">
      <c r="A166">
        <v>0</v>
      </c>
      <c r="B166" t="s">
        <v>34</v>
      </c>
      <c r="C166">
        <v>2012</v>
      </c>
      <c r="D166" t="s">
        <v>11</v>
      </c>
      <c r="E166" t="s">
        <v>5</v>
      </c>
      <c r="F166" t="s">
        <v>13</v>
      </c>
      <c r="G166" t="str">
        <f>VLOOKUP(A166,[1]Kreise!$A$1:$C$53,3,FALSE)</f>
        <v>K030</v>
      </c>
      <c r="H166">
        <v>94.326493624182788</v>
      </c>
    </row>
    <row r="167" spans="1:8">
      <c r="A167">
        <v>1</v>
      </c>
      <c r="B167" t="s">
        <v>30</v>
      </c>
      <c r="C167">
        <v>2011</v>
      </c>
      <c r="D167" t="s">
        <v>11</v>
      </c>
      <c r="E167" t="s">
        <v>5</v>
      </c>
      <c r="F167" t="s">
        <v>13</v>
      </c>
      <c r="G167" t="str">
        <f>VLOOKUP(A167,[1]Kreise!$A$1:$C$53,3,FALSE)</f>
        <v>K031</v>
      </c>
      <c r="H167">
        <v>89.183673469387756</v>
      </c>
    </row>
    <row r="168" spans="1:8">
      <c r="A168">
        <v>2</v>
      </c>
      <c r="B168" t="s">
        <v>31</v>
      </c>
      <c r="C168">
        <v>2011</v>
      </c>
      <c r="D168" t="s">
        <v>11</v>
      </c>
      <c r="E168" t="s">
        <v>5</v>
      </c>
      <c r="F168" t="s">
        <v>13</v>
      </c>
      <c r="G168" t="str">
        <f>VLOOKUP(A168,[1]Kreise!$A$1:$C$53,3,FALSE)</f>
        <v>K032</v>
      </c>
      <c r="H168">
        <v>91.473859133324808</v>
      </c>
    </row>
    <row r="169" spans="1:8">
      <c r="A169">
        <v>3</v>
      </c>
      <c r="B169" t="s">
        <v>32</v>
      </c>
      <c r="C169">
        <v>2011</v>
      </c>
      <c r="D169" t="s">
        <v>11</v>
      </c>
      <c r="E169" t="s">
        <v>5</v>
      </c>
      <c r="F169" t="s">
        <v>13</v>
      </c>
      <c r="G169" t="str">
        <f>VLOOKUP(A169,[1]Kreise!$A$1:$C$53,3,FALSE)</f>
        <v>K033</v>
      </c>
      <c r="H169">
        <v>96.461481754515304</v>
      </c>
    </row>
    <row r="170" spans="1:8">
      <c r="A170">
        <v>4</v>
      </c>
      <c r="B170" t="s">
        <v>33</v>
      </c>
      <c r="C170">
        <v>2011</v>
      </c>
      <c r="D170" t="s">
        <v>11</v>
      </c>
      <c r="E170" t="s">
        <v>5</v>
      </c>
      <c r="F170" t="s">
        <v>13</v>
      </c>
      <c r="G170" t="str">
        <f>VLOOKUP(A170,[1]Kreise!$A$1:$C$53,3,FALSE)</f>
        <v>K034</v>
      </c>
      <c r="H170">
        <v>95.459157787924909</v>
      </c>
    </row>
    <row r="171" spans="1:8">
      <c r="A171">
        <v>0</v>
      </c>
      <c r="B171" t="s">
        <v>34</v>
      </c>
      <c r="C171">
        <v>2011</v>
      </c>
      <c r="D171" t="s">
        <v>11</v>
      </c>
      <c r="E171" t="s">
        <v>5</v>
      </c>
      <c r="F171" t="s">
        <v>13</v>
      </c>
      <c r="G171" t="str">
        <f>VLOOKUP(A171,[1]Kreise!$A$1:$C$53,3,FALSE)</f>
        <v>K030</v>
      </c>
      <c r="H171">
        <v>94.383390756801717</v>
      </c>
    </row>
    <row r="172" spans="1:8">
      <c r="A172">
        <v>1</v>
      </c>
      <c r="B172" t="s">
        <v>145</v>
      </c>
      <c r="C172">
        <v>2010</v>
      </c>
      <c r="D172" t="s">
        <v>11</v>
      </c>
      <c r="E172" t="s">
        <v>5</v>
      </c>
      <c r="F172" t="s">
        <v>13</v>
      </c>
      <c r="G172" t="str">
        <f>VLOOKUP(A172,[1]Kreise!$A$1:$C$53,3,FALSE)</f>
        <v>K031</v>
      </c>
      <c r="H172">
        <v>93.136738634368967</v>
      </c>
    </row>
    <row r="173" spans="1:8">
      <c r="A173">
        <v>2</v>
      </c>
      <c r="B173" t="s">
        <v>146</v>
      </c>
      <c r="C173">
        <v>2010</v>
      </c>
      <c r="D173" t="s">
        <v>11</v>
      </c>
      <c r="E173" t="s">
        <v>5</v>
      </c>
      <c r="F173" t="s">
        <v>13</v>
      </c>
      <c r="G173" t="str">
        <f>VLOOKUP(A173,[1]Kreise!$A$1:$C$53,3,FALSE)</f>
        <v>K032</v>
      </c>
      <c r="H173">
        <v>90.865384615384613</v>
      </c>
    </row>
    <row r="174" spans="1:8">
      <c r="A174">
        <v>3</v>
      </c>
      <c r="B174" t="s">
        <v>147</v>
      </c>
      <c r="C174">
        <v>2010</v>
      </c>
      <c r="D174" t="s">
        <v>11</v>
      </c>
      <c r="E174" t="s">
        <v>5</v>
      </c>
      <c r="F174" t="s">
        <v>13</v>
      </c>
      <c r="G174" t="str">
        <f>VLOOKUP(A174,[1]Kreise!$A$1:$C$53,3,FALSE)</f>
        <v>K033</v>
      </c>
      <c r="H174">
        <v>96.662561576354676</v>
      </c>
    </row>
    <row r="175" spans="1:8">
      <c r="A175">
        <v>4</v>
      </c>
      <c r="B175" t="s">
        <v>148</v>
      </c>
      <c r="C175">
        <v>2010</v>
      </c>
      <c r="D175" t="s">
        <v>11</v>
      </c>
      <c r="E175" t="s">
        <v>5</v>
      </c>
      <c r="F175" t="s">
        <v>13</v>
      </c>
      <c r="G175" t="str">
        <f>VLOOKUP(A175,[1]Kreise!$A$1:$C$53,3,FALSE)</f>
        <v>K034</v>
      </c>
      <c r="H175">
        <v>95.899482129213013</v>
      </c>
    </row>
    <row r="176" spans="1:8">
      <c r="A176">
        <v>0</v>
      </c>
      <c r="B176" t="s">
        <v>34</v>
      </c>
      <c r="C176">
        <v>2010</v>
      </c>
      <c r="D176" t="s">
        <v>11</v>
      </c>
      <c r="E176" t="s">
        <v>5</v>
      </c>
      <c r="F176" t="s">
        <v>13</v>
      </c>
      <c r="G176" t="str">
        <f>VLOOKUP(A176,[1]Kreise!$A$1:$C$53,3,FALSE)</f>
        <v>K030</v>
      </c>
      <c r="H176">
        <v>94.471647926490149</v>
      </c>
    </row>
    <row r="177" spans="1:8">
      <c r="A177">
        <v>1</v>
      </c>
      <c r="B177" t="s">
        <v>145</v>
      </c>
      <c r="C177">
        <v>2005</v>
      </c>
      <c r="D177" t="s">
        <v>11</v>
      </c>
      <c r="E177" t="s">
        <v>5</v>
      </c>
      <c r="F177" t="s">
        <v>13</v>
      </c>
      <c r="G177" t="str">
        <f>VLOOKUP(A177,[1]Kreise!$A$1:$C$53,3,FALSE)</f>
        <v>K031</v>
      </c>
      <c r="H177">
        <v>93.560314281312586</v>
      </c>
    </row>
    <row r="178" spans="1:8">
      <c r="A178">
        <v>2</v>
      </c>
      <c r="B178" t="s">
        <v>146</v>
      </c>
      <c r="C178">
        <v>2005</v>
      </c>
      <c r="D178" t="s">
        <v>11</v>
      </c>
      <c r="E178" t="s">
        <v>5</v>
      </c>
      <c r="F178" t="s">
        <v>13</v>
      </c>
      <c r="G178" t="str">
        <f>VLOOKUP(A178,[1]Kreise!$A$1:$C$53,3,FALSE)</f>
        <v>K032</v>
      </c>
      <c r="H178">
        <v>90.760604583130174</v>
      </c>
    </row>
    <row r="179" spans="1:8">
      <c r="A179">
        <v>3</v>
      </c>
      <c r="B179" t="s">
        <v>147</v>
      </c>
      <c r="C179">
        <v>2005</v>
      </c>
      <c r="D179" t="s">
        <v>11</v>
      </c>
      <c r="E179" t="s">
        <v>5</v>
      </c>
      <c r="F179" t="s">
        <v>13</v>
      </c>
      <c r="G179" t="str">
        <f>VLOOKUP(A179,[1]Kreise!$A$1:$C$53,3,FALSE)</f>
        <v>K033</v>
      </c>
      <c r="H179">
        <v>96.638340414896277</v>
      </c>
    </row>
    <row r="180" spans="1:8">
      <c r="A180">
        <v>4</v>
      </c>
      <c r="B180" t="s">
        <v>148</v>
      </c>
      <c r="C180">
        <v>2005</v>
      </c>
      <c r="D180" t="s">
        <v>11</v>
      </c>
      <c r="E180" t="s">
        <v>5</v>
      </c>
      <c r="F180" t="s">
        <v>13</v>
      </c>
      <c r="G180" t="str">
        <f>VLOOKUP(A180,[1]Kreise!$A$1:$C$53,3,FALSE)</f>
        <v>K034</v>
      </c>
      <c r="H180">
        <v>96.033129904097649</v>
      </c>
    </row>
    <row r="181" spans="1:8">
      <c r="A181">
        <v>0</v>
      </c>
      <c r="B181" t="s">
        <v>34</v>
      </c>
      <c r="C181">
        <v>2005</v>
      </c>
      <c r="D181" t="s">
        <v>11</v>
      </c>
      <c r="E181" t="s">
        <v>5</v>
      </c>
      <c r="F181" t="s">
        <v>13</v>
      </c>
      <c r="G181" t="str">
        <f>VLOOKUP(A181,[1]Kreise!$A$1:$C$53,3,FALSE)</f>
        <v>K030</v>
      </c>
      <c r="H181">
        <v>94.43907864313519</v>
      </c>
    </row>
    <row r="182" spans="1:8">
      <c r="A182">
        <v>1</v>
      </c>
      <c r="B182" t="s">
        <v>30</v>
      </c>
      <c r="C182">
        <v>2020</v>
      </c>
      <c r="D182" t="s">
        <v>12</v>
      </c>
      <c r="E182" t="s">
        <v>5</v>
      </c>
      <c r="F182" t="s">
        <v>13</v>
      </c>
      <c r="G182" t="str">
        <f>VLOOKUP(A182,[1]Kreise!$A$1:$C$53,3,FALSE)</f>
        <v>K031</v>
      </c>
      <c r="H182">
        <v>11.133043821555468</v>
      </c>
    </row>
    <row r="183" spans="1:8">
      <c r="A183">
        <v>2</v>
      </c>
      <c r="B183" t="s">
        <v>31</v>
      </c>
      <c r="C183">
        <v>2020</v>
      </c>
      <c r="D183" t="s">
        <v>12</v>
      </c>
      <c r="E183" t="s">
        <v>5</v>
      </c>
      <c r="F183" t="s">
        <v>13</v>
      </c>
      <c r="G183" t="str">
        <f>VLOOKUP(A183,[1]Kreise!$A$1:$C$53,3,FALSE)</f>
        <v>K032</v>
      </c>
      <c r="H183">
        <v>13.072550986292212</v>
      </c>
    </row>
    <row r="184" spans="1:8">
      <c r="A184">
        <v>3</v>
      </c>
      <c r="B184" t="s">
        <v>32</v>
      </c>
      <c r="C184">
        <v>2020</v>
      </c>
      <c r="D184" t="s">
        <v>12</v>
      </c>
      <c r="E184" t="s">
        <v>5</v>
      </c>
      <c r="F184" t="s">
        <v>13</v>
      </c>
      <c r="G184" t="str">
        <f>VLOOKUP(A184,[1]Kreise!$A$1:$C$53,3,FALSE)</f>
        <v>K033</v>
      </c>
      <c r="H184">
        <v>8.4615384615384617</v>
      </c>
    </row>
    <row r="185" spans="1:8">
      <c r="A185">
        <v>4</v>
      </c>
      <c r="B185" t="s">
        <v>33</v>
      </c>
      <c r="C185">
        <v>2020</v>
      </c>
      <c r="D185" t="s">
        <v>12</v>
      </c>
      <c r="E185" t="s">
        <v>5</v>
      </c>
      <c r="F185" t="s">
        <v>13</v>
      </c>
      <c r="G185" t="str">
        <f>VLOOKUP(A185,[1]Kreise!$A$1:$C$53,3,FALSE)</f>
        <v>K034</v>
      </c>
      <c r="H185">
        <v>9.8103574033552139</v>
      </c>
    </row>
    <row r="186" spans="1:8">
      <c r="A186">
        <v>0</v>
      </c>
      <c r="B186" t="s">
        <v>34</v>
      </c>
      <c r="C186">
        <v>2020</v>
      </c>
      <c r="D186" t="s">
        <v>12</v>
      </c>
      <c r="E186" t="s">
        <v>5</v>
      </c>
      <c r="F186" t="s">
        <v>13</v>
      </c>
      <c r="G186" t="str">
        <f>VLOOKUP(A186,[1]Kreise!$A$1:$C$53,3,FALSE)</f>
        <v>K030</v>
      </c>
      <c r="H186">
        <v>10.806108641020684</v>
      </c>
    </row>
    <row r="187" spans="1:8">
      <c r="A187">
        <v>1</v>
      </c>
      <c r="B187" t="s">
        <v>30</v>
      </c>
      <c r="C187">
        <v>2019</v>
      </c>
      <c r="D187" t="s">
        <v>12</v>
      </c>
      <c r="E187" t="s">
        <v>5</v>
      </c>
      <c r="F187" t="s">
        <v>13</v>
      </c>
      <c r="G187" t="str">
        <f>VLOOKUP(A187,[1]Kreise!$A$1:$C$53,3,FALSE)</f>
        <v>K031</v>
      </c>
      <c r="H187">
        <v>11.309977151561309</v>
      </c>
    </row>
    <row r="188" spans="1:8">
      <c r="A188">
        <v>2</v>
      </c>
      <c r="B188" t="s">
        <v>31</v>
      </c>
      <c r="C188">
        <v>2019</v>
      </c>
      <c r="D188" t="s">
        <v>12</v>
      </c>
      <c r="E188" t="s">
        <v>5</v>
      </c>
      <c r="F188" t="s">
        <v>13</v>
      </c>
      <c r="G188" t="str">
        <f>VLOOKUP(A188,[1]Kreise!$A$1:$C$53,3,FALSE)</f>
        <v>K032</v>
      </c>
      <c r="H188">
        <v>12.890750886239125</v>
      </c>
    </row>
    <row r="189" spans="1:8">
      <c r="A189">
        <v>3</v>
      </c>
      <c r="B189" t="s">
        <v>32</v>
      </c>
      <c r="C189">
        <v>2019</v>
      </c>
      <c r="D189" t="s">
        <v>12</v>
      </c>
      <c r="E189" t="s">
        <v>5</v>
      </c>
      <c r="F189" t="s">
        <v>13</v>
      </c>
      <c r="G189" t="str">
        <f>VLOOKUP(A189,[1]Kreise!$A$1:$C$53,3,FALSE)</f>
        <v>K033</v>
      </c>
      <c r="H189">
        <v>7.3339483394833955</v>
      </c>
    </row>
    <row r="190" spans="1:8">
      <c r="A190">
        <v>4</v>
      </c>
      <c r="B190" t="s">
        <v>33</v>
      </c>
      <c r="C190">
        <v>2019</v>
      </c>
      <c r="D190" t="s">
        <v>12</v>
      </c>
      <c r="E190" t="s">
        <v>5</v>
      </c>
      <c r="F190" t="s">
        <v>13</v>
      </c>
      <c r="G190" t="str">
        <f>VLOOKUP(A190,[1]Kreise!$A$1:$C$53,3,FALSE)</f>
        <v>K034</v>
      </c>
      <c r="H190">
        <v>8.1907894736842106</v>
      </c>
    </row>
    <row r="191" spans="1:8">
      <c r="A191">
        <v>0</v>
      </c>
      <c r="B191" t="s">
        <v>34</v>
      </c>
      <c r="C191">
        <v>2019</v>
      </c>
      <c r="D191" t="s">
        <v>12</v>
      </c>
      <c r="E191" t="s">
        <v>5</v>
      </c>
      <c r="F191" t="s">
        <v>13</v>
      </c>
      <c r="G191" t="str">
        <f>VLOOKUP(A191,[1]Kreise!$A$1:$C$53,3,FALSE)</f>
        <v>K030</v>
      </c>
      <c r="H191">
        <v>10.103319008868977</v>
      </c>
    </row>
    <row r="192" spans="1:8">
      <c r="A192">
        <v>1</v>
      </c>
      <c r="B192" t="s">
        <v>30</v>
      </c>
      <c r="C192">
        <v>2018</v>
      </c>
      <c r="D192" t="s">
        <v>12</v>
      </c>
      <c r="E192" t="s">
        <v>5</v>
      </c>
      <c r="F192" t="s">
        <v>13</v>
      </c>
      <c r="G192" t="str">
        <f>VLOOKUP(A192,[1]Kreise!$A$1:$C$53,3,FALSE)</f>
        <v>K031</v>
      </c>
      <c r="H192">
        <v>9.4418960244648318</v>
      </c>
    </row>
    <row r="193" spans="1:8">
      <c r="A193">
        <v>2</v>
      </c>
      <c r="B193" t="s">
        <v>31</v>
      </c>
      <c r="C193">
        <v>2018</v>
      </c>
      <c r="D193" t="s">
        <v>12</v>
      </c>
      <c r="E193" t="s">
        <v>5</v>
      </c>
      <c r="F193" t="s">
        <v>13</v>
      </c>
      <c r="G193" t="str">
        <f>VLOOKUP(A193,[1]Kreise!$A$1:$C$53,3,FALSE)</f>
        <v>K032</v>
      </c>
      <c r="H193">
        <v>13.743799241318937</v>
      </c>
    </row>
    <row r="194" spans="1:8">
      <c r="A194">
        <v>3</v>
      </c>
      <c r="B194" t="s">
        <v>32</v>
      </c>
      <c r="C194">
        <v>2018</v>
      </c>
      <c r="D194" t="s">
        <v>12</v>
      </c>
      <c r="E194" t="s">
        <v>5</v>
      </c>
      <c r="F194" t="s">
        <v>13</v>
      </c>
      <c r="G194" t="str">
        <f>VLOOKUP(A194,[1]Kreise!$A$1:$C$53,3,FALSE)</f>
        <v>K033</v>
      </c>
      <c r="H194">
        <v>6.4802485574789168</v>
      </c>
    </row>
    <row r="195" spans="1:8">
      <c r="A195">
        <v>4</v>
      </c>
      <c r="B195" t="s">
        <v>33</v>
      </c>
      <c r="C195">
        <v>2018</v>
      </c>
      <c r="D195" t="s">
        <v>12</v>
      </c>
      <c r="E195" t="s">
        <v>5</v>
      </c>
      <c r="F195" t="s">
        <v>13</v>
      </c>
      <c r="G195" t="str">
        <f>VLOOKUP(A195,[1]Kreise!$A$1:$C$53,3,FALSE)</f>
        <v>K034</v>
      </c>
      <c r="H195">
        <v>8.1453634085213036</v>
      </c>
    </row>
    <row r="196" spans="1:8">
      <c r="A196">
        <v>0</v>
      </c>
      <c r="B196" t="s">
        <v>34</v>
      </c>
      <c r="C196">
        <v>2018</v>
      </c>
      <c r="D196" t="s">
        <v>12</v>
      </c>
      <c r="E196" t="s">
        <v>5</v>
      </c>
      <c r="F196" t="s">
        <v>13</v>
      </c>
      <c r="G196" t="str">
        <f>VLOOKUP(A196,[1]Kreise!$A$1:$C$53,3,FALSE)</f>
        <v>K030</v>
      </c>
      <c r="H196">
        <v>9.784122562674094</v>
      </c>
    </row>
    <row r="197" spans="1:8">
      <c r="A197">
        <v>1</v>
      </c>
      <c r="B197" t="s">
        <v>30</v>
      </c>
      <c r="C197">
        <v>2017</v>
      </c>
      <c r="D197" t="s">
        <v>12</v>
      </c>
      <c r="E197" t="s">
        <v>5</v>
      </c>
      <c r="F197" t="s">
        <v>13</v>
      </c>
      <c r="G197" t="str">
        <f>VLOOKUP(A197,[1]Kreise!$A$1:$C$53,3,FALSE)</f>
        <v>K031</v>
      </c>
      <c r="H197">
        <v>9.3658892128279874</v>
      </c>
    </row>
    <row r="198" spans="1:8">
      <c r="A198">
        <v>2</v>
      </c>
      <c r="B198" t="s">
        <v>31</v>
      </c>
      <c r="C198">
        <v>2017</v>
      </c>
      <c r="D198" t="s">
        <v>12</v>
      </c>
      <c r="E198" t="s">
        <v>5</v>
      </c>
      <c r="F198" t="s">
        <v>13</v>
      </c>
      <c r="G198" t="str">
        <f>VLOOKUP(A198,[1]Kreise!$A$1:$C$53,3,FALSE)</f>
        <v>K032</v>
      </c>
      <c r="H198">
        <v>11.598224195338513</v>
      </c>
    </row>
    <row r="199" spans="1:8">
      <c r="A199">
        <v>3</v>
      </c>
      <c r="B199" t="s">
        <v>32</v>
      </c>
      <c r="C199">
        <v>2017</v>
      </c>
      <c r="D199" t="s">
        <v>12</v>
      </c>
      <c r="E199" t="s">
        <v>5</v>
      </c>
      <c r="F199" t="s">
        <v>13</v>
      </c>
      <c r="G199" t="str">
        <f>VLOOKUP(A199,[1]Kreise!$A$1:$C$53,3,FALSE)</f>
        <v>K033</v>
      </c>
      <c r="H199">
        <v>5.968858131487889</v>
      </c>
    </row>
    <row r="200" spans="1:8">
      <c r="A200">
        <v>4</v>
      </c>
      <c r="B200" t="s">
        <v>33</v>
      </c>
      <c r="C200">
        <v>2017</v>
      </c>
      <c r="D200" t="s">
        <v>12</v>
      </c>
      <c r="E200" t="s">
        <v>5</v>
      </c>
      <c r="F200" t="s">
        <v>13</v>
      </c>
      <c r="G200" t="str">
        <f>VLOOKUP(A200,[1]Kreise!$A$1:$C$53,3,FALSE)</f>
        <v>K034</v>
      </c>
      <c r="H200">
        <v>7.3447820343461032</v>
      </c>
    </row>
    <row r="201" spans="1:8">
      <c r="A201">
        <v>0</v>
      </c>
      <c r="B201" t="s">
        <v>34</v>
      </c>
      <c r="C201">
        <v>2017</v>
      </c>
      <c r="D201" t="s">
        <v>12</v>
      </c>
      <c r="E201" t="s">
        <v>5</v>
      </c>
      <c r="F201" t="s">
        <v>13</v>
      </c>
      <c r="G201" t="str">
        <f>VLOOKUP(A201,[1]Kreise!$A$1:$C$53,3,FALSE)</f>
        <v>K030</v>
      </c>
      <c r="H201">
        <v>8.7665729208517487</v>
      </c>
    </row>
    <row r="202" spans="1:8">
      <c r="A202">
        <v>1</v>
      </c>
      <c r="B202" t="s">
        <v>30</v>
      </c>
      <c r="C202">
        <v>2016</v>
      </c>
      <c r="D202" t="s">
        <v>12</v>
      </c>
      <c r="E202" t="s">
        <v>5</v>
      </c>
      <c r="F202" t="s">
        <v>13</v>
      </c>
      <c r="G202" t="str">
        <f>VLOOKUP(A202,[1]Kreise!$A$1:$C$53,3,FALSE)</f>
        <v>K031</v>
      </c>
      <c r="H202">
        <v>9.6556620518281857</v>
      </c>
    </row>
    <row r="203" spans="1:8">
      <c r="A203">
        <v>2</v>
      </c>
      <c r="B203" t="s">
        <v>31</v>
      </c>
      <c r="C203">
        <v>2016</v>
      </c>
      <c r="D203" t="s">
        <v>12</v>
      </c>
      <c r="E203" t="s">
        <v>5</v>
      </c>
      <c r="F203" t="s">
        <v>13</v>
      </c>
      <c r="G203" t="str">
        <f>VLOOKUP(A203,[1]Kreise!$A$1:$C$53,3,FALSE)</f>
        <v>K032</v>
      </c>
      <c r="H203">
        <v>10.38560411311054</v>
      </c>
    </row>
    <row r="204" spans="1:8">
      <c r="A204">
        <v>3</v>
      </c>
      <c r="B204" t="s">
        <v>32</v>
      </c>
      <c r="C204">
        <v>2016</v>
      </c>
      <c r="D204" t="s">
        <v>12</v>
      </c>
      <c r="E204" t="s">
        <v>5</v>
      </c>
      <c r="F204" t="s">
        <v>13</v>
      </c>
      <c r="G204" t="str">
        <f>VLOOKUP(A204,[1]Kreise!$A$1:$C$53,3,FALSE)</f>
        <v>K033</v>
      </c>
      <c r="H204">
        <v>5.8461538461538458</v>
      </c>
    </row>
    <row r="205" spans="1:8">
      <c r="A205">
        <v>4</v>
      </c>
      <c r="B205" t="s">
        <v>33</v>
      </c>
      <c r="C205">
        <v>2016</v>
      </c>
      <c r="D205" t="s">
        <v>12</v>
      </c>
      <c r="E205" t="s">
        <v>5</v>
      </c>
      <c r="F205" t="s">
        <v>13</v>
      </c>
      <c r="G205" t="str">
        <f>VLOOKUP(A205,[1]Kreise!$A$1:$C$53,3,FALSE)</f>
        <v>K034</v>
      </c>
      <c r="H205">
        <v>6.2979683972911964</v>
      </c>
    </row>
    <row r="206" spans="1:8">
      <c r="A206">
        <v>0</v>
      </c>
      <c r="B206" t="s">
        <v>34</v>
      </c>
      <c r="C206">
        <v>2016</v>
      </c>
      <c r="D206" t="s">
        <v>12</v>
      </c>
      <c r="E206" t="s">
        <v>5</v>
      </c>
      <c r="F206" t="s">
        <v>13</v>
      </c>
      <c r="G206" t="str">
        <f>VLOOKUP(A206,[1]Kreise!$A$1:$C$53,3,FALSE)</f>
        <v>K030</v>
      </c>
      <c r="H206">
        <v>8.058528062895828</v>
      </c>
    </row>
    <row r="207" spans="1:8">
      <c r="A207">
        <v>1</v>
      </c>
      <c r="B207" t="s">
        <v>30</v>
      </c>
      <c r="C207">
        <v>2015</v>
      </c>
      <c r="D207" t="s">
        <v>12</v>
      </c>
      <c r="E207" t="s">
        <v>5</v>
      </c>
      <c r="F207" t="s">
        <v>13</v>
      </c>
      <c r="G207" t="str">
        <f>VLOOKUP(A207,[1]Kreise!$A$1:$C$53,3,FALSE)</f>
        <v>K031</v>
      </c>
      <c r="H207">
        <v>6.8189233278955959</v>
      </c>
    </row>
    <row r="208" spans="1:8">
      <c r="A208">
        <v>2</v>
      </c>
      <c r="B208" t="s">
        <v>31</v>
      </c>
      <c r="C208">
        <v>2015</v>
      </c>
      <c r="D208" t="s">
        <v>12</v>
      </c>
      <c r="E208" t="s">
        <v>5</v>
      </c>
      <c r="F208" t="s">
        <v>13</v>
      </c>
      <c r="G208" t="str">
        <f>VLOOKUP(A208,[1]Kreise!$A$1:$C$53,3,FALSE)</f>
        <v>K032</v>
      </c>
      <c r="H208">
        <v>8.6694035257184243</v>
      </c>
    </row>
    <row r="209" spans="1:8">
      <c r="A209">
        <v>3</v>
      </c>
      <c r="B209" t="s">
        <v>32</v>
      </c>
      <c r="C209">
        <v>2015</v>
      </c>
      <c r="D209" t="s">
        <v>12</v>
      </c>
      <c r="E209" t="s">
        <v>5</v>
      </c>
      <c r="F209" t="s">
        <v>13</v>
      </c>
      <c r="G209" t="str">
        <f>VLOOKUP(A209,[1]Kreise!$A$1:$C$53,3,FALSE)</f>
        <v>K033</v>
      </c>
      <c r="H209">
        <v>3.6177474402730376</v>
      </c>
    </row>
    <row r="210" spans="1:8">
      <c r="A210">
        <v>4</v>
      </c>
      <c r="B210" t="s">
        <v>33</v>
      </c>
      <c r="C210">
        <v>2015</v>
      </c>
      <c r="D210" t="s">
        <v>12</v>
      </c>
      <c r="E210" t="s">
        <v>5</v>
      </c>
      <c r="F210" t="s">
        <v>13</v>
      </c>
      <c r="G210" t="str">
        <f>VLOOKUP(A210,[1]Kreise!$A$1:$C$53,3,FALSE)</f>
        <v>K034</v>
      </c>
      <c r="H210">
        <v>4.8508946322067592</v>
      </c>
    </row>
    <row r="211" spans="1:8">
      <c r="A211">
        <v>0</v>
      </c>
      <c r="B211" t="s">
        <v>34</v>
      </c>
      <c r="C211">
        <v>2015</v>
      </c>
      <c r="D211" t="s">
        <v>12</v>
      </c>
      <c r="E211" t="s">
        <v>5</v>
      </c>
      <c r="F211" t="s">
        <v>13</v>
      </c>
      <c r="G211" t="str">
        <f>VLOOKUP(A211,[1]Kreise!$A$1:$C$53,3,FALSE)</f>
        <v>K030</v>
      </c>
      <c r="H211">
        <v>6.053013319266781</v>
      </c>
    </row>
    <row r="212" spans="1:8">
      <c r="A212">
        <v>1</v>
      </c>
      <c r="B212" t="s">
        <v>145</v>
      </c>
      <c r="C212">
        <v>2014</v>
      </c>
      <c r="D212" t="s">
        <v>12</v>
      </c>
      <c r="E212" t="s">
        <v>5</v>
      </c>
      <c r="F212" t="s">
        <v>13</v>
      </c>
      <c r="G212" t="str">
        <f>VLOOKUP(A212,[1]Kreise!$A$1:$C$53,3,FALSE)</f>
        <v>K031</v>
      </c>
      <c r="H212">
        <v>6.1839323467230445</v>
      </c>
    </row>
    <row r="213" spans="1:8">
      <c r="A213">
        <v>2</v>
      </c>
      <c r="B213" t="s">
        <v>146</v>
      </c>
      <c r="C213">
        <v>2014</v>
      </c>
      <c r="D213" t="s">
        <v>12</v>
      </c>
      <c r="E213" t="s">
        <v>5</v>
      </c>
      <c r="F213" t="s">
        <v>13</v>
      </c>
      <c r="G213" t="str">
        <f>VLOOKUP(A213,[1]Kreise!$A$1:$C$53,3,FALSE)</f>
        <v>K032</v>
      </c>
      <c r="H213">
        <v>8.2476390346274915</v>
      </c>
    </row>
    <row r="214" spans="1:8">
      <c r="A214">
        <v>3</v>
      </c>
      <c r="B214" t="s">
        <v>147</v>
      </c>
      <c r="C214">
        <v>2014</v>
      </c>
      <c r="D214" t="s">
        <v>12</v>
      </c>
      <c r="E214" t="s">
        <v>5</v>
      </c>
      <c r="F214" t="s">
        <v>13</v>
      </c>
      <c r="G214" t="str">
        <f>VLOOKUP(A214,[1]Kreise!$A$1:$C$53,3,FALSE)</f>
        <v>K033</v>
      </c>
      <c r="H214">
        <v>3.2929292929292928</v>
      </c>
    </row>
    <row r="215" spans="1:8">
      <c r="A215">
        <v>4</v>
      </c>
      <c r="B215" t="s">
        <v>148</v>
      </c>
      <c r="C215">
        <v>2014</v>
      </c>
      <c r="D215" t="s">
        <v>12</v>
      </c>
      <c r="E215" t="s">
        <v>5</v>
      </c>
      <c r="F215" t="s">
        <v>13</v>
      </c>
      <c r="G215" t="str">
        <f>VLOOKUP(A215,[1]Kreise!$A$1:$C$53,3,FALSE)</f>
        <v>K034</v>
      </c>
      <c r="H215">
        <v>5.1458730391438205</v>
      </c>
    </row>
    <row r="216" spans="1:8">
      <c r="A216">
        <v>0</v>
      </c>
      <c r="B216" t="s">
        <v>34</v>
      </c>
      <c r="C216">
        <v>2014</v>
      </c>
      <c r="D216" t="s">
        <v>12</v>
      </c>
      <c r="E216" t="s">
        <v>5</v>
      </c>
      <c r="F216" t="s">
        <v>13</v>
      </c>
      <c r="G216" t="str">
        <f>VLOOKUP(A216,[1]Kreise!$A$1:$C$53,3,FALSE)</f>
        <v>K030</v>
      </c>
      <c r="H216">
        <v>5.6151574803149602</v>
      </c>
    </row>
    <row r="217" spans="1:8">
      <c r="A217">
        <v>1</v>
      </c>
      <c r="B217" t="s">
        <v>30</v>
      </c>
      <c r="C217">
        <v>2013</v>
      </c>
      <c r="D217" t="s">
        <v>12</v>
      </c>
      <c r="E217" t="s">
        <v>5</v>
      </c>
      <c r="F217" t="s">
        <v>13</v>
      </c>
      <c r="G217" t="str">
        <f>VLOOKUP(A217,[1]Kreise!$A$1:$C$53,3,FALSE)</f>
        <v>K031</v>
      </c>
      <c r="H217">
        <v>7.7084646082755723</v>
      </c>
    </row>
    <row r="218" spans="1:8">
      <c r="A218">
        <v>2</v>
      </c>
      <c r="B218" t="s">
        <v>31</v>
      </c>
      <c r="C218">
        <v>2013</v>
      </c>
      <c r="D218" t="s">
        <v>12</v>
      </c>
      <c r="E218" t="s">
        <v>5</v>
      </c>
      <c r="F218" t="s">
        <v>13</v>
      </c>
      <c r="G218" t="str">
        <f>VLOOKUP(A218,[1]Kreise!$A$1:$C$53,3,FALSE)</f>
        <v>K032</v>
      </c>
      <c r="H218">
        <v>8.3787247677026588</v>
      </c>
    </row>
    <row r="219" spans="1:8">
      <c r="A219">
        <v>3</v>
      </c>
      <c r="B219" t="s">
        <v>32</v>
      </c>
      <c r="C219">
        <v>2013</v>
      </c>
      <c r="D219" t="s">
        <v>12</v>
      </c>
      <c r="E219" t="s">
        <v>5</v>
      </c>
      <c r="F219" t="s">
        <v>13</v>
      </c>
      <c r="G219" t="str">
        <f>VLOOKUP(A219,[1]Kreise!$A$1:$C$53,3,FALSE)</f>
        <v>K033</v>
      </c>
      <c r="H219">
        <v>3.0330643061702682</v>
      </c>
    </row>
    <row r="220" spans="1:8">
      <c r="A220">
        <v>4</v>
      </c>
      <c r="B220" t="s">
        <v>33</v>
      </c>
      <c r="C220">
        <v>2013</v>
      </c>
      <c r="D220" t="s">
        <v>12</v>
      </c>
      <c r="E220" t="s">
        <v>5</v>
      </c>
      <c r="F220" t="s">
        <v>13</v>
      </c>
      <c r="G220" t="str">
        <f>VLOOKUP(A220,[1]Kreise!$A$1:$C$53,3,FALSE)</f>
        <v>K034</v>
      </c>
      <c r="H220">
        <v>4.3999251076577419</v>
      </c>
    </row>
    <row r="221" spans="1:8">
      <c r="A221">
        <v>0</v>
      </c>
      <c r="B221" t="s">
        <v>34</v>
      </c>
      <c r="C221">
        <v>2013</v>
      </c>
      <c r="D221" t="s">
        <v>12</v>
      </c>
      <c r="E221" t="s">
        <v>5</v>
      </c>
      <c r="F221" t="s">
        <v>13</v>
      </c>
      <c r="G221" t="str">
        <f>VLOOKUP(A221,[1]Kreise!$A$1:$C$53,3,FALSE)</f>
        <v>K030</v>
      </c>
      <c r="H221">
        <v>5.4244560220655842</v>
      </c>
    </row>
    <row r="222" spans="1:8">
      <c r="A222">
        <v>1</v>
      </c>
      <c r="B222" t="s">
        <v>145</v>
      </c>
      <c r="C222">
        <v>2012</v>
      </c>
      <c r="D222" t="s">
        <v>12</v>
      </c>
      <c r="E222" t="s">
        <v>5</v>
      </c>
      <c r="F222" t="s">
        <v>13</v>
      </c>
      <c r="G222" t="str">
        <f>VLOOKUP(A222,[1]Kreise!$A$1:$C$53,3,FALSE)</f>
        <v>K031</v>
      </c>
      <c r="H222">
        <v>7.1442326208357398</v>
      </c>
    </row>
    <row r="223" spans="1:8">
      <c r="A223">
        <v>2</v>
      </c>
      <c r="B223" t="s">
        <v>146</v>
      </c>
      <c r="C223">
        <v>2012</v>
      </c>
      <c r="D223" t="s">
        <v>12</v>
      </c>
      <c r="E223" t="s">
        <v>5</v>
      </c>
      <c r="F223" t="s">
        <v>13</v>
      </c>
      <c r="G223" t="str">
        <f>VLOOKUP(A223,[1]Kreise!$A$1:$C$53,3,FALSE)</f>
        <v>K032</v>
      </c>
      <c r="H223">
        <v>8.9810771470160109</v>
      </c>
    </row>
    <row r="224" spans="1:8">
      <c r="A224">
        <v>3</v>
      </c>
      <c r="B224" t="s">
        <v>147</v>
      </c>
      <c r="C224">
        <v>2012</v>
      </c>
      <c r="D224" t="s">
        <v>12</v>
      </c>
      <c r="E224" t="s">
        <v>5</v>
      </c>
      <c r="F224" t="s">
        <v>13</v>
      </c>
      <c r="G224" t="str">
        <f>VLOOKUP(A224,[1]Kreise!$A$1:$C$53,3,FALSE)</f>
        <v>K033</v>
      </c>
      <c r="H224">
        <v>3.3611255862428351</v>
      </c>
    </row>
    <row r="225" spans="1:8">
      <c r="A225">
        <v>4</v>
      </c>
      <c r="B225" t="s">
        <v>148</v>
      </c>
      <c r="C225">
        <v>2012</v>
      </c>
      <c r="D225" t="s">
        <v>12</v>
      </c>
      <c r="E225" t="s">
        <v>5</v>
      </c>
      <c r="F225" t="s">
        <v>13</v>
      </c>
      <c r="G225" t="str">
        <f>VLOOKUP(A225,[1]Kreise!$A$1:$C$53,3,FALSE)</f>
        <v>K034</v>
      </c>
      <c r="H225">
        <v>4.543417868984676</v>
      </c>
    </row>
    <row r="226" spans="1:8">
      <c r="A226">
        <v>0</v>
      </c>
      <c r="B226" t="s">
        <v>34</v>
      </c>
      <c r="C226">
        <v>2012</v>
      </c>
      <c r="D226" t="s">
        <v>12</v>
      </c>
      <c r="E226" t="s">
        <v>5</v>
      </c>
      <c r="F226" t="s">
        <v>13</v>
      </c>
      <c r="G226" t="str">
        <f>VLOOKUP(A226,[1]Kreise!$A$1:$C$53,3,FALSE)</f>
        <v>K030</v>
      </c>
      <c r="H226">
        <v>5.6735063758172046</v>
      </c>
    </row>
    <row r="227" spans="1:8">
      <c r="A227">
        <v>1</v>
      </c>
      <c r="B227" t="s">
        <v>30</v>
      </c>
      <c r="C227">
        <v>2011</v>
      </c>
      <c r="D227" t="s">
        <v>12</v>
      </c>
      <c r="E227" t="s">
        <v>5</v>
      </c>
      <c r="F227" t="s">
        <v>13</v>
      </c>
      <c r="G227" t="str">
        <f>VLOOKUP(A227,[1]Kreise!$A$1:$C$53,3,FALSE)</f>
        <v>K031</v>
      </c>
      <c r="H227">
        <v>10.816326530612246</v>
      </c>
    </row>
    <row r="228" spans="1:8">
      <c r="A228">
        <v>2</v>
      </c>
      <c r="B228" t="s">
        <v>31</v>
      </c>
      <c r="C228">
        <v>2011</v>
      </c>
      <c r="D228" t="s">
        <v>12</v>
      </c>
      <c r="E228" t="s">
        <v>5</v>
      </c>
      <c r="F228" t="s">
        <v>13</v>
      </c>
      <c r="G228" t="str">
        <f>VLOOKUP(A228,[1]Kreise!$A$1:$C$53,3,FALSE)</f>
        <v>K032</v>
      </c>
      <c r="H228">
        <v>8.5261408666751883</v>
      </c>
    </row>
    <row r="229" spans="1:8">
      <c r="A229">
        <v>3</v>
      </c>
      <c r="B229" t="s">
        <v>32</v>
      </c>
      <c r="C229">
        <v>2011</v>
      </c>
      <c r="D229" t="s">
        <v>12</v>
      </c>
      <c r="E229" t="s">
        <v>5</v>
      </c>
      <c r="F229" t="s">
        <v>13</v>
      </c>
      <c r="G229" t="str">
        <f>VLOOKUP(A229,[1]Kreise!$A$1:$C$53,3,FALSE)</f>
        <v>K033</v>
      </c>
      <c r="H229">
        <v>3.5385182454847035</v>
      </c>
    </row>
    <row r="230" spans="1:8">
      <c r="A230">
        <v>4</v>
      </c>
      <c r="B230" t="s">
        <v>33</v>
      </c>
      <c r="C230">
        <v>2011</v>
      </c>
      <c r="D230" t="s">
        <v>12</v>
      </c>
      <c r="E230" t="s">
        <v>5</v>
      </c>
      <c r="F230" t="s">
        <v>13</v>
      </c>
      <c r="G230" t="str">
        <f>VLOOKUP(A230,[1]Kreise!$A$1:$C$53,3,FALSE)</f>
        <v>K034</v>
      </c>
      <c r="H230">
        <v>4.5408422120750886</v>
      </c>
    </row>
    <row r="231" spans="1:8">
      <c r="A231">
        <v>0</v>
      </c>
      <c r="B231" t="s">
        <v>34</v>
      </c>
      <c r="C231">
        <v>2011</v>
      </c>
      <c r="D231" t="s">
        <v>12</v>
      </c>
      <c r="E231" t="s">
        <v>5</v>
      </c>
      <c r="F231" t="s">
        <v>13</v>
      </c>
      <c r="G231" t="str">
        <f>VLOOKUP(A231,[1]Kreise!$A$1:$C$53,3,FALSE)</f>
        <v>K030</v>
      </c>
      <c r="H231">
        <v>5.6166092431982895</v>
      </c>
    </row>
    <row r="232" spans="1:8">
      <c r="A232">
        <v>1</v>
      </c>
      <c r="B232" t="s">
        <v>145</v>
      </c>
      <c r="C232">
        <v>2010</v>
      </c>
      <c r="D232" t="s">
        <v>12</v>
      </c>
      <c r="E232" t="s">
        <v>5</v>
      </c>
      <c r="F232" t="s">
        <v>13</v>
      </c>
      <c r="G232" t="str">
        <f>VLOOKUP(A232,[1]Kreise!$A$1:$C$53,3,FALSE)</f>
        <v>K031</v>
      </c>
      <c r="H232">
        <v>6.8632613656310335</v>
      </c>
    </row>
    <row r="233" spans="1:8">
      <c r="A233">
        <v>2</v>
      </c>
      <c r="B233" t="s">
        <v>146</v>
      </c>
      <c r="C233">
        <v>2010</v>
      </c>
      <c r="D233" t="s">
        <v>12</v>
      </c>
      <c r="E233" t="s">
        <v>5</v>
      </c>
      <c r="F233" t="s">
        <v>13</v>
      </c>
      <c r="G233" t="str">
        <f>VLOOKUP(A233,[1]Kreise!$A$1:$C$53,3,FALSE)</f>
        <v>K032</v>
      </c>
      <c r="H233">
        <v>9.1346153846153832</v>
      </c>
    </row>
    <row r="234" spans="1:8">
      <c r="A234">
        <v>3</v>
      </c>
      <c r="B234" t="s">
        <v>147</v>
      </c>
      <c r="C234">
        <v>2010</v>
      </c>
      <c r="D234" t="s">
        <v>12</v>
      </c>
      <c r="E234" t="s">
        <v>5</v>
      </c>
      <c r="F234" t="s">
        <v>13</v>
      </c>
      <c r="G234" t="str">
        <f>VLOOKUP(A234,[1]Kreise!$A$1:$C$53,3,FALSE)</f>
        <v>K033</v>
      </c>
      <c r="H234">
        <v>3.3374384236453203</v>
      </c>
    </row>
    <row r="235" spans="1:8">
      <c r="A235">
        <v>4</v>
      </c>
      <c r="B235" t="s">
        <v>148</v>
      </c>
      <c r="C235">
        <v>2010</v>
      </c>
      <c r="D235" t="s">
        <v>12</v>
      </c>
      <c r="E235" t="s">
        <v>5</v>
      </c>
      <c r="F235" t="s">
        <v>13</v>
      </c>
      <c r="G235" t="str">
        <f>VLOOKUP(A235,[1]Kreise!$A$1:$C$53,3,FALSE)</f>
        <v>K034</v>
      </c>
      <c r="H235">
        <v>4.1005178707869936</v>
      </c>
    </row>
    <row r="236" spans="1:8">
      <c r="A236">
        <v>0</v>
      </c>
      <c r="B236" t="s">
        <v>34</v>
      </c>
      <c r="C236">
        <v>2010</v>
      </c>
      <c r="D236" t="s">
        <v>12</v>
      </c>
      <c r="E236" t="s">
        <v>5</v>
      </c>
      <c r="F236" t="s">
        <v>13</v>
      </c>
      <c r="G236" t="str">
        <f>VLOOKUP(A236,[1]Kreise!$A$1:$C$53,3,FALSE)</f>
        <v>K030</v>
      </c>
      <c r="H236">
        <v>5.5283520735098541</v>
      </c>
    </row>
    <row r="237" spans="1:8">
      <c r="A237">
        <v>1</v>
      </c>
      <c r="B237" t="s">
        <v>145</v>
      </c>
      <c r="C237">
        <v>2005</v>
      </c>
      <c r="D237" t="s">
        <v>12</v>
      </c>
      <c r="E237" t="s">
        <v>5</v>
      </c>
      <c r="F237" t="s">
        <v>13</v>
      </c>
      <c r="G237" t="str">
        <f>VLOOKUP(A237,[1]Kreise!$A$1:$C$53,3,FALSE)</f>
        <v>K031</v>
      </c>
      <c r="H237">
        <v>6.4396857186874126</v>
      </c>
    </row>
    <row r="238" spans="1:8">
      <c r="A238">
        <v>2</v>
      </c>
      <c r="B238" t="s">
        <v>146</v>
      </c>
      <c r="C238">
        <v>2005</v>
      </c>
      <c r="D238" t="s">
        <v>12</v>
      </c>
      <c r="E238" t="s">
        <v>5</v>
      </c>
      <c r="F238" t="s">
        <v>13</v>
      </c>
      <c r="G238" t="str">
        <f>VLOOKUP(A238,[1]Kreise!$A$1:$C$53,3,FALSE)</f>
        <v>K032</v>
      </c>
      <c r="H238">
        <v>9.2393954168698187</v>
      </c>
    </row>
    <row r="239" spans="1:8">
      <c r="A239">
        <v>3</v>
      </c>
      <c r="B239" t="s">
        <v>147</v>
      </c>
      <c r="C239">
        <v>2005</v>
      </c>
      <c r="D239" t="s">
        <v>12</v>
      </c>
      <c r="E239" t="s">
        <v>5</v>
      </c>
      <c r="F239" t="s">
        <v>13</v>
      </c>
      <c r="G239" t="str">
        <f>VLOOKUP(A239,[1]Kreise!$A$1:$C$53,3,FALSE)</f>
        <v>K033</v>
      </c>
      <c r="H239">
        <v>3.3616595851037241</v>
      </c>
    </row>
    <row r="240" spans="1:8">
      <c r="A240">
        <v>4</v>
      </c>
      <c r="B240" t="s">
        <v>148</v>
      </c>
      <c r="C240">
        <v>2005</v>
      </c>
      <c r="D240" t="s">
        <v>12</v>
      </c>
      <c r="E240" t="s">
        <v>5</v>
      </c>
      <c r="F240" t="s">
        <v>13</v>
      </c>
      <c r="G240" t="str">
        <f>VLOOKUP(A240,[1]Kreise!$A$1:$C$53,3,FALSE)</f>
        <v>K034</v>
      </c>
      <c r="H240">
        <v>3.9668700959023542</v>
      </c>
    </row>
    <row r="241" spans="1:8">
      <c r="A241">
        <v>0</v>
      </c>
      <c r="B241" t="s">
        <v>34</v>
      </c>
      <c r="C241">
        <v>2005</v>
      </c>
      <c r="D241" t="s">
        <v>12</v>
      </c>
      <c r="E241" t="s">
        <v>5</v>
      </c>
      <c r="F241" t="s">
        <v>13</v>
      </c>
      <c r="G241" t="str">
        <f>VLOOKUP(A241,[1]Kreise!$A$1:$C$53,3,FALSE)</f>
        <v>K030</v>
      </c>
      <c r="H241">
        <v>5.560921356864811</v>
      </c>
    </row>
    <row r="242" spans="1:8">
      <c r="A242">
        <v>1</v>
      </c>
      <c r="B242" t="s">
        <v>30</v>
      </c>
      <c r="C242">
        <v>2020</v>
      </c>
      <c r="D242" t="s">
        <v>11</v>
      </c>
      <c r="E242" t="s">
        <v>139</v>
      </c>
      <c r="F242" t="s">
        <v>13</v>
      </c>
      <c r="G242" t="str">
        <f>VLOOKUP(A242,[1]Kreise!$A$1:$C$53,3,FALSE)</f>
        <v>K031</v>
      </c>
      <c r="H242">
        <v>86.74314850223071</v>
      </c>
    </row>
    <row r="243" spans="1:8">
      <c r="A243">
        <v>2</v>
      </c>
      <c r="B243" t="s">
        <v>31</v>
      </c>
      <c r="C243">
        <v>2020</v>
      </c>
      <c r="D243" t="s">
        <v>11</v>
      </c>
      <c r="E243" t="s">
        <v>139</v>
      </c>
      <c r="F243" t="s">
        <v>13</v>
      </c>
      <c r="G243" t="str">
        <f>VLOOKUP(A243,[1]Kreise!$A$1:$C$53,3,FALSE)</f>
        <v>K032</v>
      </c>
      <c r="H243">
        <v>80.932340563289102</v>
      </c>
    </row>
    <row r="244" spans="1:8">
      <c r="A244">
        <v>3</v>
      </c>
      <c r="B244" t="s">
        <v>32</v>
      </c>
      <c r="C244">
        <v>2020</v>
      </c>
      <c r="D244" t="s">
        <v>11</v>
      </c>
      <c r="E244" t="s">
        <v>139</v>
      </c>
      <c r="F244" t="s">
        <v>13</v>
      </c>
      <c r="G244" t="str">
        <f>VLOOKUP(A244,[1]Kreise!$A$1:$C$53,3,FALSE)</f>
        <v>K033</v>
      </c>
      <c r="H244">
        <v>88.153110047846894</v>
      </c>
    </row>
    <row r="245" spans="1:8">
      <c r="A245">
        <v>4</v>
      </c>
      <c r="B245" t="s">
        <v>33</v>
      </c>
      <c r="C245">
        <v>2020</v>
      </c>
      <c r="D245" t="s">
        <v>11</v>
      </c>
      <c r="E245" t="s">
        <v>139</v>
      </c>
      <c r="F245" t="s">
        <v>13</v>
      </c>
      <c r="G245" t="str">
        <f>VLOOKUP(A245,[1]Kreise!$A$1:$C$53,3,FALSE)</f>
        <v>K034</v>
      </c>
      <c r="H245">
        <v>83.860311467673426</v>
      </c>
    </row>
    <row r="246" spans="1:8">
      <c r="A246">
        <v>0</v>
      </c>
      <c r="B246" t="s">
        <v>34</v>
      </c>
      <c r="C246">
        <v>2020</v>
      </c>
      <c r="D246" t="s">
        <v>11</v>
      </c>
      <c r="E246" t="s">
        <v>139</v>
      </c>
      <c r="F246" t="s">
        <v>13</v>
      </c>
      <c r="G246" t="str">
        <f>VLOOKUP(A246,[1]Kreise!$A$1:$C$53,3,FALSE)</f>
        <v>K030</v>
      </c>
      <c r="H246">
        <v>84.835775369028809</v>
      </c>
    </row>
    <row r="247" spans="1:8">
      <c r="A247">
        <v>1</v>
      </c>
      <c r="B247" t="s">
        <v>30</v>
      </c>
      <c r="C247">
        <v>2019</v>
      </c>
      <c r="D247" t="s">
        <v>11</v>
      </c>
      <c r="E247" t="s">
        <v>139</v>
      </c>
      <c r="F247" t="s">
        <v>13</v>
      </c>
      <c r="G247" t="str">
        <f>VLOOKUP(A247,[1]Kreise!$A$1:$C$53,3,FALSE)</f>
        <v>K031</v>
      </c>
      <c r="H247">
        <v>87.970388648982109</v>
      </c>
    </row>
    <row r="248" spans="1:8">
      <c r="A248">
        <v>2</v>
      </c>
      <c r="B248" t="s">
        <v>31</v>
      </c>
      <c r="C248">
        <v>2019</v>
      </c>
      <c r="D248" t="s">
        <v>11</v>
      </c>
      <c r="E248" t="s">
        <v>139</v>
      </c>
      <c r="F248" t="s">
        <v>13</v>
      </c>
      <c r="G248" t="str">
        <f>VLOOKUP(A248,[1]Kreise!$A$1:$C$53,3,FALSE)</f>
        <v>K032</v>
      </c>
      <c r="H248">
        <v>80.182002022244689</v>
      </c>
    </row>
    <row r="249" spans="1:8">
      <c r="A249">
        <v>3</v>
      </c>
      <c r="B249" t="s">
        <v>32</v>
      </c>
      <c r="C249">
        <v>2019</v>
      </c>
      <c r="D249" t="s">
        <v>11</v>
      </c>
      <c r="E249" t="s">
        <v>139</v>
      </c>
      <c r="F249" t="s">
        <v>13</v>
      </c>
      <c r="G249" t="str">
        <f>VLOOKUP(A249,[1]Kreise!$A$1:$C$53,3,FALSE)</f>
        <v>K033</v>
      </c>
      <c r="H249">
        <v>89.574507275741382</v>
      </c>
    </row>
    <row r="250" spans="1:8">
      <c r="A250">
        <v>4</v>
      </c>
      <c r="B250" t="s">
        <v>33</v>
      </c>
      <c r="C250">
        <v>2019</v>
      </c>
      <c r="D250" t="s">
        <v>11</v>
      </c>
      <c r="E250" t="s">
        <v>139</v>
      </c>
      <c r="F250" t="s">
        <v>13</v>
      </c>
      <c r="G250" t="str">
        <f>VLOOKUP(A250,[1]Kreise!$A$1:$C$53,3,FALSE)</f>
        <v>K034</v>
      </c>
      <c r="H250">
        <v>85.47105561861521</v>
      </c>
    </row>
    <row r="251" spans="1:8">
      <c r="A251">
        <v>0</v>
      </c>
      <c r="B251" t="s">
        <v>34</v>
      </c>
      <c r="C251">
        <v>2019</v>
      </c>
      <c r="D251" t="s">
        <v>11</v>
      </c>
      <c r="E251" t="s">
        <v>139</v>
      </c>
      <c r="F251" t="s">
        <v>13</v>
      </c>
      <c r="G251" t="str">
        <f>VLOOKUP(A251,[1]Kreise!$A$1:$C$53,3,FALSE)</f>
        <v>K030</v>
      </c>
      <c r="H251">
        <v>86.036012110267166</v>
      </c>
    </row>
    <row r="252" spans="1:8">
      <c r="A252">
        <v>1</v>
      </c>
      <c r="B252" t="s">
        <v>30</v>
      </c>
      <c r="C252">
        <v>2018</v>
      </c>
      <c r="D252" t="s">
        <v>11</v>
      </c>
      <c r="E252" t="s">
        <v>139</v>
      </c>
      <c r="F252" t="s">
        <v>13</v>
      </c>
      <c r="G252" t="str">
        <f>VLOOKUP(A252,[1]Kreise!$A$1:$C$53,3,FALSE)</f>
        <v>K031</v>
      </c>
      <c r="H252">
        <v>87.625</v>
      </c>
    </row>
    <row r="253" spans="1:8">
      <c r="A253">
        <v>2</v>
      </c>
      <c r="B253" t="s">
        <v>31</v>
      </c>
      <c r="C253">
        <v>2018</v>
      </c>
      <c r="D253" t="s">
        <v>11</v>
      </c>
      <c r="E253" t="s">
        <v>139</v>
      </c>
      <c r="F253" t="s">
        <v>13</v>
      </c>
      <c r="G253" t="str">
        <f>VLOOKUP(A253,[1]Kreise!$A$1:$C$53,3,FALSE)</f>
        <v>K032</v>
      </c>
      <c r="H253">
        <v>85.719310587407676</v>
      </c>
    </row>
    <row r="254" spans="1:8">
      <c r="A254">
        <v>3</v>
      </c>
      <c r="B254" t="s">
        <v>32</v>
      </c>
      <c r="C254">
        <v>2018</v>
      </c>
      <c r="D254" t="s">
        <v>11</v>
      </c>
      <c r="E254" t="s">
        <v>139</v>
      </c>
      <c r="F254" t="s">
        <v>13</v>
      </c>
      <c r="G254" t="str">
        <f>VLOOKUP(A254,[1]Kreise!$A$1:$C$53,3,FALSE)</f>
        <v>K033</v>
      </c>
      <c r="H254">
        <v>90.149738408803898</v>
      </c>
    </row>
    <row r="255" spans="1:8">
      <c r="A255">
        <v>4</v>
      </c>
      <c r="B255" t="s">
        <v>33</v>
      </c>
      <c r="C255">
        <v>2018</v>
      </c>
      <c r="D255" t="s">
        <v>11</v>
      </c>
      <c r="E255" t="s">
        <v>139</v>
      </c>
      <c r="F255" t="s">
        <v>13</v>
      </c>
      <c r="G255" t="str">
        <f>VLOOKUP(A255,[1]Kreise!$A$1:$C$53,3,FALSE)</f>
        <v>K034</v>
      </c>
      <c r="H255">
        <v>87.821906833009038</v>
      </c>
    </row>
    <row r="256" spans="1:8">
      <c r="A256">
        <v>0</v>
      </c>
      <c r="B256" t="s">
        <v>34</v>
      </c>
      <c r="C256">
        <v>2018</v>
      </c>
      <c r="D256" t="s">
        <v>11</v>
      </c>
      <c r="E256" t="s">
        <v>139</v>
      </c>
      <c r="F256" t="s">
        <v>13</v>
      </c>
      <c r="G256" t="str">
        <f>VLOOKUP(A256,[1]Kreise!$A$1:$C$53,3,FALSE)</f>
        <v>K030</v>
      </c>
      <c r="H256">
        <v>88.174971959621857</v>
      </c>
    </row>
    <row r="257" spans="1:8">
      <c r="A257">
        <v>1</v>
      </c>
      <c r="B257" t="s">
        <v>30</v>
      </c>
      <c r="C257">
        <v>2017</v>
      </c>
      <c r="D257" t="s">
        <v>11</v>
      </c>
      <c r="E257" t="s">
        <v>139</v>
      </c>
      <c r="F257" t="s">
        <v>13</v>
      </c>
      <c r="G257" t="str">
        <f>VLOOKUP(A257,[1]Kreise!$A$1:$C$53,3,FALSE)</f>
        <v>K031</v>
      </c>
      <c r="H257">
        <v>90.058479532163744</v>
      </c>
    </row>
    <row r="258" spans="1:8">
      <c r="A258">
        <v>2</v>
      </c>
      <c r="B258" t="s">
        <v>31</v>
      </c>
      <c r="C258">
        <v>2017</v>
      </c>
      <c r="D258" t="s">
        <v>11</v>
      </c>
      <c r="E258" t="s">
        <v>139</v>
      </c>
      <c r="F258" t="s">
        <v>13</v>
      </c>
      <c r="G258" t="str">
        <f>VLOOKUP(A258,[1]Kreise!$A$1:$C$53,3,FALSE)</f>
        <v>K032</v>
      </c>
      <c r="H258">
        <v>85.622154779969648</v>
      </c>
    </row>
    <row r="259" spans="1:8">
      <c r="A259">
        <v>3</v>
      </c>
      <c r="B259" t="s">
        <v>32</v>
      </c>
      <c r="C259">
        <v>2017</v>
      </c>
      <c r="D259" t="s">
        <v>11</v>
      </c>
      <c r="E259" t="s">
        <v>139</v>
      </c>
      <c r="F259" t="s">
        <v>13</v>
      </c>
      <c r="G259" t="str">
        <f>VLOOKUP(A259,[1]Kreise!$A$1:$C$53,3,FALSE)</f>
        <v>K033</v>
      </c>
      <c r="H259">
        <v>91.663599558336401</v>
      </c>
    </row>
    <row r="260" spans="1:8">
      <c r="A260">
        <v>4</v>
      </c>
      <c r="B260" t="s">
        <v>33</v>
      </c>
      <c r="C260">
        <v>2017</v>
      </c>
      <c r="D260" t="s">
        <v>11</v>
      </c>
      <c r="E260" t="s">
        <v>139</v>
      </c>
      <c r="F260" t="s">
        <v>13</v>
      </c>
      <c r="G260" t="str">
        <f>VLOOKUP(A260,[1]Kreise!$A$1:$C$53,3,FALSE)</f>
        <v>K034</v>
      </c>
      <c r="H260">
        <v>88.612269207861829</v>
      </c>
    </row>
    <row r="261" spans="1:8">
      <c r="A261">
        <v>0</v>
      </c>
      <c r="B261" t="s">
        <v>34</v>
      </c>
      <c r="C261">
        <v>2017</v>
      </c>
      <c r="D261" t="s">
        <v>11</v>
      </c>
      <c r="E261" t="s">
        <v>139</v>
      </c>
      <c r="F261" t="s">
        <v>13</v>
      </c>
      <c r="G261" t="str">
        <f>VLOOKUP(A261,[1]Kreise!$A$1:$C$53,3,FALSE)</f>
        <v>K030</v>
      </c>
      <c r="H261">
        <v>89.226960110041261</v>
      </c>
    </row>
    <row r="262" spans="1:8">
      <c r="A262">
        <v>1</v>
      </c>
      <c r="B262" t="s">
        <v>30</v>
      </c>
      <c r="C262">
        <v>2016</v>
      </c>
      <c r="D262" t="s">
        <v>11</v>
      </c>
      <c r="E262" t="s">
        <v>139</v>
      </c>
      <c r="F262" t="s">
        <v>13</v>
      </c>
      <c r="G262" t="str">
        <f>VLOOKUP(A262,[1]Kreise!$A$1:$C$53,3,FALSE)</f>
        <v>K031</v>
      </c>
      <c r="H262">
        <v>91.682661548304552</v>
      </c>
    </row>
    <row r="263" spans="1:8">
      <c r="A263">
        <v>2</v>
      </c>
      <c r="B263" t="s">
        <v>31</v>
      </c>
      <c r="C263">
        <v>2016</v>
      </c>
      <c r="D263" t="s">
        <v>11</v>
      </c>
      <c r="E263" t="s">
        <v>139</v>
      </c>
      <c r="F263" t="s">
        <v>13</v>
      </c>
      <c r="G263" t="str">
        <f>VLOOKUP(A263,[1]Kreise!$A$1:$C$53,3,FALSE)</f>
        <v>K032</v>
      </c>
      <c r="H263">
        <v>89.390142021720962</v>
      </c>
    </row>
    <row r="264" spans="1:8">
      <c r="A264">
        <v>3</v>
      </c>
      <c r="B264" t="s">
        <v>32</v>
      </c>
      <c r="C264">
        <v>2016</v>
      </c>
      <c r="D264" t="s">
        <v>11</v>
      </c>
      <c r="E264" t="s">
        <v>139</v>
      </c>
      <c r="F264" t="s">
        <v>13</v>
      </c>
      <c r="G264" t="str">
        <f>VLOOKUP(A264,[1]Kreise!$A$1:$C$53,3,FALSE)</f>
        <v>K033</v>
      </c>
      <c r="H264">
        <v>93.190512624330523</v>
      </c>
    </row>
    <row r="265" spans="1:8">
      <c r="A265">
        <v>4</v>
      </c>
      <c r="B265" t="s">
        <v>33</v>
      </c>
      <c r="C265">
        <v>2016</v>
      </c>
      <c r="D265" t="s">
        <v>11</v>
      </c>
      <c r="E265" t="s">
        <v>139</v>
      </c>
      <c r="F265" t="s">
        <v>13</v>
      </c>
      <c r="G265" t="str">
        <f>VLOOKUP(A265,[1]Kreise!$A$1:$C$53,3,FALSE)</f>
        <v>K034</v>
      </c>
      <c r="H265">
        <v>90.786240786240796</v>
      </c>
    </row>
    <row r="266" spans="1:8">
      <c r="A266">
        <v>0</v>
      </c>
      <c r="B266" t="s">
        <v>34</v>
      </c>
      <c r="C266">
        <v>2016</v>
      </c>
      <c r="D266" t="s">
        <v>11</v>
      </c>
      <c r="E266" t="s">
        <v>139</v>
      </c>
      <c r="F266" t="s">
        <v>13</v>
      </c>
      <c r="G266" t="str">
        <f>VLOOKUP(A266,[1]Kreise!$A$1:$C$53,3,FALSE)</f>
        <v>K030</v>
      </c>
      <c r="H266">
        <v>91.429955787051057</v>
      </c>
    </row>
    <row r="267" spans="1:8">
      <c r="A267">
        <v>1</v>
      </c>
      <c r="B267" t="s">
        <v>30</v>
      </c>
      <c r="C267">
        <v>2015</v>
      </c>
      <c r="D267" t="s">
        <v>11</v>
      </c>
      <c r="E267" t="s">
        <v>139</v>
      </c>
      <c r="F267" t="s">
        <v>13</v>
      </c>
      <c r="G267" t="str">
        <f>VLOOKUP(A267,[1]Kreise!$A$1:$C$53,3,FALSE)</f>
        <v>K031</v>
      </c>
      <c r="H267">
        <v>94.859813084112147</v>
      </c>
    </row>
    <row r="268" spans="1:8">
      <c r="A268">
        <v>2</v>
      </c>
      <c r="B268" t="s">
        <v>31</v>
      </c>
      <c r="C268">
        <v>2015</v>
      </c>
      <c r="D268" t="s">
        <v>11</v>
      </c>
      <c r="E268" t="s">
        <v>139</v>
      </c>
      <c r="F268" t="s">
        <v>13</v>
      </c>
      <c r="G268" t="str">
        <f>VLOOKUP(A268,[1]Kreise!$A$1:$C$53,3,FALSE)</f>
        <v>K032</v>
      </c>
      <c r="H268">
        <v>90.763390974272468</v>
      </c>
    </row>
    <row r="269" spans="1:8">
      <c r="A269">
        <v>3</v>
      </c>
      <c r="B269" t="s">
        <v>32</v>
      </c>
      <c r="C269">
        <v>2015</v>
      </c>
      <c r="D269" t="s">
        <v>11</v>
      </c>
      <c r="E269" t="s">
        <v>139</v>
      </c>
      <c r="F269" t="s">
        <v>13</v>
      </c>
      <c r="G269" t="str">
        <f>VLOOKUP(A269,[1]Kreise!$A$1:$C$53,3,FALSE)</f>
        <v>K033</v>
      </c>
      <c r="H269">
        <v>94.876395534290268</v>
      </c>
    </row>
    <row r="270" spans="1:8">
      <c r="A270">
        <v>4</v>
      </c>
      <c r="B270" t="s">
        <v>33</v>
      </c>
      <c r="C270">
        <v>2015</v>
      </c>
      <c r="D270" t="s">
        <v>11</v>
      </c>
      <c r="E270" t="s">
        <v>139</v>
      </c>
      <c r="F270" t="s">
        <v>13</v>
      </c>
      <c r="G270" t="str">
        <f>VLOOKUP(A270,[1]Kreise!$A$1:$C$53,3,FALSE)</f>
        <v>K034</v>
      </c>
      <c r="H270">
        <v>93.10500225326723</v>
      </c>
    </row>
    <row r="271" spans="1:8">
      <c r="A271">
        <v>0</v>
      </c>
      <c r="B271" t="s">
        <v>34</v>
      </c>
      <c r="C271">
        <v>2015</v>
      </c>
      <c r="D271" t="s">
        <v>11</v>
      </c>
      <c r="E271" t="s">
        <v>139</v>
      </c>
      <c r="F271" t="s">
        <v>13</v>
      </c>
      <c r="G271" t="str">
        <f>VLOOKUP(A271,[1]Kreise!$A$1:$C$53,3,FALSE)</f>
        <v>K030</v>
      </c>
      <c r="H271">
        <v>93.48861150431091</v>
      </c>
    </row>
    <row r="272" spans="1:8">
      <c r="A272">
        <v>1</v>
      </c>
      <c r="B272" t="s">
        <v>145</v>
      </c>
      <c r="C272">
        <v>2014</v>
      </c>
      <c r="D272" t="s">
        <v>11</v>
      </c>
      <c r="E272" t="s">
        <v>139</v>
      </c>
      <c r="F272" t="s">
        <v>13</v>
      </c>
      <c r="G272" t="str">
        <f>VLOOKUP(A272,[1]Kreise!$A$1:$C$53,3,FALSE)</f>
        <v>K031</v>
      </c>
      <c r="H272">
        <v>96.561604584527217</v>
      </c>
    </row>
    <row r="273" spans="1:8">
      <c r="A273">
        <v>2</v>
      </c>
      <c r="B273" t="s">
        <v>146</v>
      </c>
      <c r="C273">
        <v>2014</v>
      </c>
      <c r="D273" t="s">
        <v>11</v>
      </c>
      <c r="E273" t="s">
        <v>139</v>
      </c>
      <c r="F273" t="s">
        <v>13</v>
      </c>
      <c r="G273" t="str">
        <f>VLOOKUP(A273,[1]Kreise!$A$1:$C$53,3,FALSE)</f>
        <v>K032</v>
      </c>
      <c r="H273">
        <v>92.284139620330691</v>
      </c>
    </row>
    <row r="274" spans="1:8">
      <c r="A274">
        <v>3</v>
      </c>
      <c r="B274" t="s">
        <v>147</v>
      </c>
      <c r="C274">
        <v>2014</v>
      </c>
      <c r="D274" t="s">
        <v>11</v>
      </c>
      <c r="E274" t="s">
        <v>139</v>
      </c>
      <c r="F274" t="s">
        <v>13</v>
      </c>
      <c r="G274" t="str">
        <f>VLOOKUP(A274,[1]Kreise!$A$1:$C$53,3,FALSE)</f>
        <v>K033</v>
      </c>
      <c r="H274">
        <v>96.141479099678463</v>
      </c>
    </row>
    <row r="275" spans="1:8">
      <c r="A275">
        <v>4</v>
      </c>
      <c r="B275" t="s">
        <v>148</v>
      </c>
      <c r="C275">
        <v>2014</v>
      </c>
      <c r="D275" t="s">
        <v>11</v>
      </c>
      <c r="E275" t="s">
        <v>139</v>
      </c>
      <c r="F275" t="s">
        <v>13</v>
      </c>
      <c r="G275" t="str">
        <f>VLOOKUP(A275,[1]Kreise!$A$1:$C$53,3,FALSE)</f>
        <v>K034</v>
      </c>
      <c r="H275">
        <v>94.944341372912803</v>
      </c>
    </row>
    <row r="276" spans="1:8">
      <c r="A276">
        <v>0</v>
      </c>
      <c r="B276" t="s">
        <v>34</v>
      </c>
      <c r="C276">
        <v>2014</v>
      </c>
      <c r="D276" t="s">
        <v>11</v>
      </c>
      <c r="E276" t="s">
        <v>139</v>
      </c>
      <c r="F276" t="s">
        <v>13</v>
      </c>
      <c r="G276" t="str">
        <f>VLOOKUP(A276,[1]Kreise!$A$1:$C$53,3,FALSE)</f>
        <v>K030</v>
      </c>
      <c r="H276">
        <v>95.050485052464865</v>
      </c>
    </row>
    <row r="277" spans="1:8">
      <c r="A277">
        <v>1</v>
      </c>
      <c r="B277" t="s">
        <v>30</v>
      </c>
      <c r="C277">
        <v>2013</v>
      </c>
      <c r="D277" t="s">
        <v>11</v>
      </c>
      <c r="E277" t="s">
        <v>139</v>
      </c>
      <c r="F277" t="s">
        <v>13</v>
      </c>
      <c r="G277" t="str">
        <f>VLOOKUP(A277,[1]Kreise!$A$1:$C$53,3,FALSE)</f>
        <v>K031</v>
      </c>
      <c r="H277" t="s">
        <v>35</v>
      </c>
    </row>
    <row r="278" spans="1:8">
      <c r="A278">
        <v>2</v>
      </c>
      <c r="B278" t="s">
        <v>31</v>
      </c>
      <c r="C278">
        <v>2013</v>
      </c>
      <c r="D278" t="s">
        <v>11</v>
      </c>
      <c r="E278" t="s">
        <v>139</v>
      </c>
      <c r="F278" t="s">
        <v>13</v>
      </c>
      <c r="G278" t="str">
        <f>VLOOKUP(A278,[1]Kreise!$A$1:$C$53,3,FALSE)</f>
        <v>K032</v>
      </c>
      <c r="H278" t="s">
        <v>35</v>
      </c>
    </row>
    <row r="279" spans="1:8">
      <c r="A279">
        <v>3</v>
      </c>
      <c r="B279" t="s">
        <v>32</v>
      </c>
      <c r="C279">
        <v>2013</v>
      </c>
      <c r="D279" t="s">
        <v>11</v>
      </c>
      <c r="E279" t="s">
        <v>139</v>
      </c>
      <c r="F279" t="s">
        <v>13</v>
      </c>
      <c r="G279" t="str">
        <f>VLOOKUP(A279,[1]Kreise!$A$1:$C$53,3,FALSE)</f>
        <v>K033</v>
      </c>
      <c r="H279" t="s">
        <v>35</v>
      </c>
    </row>
    <row r="280" spans="1:8">
      <c r="A280">
        <v>4</v>
      </c>
      <c r="B280" t="s">
        <v>33</v>
      </c>
      <c r="C280">
        <v>2013</v>
      </c>
      <c r="D280" t="s">
        <v>11</v>
      </c>
      <c r="E280" t="s">
        <v>139</v>
      </c>
      <c r="F280" t="s">
        <v>13</v>
      </c>
      <c r="G280" t="str">
        <f>VLOOKUP(A280,[1]Kreise!$A$1:$C$53,3,FALSE)</f>
        <v>K034</v>
      </c>
      <c r="H280" t="s">
        <v>35</v>
      </c>
    </row>
    <row r="281" spans="1:8">
      <c r="A281">
        <v>0</v>
      </c>
      <c r="B281" t="s">
        <v>34</v>
      </c>
      <c r="C281">
        <v>2013</v>
      </c>
      <c r="D281" t="s">
        <v>11</v>
      </c>
      <c r="E281" t="s">
        <v>139</v>
      </c>
      <c r="F281" t="s">
        <v>13</v>
      </c>
      <c r="G281" t="str">
        <f>VLOOKUP(A281,[1]Kreise!$A$1:$C$53,3,FALSE)</f>
        <v>K030</v>
      </c>
      <c r="H281" t="s">
        <v>35</v>
      </c>
    </row>
    <row r="282" spans="1:8">
      <c r="A282">
        <v>1</v>
      </c>
      <c r="B282" t="s">
        <v>145</v>
      </c>
      <c r="C282">
        <v>2012</v>
      </c>
      <c r="D282" t="s">
        <v>11</v>
      </c>
      <c r="E282" t="s">
        <v>139</v>
      </c>
      <c r="F282" t="s">
        <v>13</v>
      </c>
      <c r="G282" t="str">
        <f>VLOOKUP(A282,[1]Kreise!$A$1:$C$53,3,FALSE)</f>
        <v>K031</v>
      </c>
      <c r="H282" t="s">
        <v>35</v>
      </c>
    </row>
    <row r="283" spans="1:8">
      <c r="A283">
        <v>2</v>
      </c>
      <c r="B283" t="s">
        <v>146</v>
      </c>
      <c r="C283">
        <v>2012</v>
      </c>
      <c r="D283" t="s">
        <v>11</v>
      </c>
      <c r="E283" t="s">
        <v>139</v>
      </c>
      <c r="F283" t="s">
        <v>13</v>
      </c>
      <c r="G283" t="str">
        <f>VLOOKUP(A283,[1]Kreise!$A$1:$C$53,3,FALSE)</f>
        <v>K032</v>
      </c>
      <c r="H283" t="s">
        <v>35</v>
      </c>
    </row>
    <row r="284" spans="1:8">
      <c r="A284">
        <v>3</v>
      </c>
      <c r="B284" t="s">
        <v>147</v>
      </c>
      <c r="C284">
        <v>2012</v>
      </c>
      <c r="D284" t="s">
        <v>11</v>
      </c>
      <c r="E284" t="s">
        <v>139</v>
      </c>
      <c r="F284" t="s">
        <v>13</v>
      </c>
      <c r="G284" t="str">
        <f>VLOOKUP(A284,[1]Kreise!$A$1:$C$53,3,FALSE)</f>
        <v>K033</v>
      </c>
      <c r="H284" t="s">
        <v>35</v>
      </c>
    </row>
    <row r="285" spans="1:8">
      <c r="A285">
        <v>4</v>
      </c>
      <c r="B285" t="s">
        <v>148</v>
      </c>
      <c r="C285">
        <v>2012</v>
      </c>
      <c r="D285" t="s">
        <v>11</v>
      </c>
      <c r="E285" t="s">
        <v>139</v>
      </c>
      <c r="F285" t="s">
        <v>13</v>
      </c>
      <c r="G285" t="str">
        <f>VLOOKUP(A285,[1]Kreise!$A$1:$C$53,3,FALSE)</f>
        <v>K034</v>
      </c>
      <c r="H285" t="s">
        <v>35</v>
      </c>
    </row>
    <row r="286" spans="1:8">
      <c r="A286">
        <v>0</v>
      </c>
      <c r="B286" t="s">
        <v>34</v>
      </c>
      <c r="C286">
        <v>2012</v>
      </c>
      <c r="D286" t="s">
        <v>11</v>
      </c>
      <c r="E286" t="s">
        <v>139</v>
      </c>
      <c r="F286" t="s">
        <v>13</v>
      </c>
      <c r="G286" t="str">
        <f>VLOOKUP(A286,[1]Kreise!$A$1:$C$53,3,FALSE)</f>
        <v>K030</v>
      </c>
      <c r="H286" t="s">
        <v>35</v>
      </c>
    </row>
    <row r="287" spans="1:8">
      <c r="A287">
        <v>1</v>
      </c>
      <c r="B287" t="s">
        <v>30</v>
      </c>
      <c r="C287">
        <v>2011</v>
      </c>
      <c r="D287" t="s">
        <v>11</v>
      </c>
      <c r="E287" t="s">
        <v>139</v>
      </c>
      <c r="F287" t="s">
        <v>13</v>
      </c>
      <c r="G287" t="str">
        <f>VLOOKUP(A287,[1]Kreise!$A$1:$C$53,3,FALSE)</f>
        <v>K031</v>
      </c>
      <c r="H287" t="s">
        <v>35</v>
      </c>
    </row>
    <row r="288" spans="1:8">
      <c r="A288">
        <v>2</v>
      </c>
      <c r="B288" t="s">
        <v>31</v>
      </c>
      <c r="C288">
        <v>2011</v>
      </c>
      <c r="D288" t="s">
        <v>11</v>
      </c>
      <c r="E288" t="s">
        <v>139</v>
      </c>
      <c r="F288" t="s">
        <v>13</v>
      </c>
      <c r="G288" t="str">
        <f>VLOOKUP(A288,[1]Kreise!$A$1:$C$53,3,FALSE)</f>
        <v>K032</v>
      </c>
      <c r="H288" t="s">
        <v>35</v>
      </c>
    </row>
    <row r="289" spans="1:8">
      <c r="A289">
        <v>3</v>
      </c>
      <c r="B289" t="s">
        <v>32</v>
      </c>
      <c r="C289">
        <v>2011</v>
      </c>
      <c r="D289" t="s">
        <v>11</v>
      </c>
      <c r="E289" t="s">
        <v>139</v>
      </c>
      <c r="F289" t="s">
        <v>13</v>
      </c>
      <c r="G289" t="str">
        <f>VLOOKUP(A289,[1]Kreise!$A$1:$C$53,3,FALSE)</f>
        <v>K033</v>
      </c>
      <c r="H289" t="s">
        <v>35</v>
      </c>
    </row>
    <row r="290" spans="1:8">
      <c r="A290">
        <v>4</v>
      </c>
      <c r="B290" t="s">
        <v>33</v>
      </c>
      <c r="C290">
        <v>2011</v>
      </c>
      <c r="D290" t="s">
        <v>11</v>
      </c>
      <c r="E290" t="s">
        <v>139</v>
      </c>
      <c r="F290" t="s">
        <v>13</v>
      </c>
      <c r="G290" t="str">
        <f>VLOOKUP(A290,[1]Kreise!$A$1:$C$53,3,FALSE)</f>
        <v>K034</v>
      </c>
      <c r="H290" t="s">
        <v>35</v>
      </c>
    </row>
    <row r="291" spans="1:8">
      <c r="A291">
        <v>0</v>
      </c>
      <c r="B291" t="s">
        <v>34</v>
      </c>
      <c r="C291">
        <v>2011</v>
      </c>
      <c r="D291" t="s">
        <v>11</v>
      </c>
      <c r="E291" t="s">
        <v>139</v>
      </c>
      <c r="F291" t="s">
        <v>13</v>
      </c>
      <c r="G291" t="str">
        <f>VLOOKUP(A291,[1]Kreise!$A$1:$C$53,3,FALSE)</f>
        <v>K030</v>
      </c>
      <c r="H291" t="s">
        <v>35</v>
      </c>
    </row>
    <row r="292" spans="1:8">
      <c r="A292">
        <v>1</v>
      </c>
      <c r="B292" t="s">
        <v>145</v>
      </c>
      <c r="C292">
        <v>2010</v>
      </c>
      <c r="D292" t="s">
        <v>11</v>
      </c>
      <c r="E292" t="s">
        <v>139</v>
      </c>
      <c r="F292" t="s">
        <v>13</v>
      </c>
      <c r="G292" t="str">
        <f>VLOOKUP(A292,[1]Kreise!$A$1:$C$53,3,FALSE)</f>
        <v>K031</v>
      </c>
      <c r="H292" t="s">
        <v>35</v>
      </c>
    </row>
    <row r="293" spans="1:8">
      <c r="A293">
        <v>2</v>
      </c>
      <c r="B293" t="s">
        <v>146</v>
      </c>
      <c r="C293">
        <v>2010</v>
      </c>
      <c r="D293" t="s">
        <v>11</v>
      </c>
      <c r="E293" t="s">
        <v>139</v>
      </c>
      <c r="F293" t="s">
        <v>13</v>
      </c>
      <c r="G293" t="str">
        <f>VLOOKUP(A293,[1]Kreise!$A$1:$C$53,3,FALSE)</f>
        <v>K032</v>
      </c>
      <c r="H293" t="s">
        <v>35</v>
      </c>
    </row>
    <row r="294" spans="1:8">
      <c r="A294">
        <v>3</v>
      </c>
      <c r="B294" t="s">
        <v>147</v>
      </c>
      <c r="C294">
        <v>2010</v>
      </c>
      <c r="D294" t="s">
        <v>11</v>
      </c>
      <c r="E294" t="s">
        <v>139</v>
      </c>
      <c r="F294" t="s">
        <v>13</v>
      </c>
      <c r="G294" t="str">
        <f>VLOOKUP(A294,[1]Kreise!$A$1:$C$53,3,FALSE)</f>
        <v>K033</v>
      </c>
      <c r="H294" t="s">
        <v>35</v>
      </c>
    </row>
    <row r="295" spans="1:8">
      <c r="A295">
        <v>4</v>
      </c>
      <c r="B295" t="s">
        <v>148</v>
      </c>
      <c r="C295">
        <v>2010</v>
      </c>
      <c r="D295" t="s">
        <v>11</v>
      </c>
      <c r="E295" t="s">
        <v>139</v>
      </c>
      <c r="F295" t="s">
        <v>13</v>
      </c>
      <c r="G295" t="str">
        <f>VLOOKUP(A295,[1]Kreise!$A$1:$C$53,3,FALSE)</f>
        <v>K034</v>
      </c>
      <c r="H295" t="s">
        <v>35</v>
      </c>
    </row>
    <row r="296" spans="1:8">
      <c r="A296">
        <v>0</v>
      </c>
      <c r="B296" t="s">
        <v>34</v>
      </c>
      <c r="C296">
        <v>2010</v>
      </c>
      <c r="D296" t="s">
        <v>11</v>
      </c>
      <c r="E296" t="s">
        <v>139</v>
      </c>
      <c r="F296" t="s">
        <v>13</v>
      </c>
      <c r="G296" t="str">
        <f>VLOOKUP(A296,[1]Kreise!$A$1:$C$53,3,FALSE)</f>
        <v>K030</v>
      </c>
      <c r="H296" t="s">
        <v>35</v>
      </c>
    </row>
    <row r="297" spans="1:8">
      <c r="A297">
        <v>1</v>
      </c>
      <c r="B297" t="s">
        <v>145</v>
      </c>
      <c r="C297">
        <v>2005</v>
      </c>
      <c r="D297" t="s">
        <v>11</v>
      </c>
      <c r="E297" t="s">
        <v>139</v>
      </c>
      <c r="F297" t="s">
        <v>13</v>
      </c>
      <c r="G297" t="str">
        <f>VLOOKUP(A297,[1]Kreise!$A$1:$C$53,3,FALSE)</f>
        <v>K031</v>
      </c>
      <c r="H297" t="s">
        <v>35</v>
      </c>
    </row>
    <row r="298" spans="1:8">
      <c r="A298">
        <v>2</v>
      </c>
      <c r="B298" t="s">
        <v>146</v>
      </c>
      <c r="C298">
        <v>2005</v>
      </c>
      <c r="D298" t="s">
        <v>11</v>
      </c>
      <c r="E298" t="s">
        <v>139</v>
      </c>
      <c r="F298" t="s">
        <v>13</v>
      </c>
      <c r="G298" t="str">
        <f>VLOOKUP(A298,[1]Kreise!$A$1:$C$53,3,FALSE)</f>
        <v>K032</v>
      </c>
      <c r="H298" t="s">
        <v>35</v>
      </c>
    </row>
    <row r="299" spans="1:8">
      <c r="A299">
        <v>3</v>
      </c>
      <c r="B299" t="s">
        <v>147</v>
      </c>
      <c r="C299">
        <v>2005</v>
      </c>
      <c r="D299" t="s">
        <v>11</v>
      </c>
      <c r="E299" t="s">
        <v>139</v>
      </c>
      <c r="F299" t="s">
        <v>13</v>
      </c>
      <c r="G299" t="str">
        <f>VLOOKUP(A299,[1]Kreise!$A$1:$C$53,3,FALSE)</f>
        <v>K033</v>
      </c>
      <c r="H299" t="s">
        <v>35</v>
      </c>
    </row>
    <row r="300" spans="1:8">
      <c r="A300">
        <v>4</v>
      </c>
      <c r="B300" t="s">
        <v>148</v>
      </c>
      <c r="C300">
        <v>2005</v>
      </c>
      <c r="D300" t="s">
        <v>11</v>
      </c>
      <c r="E300" t="s">
        <v>139</v>
      </c>
      <c r="F300" t="s">
        <v>13</v>
      </c>
      <c r="G300" t="str">
        <f>VLOOKUP(A300,[1]Kreise!$A$1:$C$53,3,FALSE)</f>
        <v>K034</v>
      </c>
      <c r="H300" t="s">
        <v>35</v>
      </c>
    </row>
    <row r="301" spans="1:8">
      <c r="A301">
        <v>0</v>
      </c>
      <c r="B301" t="s">
        <v>34</v>
      </c>
      <c r="C301">
        <v>2005</v>
      </c>
      <c r="D301" t="s">
        <v>11</v>
      </c>
      <c r="E301" t="s">
        <v>139</v>
      </c>
      <c r="F301" t="s">
        <v>13</v>
      </c>
      <c r="G301" t="str">
        <f>VLOOKUP(A301,[1]Kreise!$A$1:$C$53,3,FALSE)</f>
        <v>K030</v>
      </c>
      <c r="H301" t="s">
        <v>35</v>
      </c>
    </row>
    <row r="302" spans="1:8">
      <c r="A302">
        <v>1</v>
      </c>
      <c r="B302" t="s">
        <v>30</v>
      </c>
      <c r="C302">
        <v>2020</v>
      </c>
      <c r="D302" t="s">
        <v>12</v>
      </c>
      <c r="E302" t="s">
        <v>139</v>
      </c>
      <c r="F302" t="s">
        <v>13</v>
      </c>
      <c r="G302" t="str">
        <f>VLOOKUP(A302,[1]Kreise!$A$1:$C$53,3,FALSE)</f>
        <v>K031</v>
      </c>
      <c r="H302">
        <v>13.256851497769279</v>
      </c>
    </row>
    <row r="303" spans="1:8">
      <c r="A303">
        <v>2</v>
      </c>
      <c r="B303" t="s">
        <v>31</v>
      </c>
      <c r="C303">
        <v>2020</v>
      </c>
      <c r="D303" t="s">
        <v>12</v>
      </c>
      <c r="E303" t="s">
        <v>139</v>
      </c>
      <c r="F303" t="s">
        <v>13</v>
      </c>
      <c r="G303" t="str">
        <f>VLOOKUP(A303,[1]Kreise!$A$1:$C$53,3,FALSE)</f>
        <v>K032</v>
      </c>
      <c r="H303">
        <v>19.067659436710908</v>
      </c>
    </row>
    <row r="304" spans="1:8">
      <c r="A304">
        <v>3</v>
      </c>
      <c r="B304" t="s">
        <v>32</v>
      </c>
      <c r="C304">
        <v>2020</v>
      </c>
      <c r="D304" t="s">
        <v>12</v>
      </c>
      <c r="E304" t="s">
        <v>139</v>
      </c>
      <c r="F304" t="s">
        <v>13</v>
      </c>
      <c r="G304" t="str">
        <f>VLOOKUP(A304,[1]Kreise!$A$1:$C$53,3,FALSE)</f>
        <v>K033</v>
      </c>
      <c r="H304">
        <v>11.846889952153109</v>
      </c>
    </row>
    <row r="305" spans="1:8">
      <c r="A305">
        <v>4</v>
      </c>
      <c r="B305" t="s">
        <v>33</v>
      </c>
      <c r="C305">
        <v>2020</v>
      </c>
      <c r="D305" t="s">
        <v>12</v>
      </c>
      <c r="E305" t="s">
        <v>139</v>
      </c>
      <c r="F305" t="s">
        <v>13</v>
      </c>
      <c r="G305" t="str">
        <f>VLOOKUP(A305,[1]Kreise!$A$1:$C$53,3,FALSE)</f>
        <v>K034</v>
      </c>
      <c r="H305">
        <v>16.139688532326566</v>
      </c>
    </row>
    <row r="306" spans="1:8">
      <c r="A306">
        <v>0</v>
      </c>
      <c r="B306" t="s">
        <v>34</v>
      </c>
      <c r="C306">
        <v>2020</v>
      </c>
      <c r="D306" t="s">
        <v>12</v>
      </c>
      <c r="E306" t="s">
        <v>139</v>
      </c>
      <c r="F306" t="s">
        <v>13</v>
      </c>
      <c r="G306" t="str">
        <f>VLOOKUP(A306,[1]Kreise!$A$1:$C$53,3,FALSE)</f>
        <v>K030</v>
      </c>
      <c r="H306">
        <v>15.164224630971185</v>
      </c>
    </row>
    <row r="307" spans="1:8">
      <c r="A307">
        <v>1</v>
      </c>
      <c r="B307" t="s">
        <v>30</v>
      </c>
      <c r="C307">
        <v>2019</v>
      </c>
      <c r="D307" t="s">
        <v>12</v>
      </c>
      <c r="E307" t="s">
        <v>139</v>
      </c>
      <c r="F307" t="s">
        <v>13</v>
      </c>
      <c r="G307" t="str">
        <f>VLOOKUP(A307,[1]Kreise!$A$1:$C$53,3,FALSE)</f>
        <v>K031</v>
      </c>
      <c r="H307">
        <v>12.029611351017889</v>
      </c>
    </row>
    <row r="308" spans="1:8">
      <c r="A308">
        <v>2</v>
      </c>
      <c r="B308" t="s">
        <v>31</v>
      </c>
      <c r="C308">
        <v>2019</v>
      </c>
      <c r="D308" t="s">
        <v>12</v>
      </c>
      <c r="E308" t="s">
        <v>139</v>
      </c>
      <c r="F308" t="s">
        <v>13</v>
      </c>
      <c r="G308" t="str">
        <f>VLOOKUP(A308,[1]Kreise!$A$1:$C$53,3,FALSE)</f>
        <v>K032</v>
      </c>
      <c r="H308">
        <v>19.817997977755308</v>
      </c>
    </row>
    <row r="309" spans="1:8">
      <c r="A309">
        <v>3</v>
      </c>
      <c r="B309" t="s">
        <v>32</v>
      </c>
      <c r="C309">
        <v>2019</v>
      </c>
      <c r="D309" t="s">
        <v>12</v>
      </c>
      <c r="E309" t="s">
        <v>139</v>
      </c>
      <c r="F309" t="s">
        <v>13</v>
      </c>
      <c r="G309" t="str">
        <f>VLOOKUP(A309,[1]Kreise!$A$1:$C$53,3,FALSE)</f>
        <v>K033</v>
      </c>
      <c r="H309">
        <v>10.425492724258611</v>
      </c>
    </row>
    <row r="310" spans="1:8">
      <c r="A310">
        <v>4</v>
      </c>
      <c r="B310" t="s">
        <v>33</v>
      </c>
      <c r="C310">
        <v>2019</v>
      </c>
      <c r="D310" t="s">
        <v>12</v>
      </c>
      <c r="E310" t="s">
        <v>139</v>
      </c>
      <c r="F310" t="s">
        <v>13</v>
      </c>
      <c r="G310" t="str">
        <f>VLOOKUP(A310,[1]Kreise!$A$1:$C$53,3,FALSE)</f>
        <v>K034</v>
      </c>
      <c r="H310">
        <v>14.52894438138479</v>
      </c>
    </row>
    <row r="311" spans="1:8">
      <c r="A311">
        <v>0</v>
      </c>
      <c r="B311" t="s">
        <v>34</v>
      </c>
      <c r="C311">
        <v>2019</v>
      </c>
      <c r="D311" t="s">
        <v>12</v>
      </c>
      <c r="E311" t="s">
        <v>139</v>
      </c>
      <c r="F311" t="s">
        <v>13</v>
      </c>
      <c r="G311" t="str">
        <f>VLOOKUP(A311,[1]Kreise!$A$1:$C$53,3,FALSE)</f>
        <v>K030</v>
      </c>
      <c r="H311">
        <v>13.963987889732831</v>
      </c>
    </row>
    <row r="312" spans="1:8">
      <c r="A312">
        <v>1</v>
      </c>
      <c r="B312" t="s">
        <v>30</v>
      </c>
      <c r="C312">
        <v>2018</v>
      </c>
      <c r="D312" t="s">
        <v>12</v>
      </c>
      <c r="E312" t="s">
        <v>139</v>
      </c>
      <c r="F312" t="s">
        <v>13</v>
      </c>
      <c r="G312" t="str">
        <f>VLOOKUP(A312,[1]Kreise!$A$1:$C$53,3,FALSE)</f>
        <v>K031</v>
      </c>
      <c r="H312">
        <v>12.375</v>
      </c>
    </row>
    <row r="313" spans="1:8">
      <c r="A313">
        <v>2</v>
      </c>
      <c r="B313" t="s">
        <v>31</v>
      </c>
      <c r="C313">
        <v>2018</v>
      </c>
      <c r="D313" t="s">
        <v>12</v>
      </c>
      <c r="E313" t="s">
        <v>139</v>
      </c>
      <c r="F313" t="s">
        <v>13</v>
      </c>
      <c r="G313" t="str">
        <f>VLOOKUP(A313,[1]Kreise!$A$1:$C$53,3,FALSE)</f>
        <v>K032</v>
      </c>
      <c r="H313">
        <v>14.280689412592332</v>
      </c>
    </row>
    <row r="314" spans="1:8">
      <c r="A314">
        <v>3</v>
      </c>
      <c r="B314" t="s">
        <v>32</v>
      </c>
      <c r="C314">
        <v>2018</v>
      </c>
      <c r="D314" t="s">
        <v>12</v>
      </c>
      <c r="E314" t="s">
        <v>139</v>
      </c>
      <c r="F314" t="s">
        <v>13</v>
      </c>
      <c r="G314" t="str">
        <f>VLOOKUP(A314,[1]Kreise!$A$1:$C$53,3,FALSE)</f>
        <v>K033</v>
      </c>
      <c r="H314">
        <v>9.8502615911961033</v>
      </c>
    </row>
    <row r="315" spans="1:8">
      <c r="A315">
        <v>4</v>
      </c>
      <c r="B315" t="s">
        <v>33</v>
      </c>
      <c r="C315">
        <v>2018</v>
      </c>
      <c r="D315" t="s">
        <v>12</v>
      </c>
      <c r="E315" t="s">
        <v>139</v>
      </c>
      <c r="F315" t="s">
        <v>13</v>
      </c>
      <c r="G315" t="str">
        <f>VLOOKUP(A315,[1]Kreise!$A$1:$C$53,3,FALSE)</f>
        <v>K034</v>
      </c>
      <c r="H315">
        <v>12.178093166990958</v>
      </c>
    </row>
    <row r="316" spans="1:8">
      <c r="A316">
        <v>0</v>
      </c>
      <c r="B316" t="s">
        <v>34</v>
      </c>
      <c r="C316">
        <v>2018</v>
      </c>
      <c r="D316" t="s">
        <v>12</v>
      </c>
      <c r="E316" t="s">
        <v>139</v>
      </c>
      <c r="F316" t="s">
        <v>13</v>
      </c>
      <c r="G316" t="str">
        <f>VLOOKUP(A316,[1]Kreise!$A$1:$C$53,3,FALSE)</f>
        <v>K030</v>
      </c>
      <c r="H316">
        <v>11.825028040378145</v>
      </c>
    </row>
    <row r="317" spans="1:8">
      <c r="A317">
        <v>1</v>
      </c>
      <c r="B317" t="s">
        <v>30</v>
      </c>
      <c r="C317">
        <v>2017</v>
      </c>
      <c r="D317" t="s">
        <v>12</v>
      </c>
      <c r="E317" t="s">
        <v>139</v>
      </c>
      <c r="F317" t="s">
        <v>13</v>
      </c>
      <c r="G317" t="str">
        <f>VLOOKUP(A317,[1]Kreise!$A$1:$C$53,3,FALSE)</f>
        <v>K031</v>
      </c>
      <c r="H317">
        <v>9.9415204678362574</v>
      </c>
    </row>
    <row r="318" spans="1:8">
      <c r="A318">
        <v>2</v>
      </c>
      <c r="B318" t="s">
        <v>31</v>
      </c>
      <c r="C318">
        <v>2017</v>
      </c>
      <c r="D318" t="s">
        <v>12</v>
      </c>
      <c r="E318" t="s">
        <v>139</v>
      </c>
      <c r="F318" t="s">
        <v>13</v>
      </c>
      <c r="G318" t="str">
        <f>VLOOKUP(A318,[1]Kreise!$A$1:$C$53,3,FALSE)</f>
        <v>K032</v>
      </c>
      <c r="H318">
        <v>14.37784522003035</v>
      </c>
    </row>
    <row r="319" spans="1:8">
      <c r="A319">
        <v>3</v>
      </c>
      <c r="B319" t="s">
        <v>32</v>
      </c>
      <c r="C319">
        <v>2017</v>
      </c>
      <c r="D319" t="s">
        <v>12</v>
      </c>
      <c r="E319" t="s">
        <v>139</v>
      </c>
      <c r="F319" t="s">
        <v>13</v>
      </c>
      <c r="G319" t="str">
        <f>VLOOKUP(A319,[1]Kreise!$A$1:$C$53,3,FALSE)</f>
        <v>K033</v>
      </c>
      <c r="H319">
        <v>8.3364004416635993</v>
      </c>
    </row>
    <row r="320" spans="1:8">
      <c r="A320">
        <v>4</v>
      </c>
      <c r="B320" t="s">
        <v>33</v>
      </c>
      <c r="C320">
        <v>2017</v>
      </c>
      <c r="D320" t="s">
        <v>12</v>
      </c>
      <c r="E320" t="s">
        <v>139</v>
      </c>
      <c r="F320" t="s">
        <v>13</v>
      </c>
      <c r="G320" t="str">
        <f>VLOOKUP(A320,[1]Kreise!$A$1:$C$53,3,FALSE)</f>
        <v>K034</v>
      </c>
      <c r="H320">
        <v>11.387730792138177</v>
      </c>
    </row>
    <row r="321" spans="1:8">
      <c r="A321">
        <v>0</v>
      </c>
      <c r="B321" t="s">
        <v>34</v>
      </c>
      <c r="C321">
        <v>2017</v>
      </c>
      <c r="D321" t="s">
        <v>12</v>
      </c>
      <c r="E321" t="s">
        <v>139</v>
      </c>
      <c r="F321" t="s">
        <v>13</v>
      </c>
      <c r="G321" t="str">
        <f>VLOOKUP(A321,[1]Kreise!$A$1:$C$53,3,FALSE)</f>
        <v>K030</v>
      </c>
      <c r="H321">
        <v>10.773039889958733</v>
      </c>
    </row>
    <row r="322" spans="1:8">
      <c r="A322">
        <v>1</v>
      </c>
      <c r="B322" t="s">
        <v>30</v>
      </c>
      <c r="C322">
        <v>2016</v>
      </c>
      <c r="D322" t="s">
        <v>12</v>
      </c>
      <c r="E322" t="s">
        <v>139</v>
      </c>
      <c r="F322" t="s">
        <v>13</v>
      </c>
      <c r="G322" t="str">
        <f>VLOOKUP(A322,[1]Kreise!$A$1:$C$53,3,FALSE)</f>
        <v>K031</v>
      </c>
      <c r="H322">
        <v>8.3173384516954574</v>
      </c>
    </row>
    <row r="323" spans="1:8">
      <c r="A323">
        <v>2</v>
      </c>
      <c r="B323" t="s">
        <v>31</v>
      </c>
      <c r="C323">
        <v>2016</v>
      </c>
      <c r="D323" t="s">
        <v>12</v>
      </c>
      <c r="E323" t="s">
        <v>139</v>
      </c>
      <c r="F323" t="s">
        <v>13</v>
      </c>
      <c r="G323" t="str">
        <f>VLOOKUP(A323,[1]Kreise!$A$1:$C$53,3,FALSE)</f>
        <v>K032</v>
      </c>
      <c r="H323">
        <v>10.609857978279031</v>
      </c>
    </row>
    <row r="324" spans="1:8">
      <c r="A324">
        <v>3</v>
      </c>
      <c r="B324" t="s">
        <v>32</v>
      </c>
      <c r="C324">
        <v>2016</v>
      </c>
      <c r="D324" t="s">
        <v>12</v>
      </c>
      <c r="E324" t="s">
        <v>139</v>
      </c>
      <c r="F324" t="s">
        <v>13</v>
      </c>
      <c r="G324" t="str">
        <f>VLOOKUP(A324,[1]Kreise!$A$1:$C$53,3,FALSE)</f>
        <v>K033</v>
      </c>
      <c r="H324">
        <v>6.8094873756694723</v>
      </c>
    </row>
    <row r="325" spans="1:8">
      <c r="A325">
        <v>4</v>
      </c>
      <c r="B325" t="s">
        <v>33</v>
      </c>
      <c r="C325">
        <v>2016</v>
      </c>
      <c r="D325" t="s">
        <v>12</v>
      </c>
      <c r="E325" t="s">
        <v>139</v>
      </c>
      <c r="F325" t="s">
        <v>13</v>
      </c>
      <c r="G325" t="str">
        <f>VLOOKUP(A325,[1]Kreise!$A$1:$C$53,3,FALSE)</f>
        <v>K034</v>
      </c>
      <c r="H325">
        <v>9.2137592137592144</v>
      </c>
    </row>
    <row r="326" spans="1:8">
      <c r="A326">
        <v>0</v>
      </c>
      <c r="B326" t="s">
        <v>34</v>
      </c>
      <c r="C326">
        <v>2016</v>
      </c>
      <c r="D326" t="s">
        <v>12</v>
      </c>
      <c r="E326" t="s">
        <v>139</v>
      </c>
      <c r="F326" t="s">
        <v>13</v>
      </c>
      <c r="G326" t="str">
        <f>VLOOKUP(A326,[1]Kreise!$A$1:$C$53,3,FALSE)</f>
        <v>K030</v>
      </c>
      <c r="H326">
        <v>8.5700442129489431</v>
      </c>
    </row>
    <row r="327" spans="1:8">
      <c r="A327">
        <v>1</v>
      </c>
      <c r="B327" t="s">
        <v>30</v>
      </c>
      <c r="C327">
        <v>2015</v>
      </c>
      <c r="D327" t="s">
        <v>12</v>
      </c>
      <c r="E327" t="s">
        <v>139</v>
      </c>
      <c r="F327" t="s">
        <v>13</v>
      </c>
      <c r="G327" t="str">
        <f>VLOOKUP(A327,[1]Kreise!$A$1:$C$53,3,FALSE)</f>
        <v>K031</v>
      </c>
      <c r="H327">
        <v>5.1401869158878499</v>
      </c>
    </row>
    <row r="328" spans="1:8">
      <c r="A328">
        <v>2</v>
      </c>
      <c r="B328" t="s">
        <v>31</v>
      </c>
      <c r="C328">
        <v>2015</v>
      </c>
      <c r="D328" t="s">
        <v>12</v>
      </c>
      <c r="E328" t="s">
        <v>139</v>
      </c>
      <c r="F328" t="s">
        <v>13</v>
      </c>
      <c r="G328" t="str">
        <f>VLOOKUP(A328,[1]Kreise!$A$1:$C$53,3,FALSE)</f>
        <v>K032</v>
      </c>
      <c r="H328">
        <v>9.2366090257275406</v>
      </c>
    </row>
    <row r="329" spans="1:8">
      <c r="A329">
        <v>3</v>
      </c>
      <c r="B329" t="s">
        <v>32</v>
      </c>
      <c r="C329">
        <v>2015</v>
      </c>
      <c r="D329" t="s">
        <v>12</v>
      </c>
      <c r="E329" t="s">
        <v>139</v>
      </c>
      <c r="F329" t="s">
        <v>13</v>
      </c>
      <c r="G329" t="str">
        <f>VLOOKUP(A329,[1]Kreise!$A$1:$C$53,3,FALSE)</f>
        <v>K033</v>
      </c>
      <c r="H329">
        <v>5.1236044657097288</v>
      </c>
    </row>
    <row r="330" spans="1:8">
      <c r="A330">
        <v>4</v>
      </c>
      <c r="B330" t="s">
        <v>33</v>
      </c>
      <c r="C330">
        <v>2015</v>
      </c>
      <c r="D330" t="s">
        <v>12</v>
      </c>
      <c r="E330" t="s">
        <v>139</v>
      </c>
      <c r="F330" t="s">
        <v>13</v>
      </c>
      <c r="G330" t="str">
        <f>VLOOKUP(A330,[1]Kreise!$A$1:$C$53,3,FALSE)</f>
        <v>K034</v>
      </c>
      <c r="H330">
        <v>6.8949977467327628</v>
      </c>
    </row>
    <row r="331" spans="1:8">
      <c r="A331">
        <v>0</v>
      </c>
      <c r="B331" t="s">
        <v>34</v>
      </c>
      <c r="C331">
        <v>2015</v>
      </c>
      <c r="D331" t="s">
        <v>12</v>
      </c>
      <c r="E331" t="s">
        <v>139</v>
      </c>
      <c r="F331" t="s">
        <v>13</v>
      </c>
      <c r="G331" t="str">
        <f>VLOOKUP(A331,[1]Kreise!$A$1:$C$53,3,FALSE)</f>
        <v>K030</v>
      </c>
      <c r="H331">
        <v>6.5113884956891006</v>
      </c>
    </row>
    <row r="332" spans="1:8">
      <c r="A332">
        <v>1</v>
      </c>
      <c r="B332" t="s">
        <v>145</v>
      </c>
      <c r="C332">
        <v>2014</v>
      </c>
      <c r="D332" t="s">
        <v>12</v>
      </c>
      <c r="E332" t="s">
        <v>139</v>
      </c>
      <c r="F332" t="s">
        <v>13</v>
      </c>
      <c r="G332" t="str">
        <f>VLOOKUP(A332,[1]Kreise!$A$1:$C$53,3,FALSE)</f>
        <v>K031</v>
      </c>
      <c r="H332">
        <v>3.4383954154727796</v>
      </c>
    </row>
    <row r="333" spans="1:8">
      <c r="A333">
        <v>2</v>
      </c>
      <c r="B333" t="s">
        <v>146</v>
      </c>
      <c r="C333">
        <v>2014</v>
      </c>
      <c r="D333" t="s">
        <v>12</v>
      </c>
      <c r="E333" t="s">
        <v>139</v>
      </c>
      <c r="F333" t="s">
        <v>13</v>
      </c>
      <c r="G333" t="str">
        <f>VLOOKUP(A333,[1]Kreise!$A$1:$C$53,3,FALSE)</f>
        <v>K032</v>
      </c>
      <c r="H333">
        <v>7.7158603796693201</v>
      </c>
    </row>
    <row r="334" spans="1:8">
      <c r="A334">
        <v>3</v>
      </c>
      <c r="B334" t="s">
        <v>147</v>
      </c>
      <c r="C334">
        <v>2014</v>
      </c>
      <c r="D334" t="s">
        <v>12</v>
      </c>
      <c r="E334" t="s">
        <v>139</v>
      </c>
      <c r="F334" t="s">
        <v>13</v>
      </c>
      <c r="G334" t="str">
        <f>VLOOKUP(A334,[1]Kreise!$A$1:$C$53,3,FALSE)</f>
        <v>K033</v>
      </c>
      <c r="H334">
        <v>3.8585209003215439</v>
      </c>
    </row>
    <row r="335" spans="1:8">
      <c r="A335">
        <v>4</v>
      </c>
      <c r="B335" t="s">
        <v>148</v>
      </c>
      <c r="C335">
        <v>2014</v>
      </c>
      <c r="D335" t="s">
        <v>12</v>
      </c>
      <c r="E335" t="s">
        <v>139</v>
      </c>
      <c r="F335" t="s">
        <v>13</v>
      </c>
      <c r="G335" t="str">
        <f>VLOOKUP(A335,[1]Kreise!$A$1:$C$53,3,FALSE)</f>
        <v>K034</v>
      </c>
      <c r="H335">
        <v>5.0556586270871984</v>
      </c>
    </row>
    <row r="336" spans="1:8">
      <c r="A336">
        <v>0</v>
      </c>
      <c r="B336" t="s">
        <v>34</v>
      </c>
      <c r="C336">
        <v>2014</v>
      </c>
      <c r="D336" t="s">
        <v>12</v>
      </c>
      <c r="E336" t="s">
        <v>139</v>
      </c>
      <c r="F336" t="s">
        <v>13</v>
      </c>
      <c r="G336" t="str">
        <f>VLOOKUP(A336,[1]Kreise!$A$1:$C$53,3,FALSE)</f>
        <v>K030</v>
      </c>
      <c r="H336">
        <v>4.9495149475351417</v>
      </c>
    </row>
    <row r="337" spans="1:8">
      <c r="A337">
        <v>1</v>
      </c>
      <c r="B337" t="s">
        <v>30</v>
      </c>
      <c r="C337">
        <v>2013</v>
      </c>
      <c r="D337" t="s">
        <v>12</v>
      </c>
      <c r="E337" t="s">
        <v>139</v>
      </c>
      <c r="F337" t="s">
        <v>13</v>
      </c>
      <c r="G337" t="str">
        <f>VLOOKUP(A337,[1]Kreise!$A$1:$C$53,3,FALSE)</f>
        <v>K031</v>
      </c>
      <c r="H337" t="s">
        <v>35</v>
      </c>
    </row>
    <row r="338" spans="1:8">
      <c r="A338">
        <v>2</v>
      </c>
      <c r="B338" t="s">
        <v>31</v>
      </c>
      <c r="C338">
        <v>2013</v>
      </c>
      <c r="D338" t="s">
        <v>12</v>
      </c>
      <c r="E338" t="s">
        <v>139</v>
      </c>
      <c r="F338" t="s">
        <v>13</v>
      </c>
      <c r="G338" t="str">
        <f>VLOOKUP(A338,[1]Kreise!$A$1:$C$53,3,FALSE)</f>
        <v>K032</v>
      </c>
      <c r="H338" t="s">
        <v>35</v>
      </c>
    </row>
    <row r="339" spans="1:8">
      <c r="A339">
        <v>3</v>
      </c>
      <c r="B339" t="s">
        <v>32</v>
      </c>
      <c r="C339">
        <v>2013</v>
      </c>
      <c r="D339" t="s">
        <v>12</v>
      </c>
      <c r="E339" t="s">
        <v>139</v>
      </c>
      <c r="F339" t="s">
        <v>13</v>
      </c>
      <c r="G339" t="str">
        <f>VLOOKUP(A339,[1]Kreise!$A$1:$C$53,3,FALSE)</f>
        <v>K033</v>
      </c>
      <c r="H339" t="s">
        <v>35</v>
      </c>
    </row>
    <row r="340" spans="1:8">
      <c r="A340">
        <v>4</v>
      </c>
      <c r="B340" t="s">
        <v>33</v>
      </c>
      <c r="C340">
        <v>2013</v>
      </c>
      <c r="D340" t="s">
        <v>12</v>
      </c>
      <c r="E340" t="s">
        <v>139</v>
      </c>
      <c r="F340" t="s">
        <v>13</v>
      </c>
      <c r="G340" t="str">
        <f>VLOOKUP(A340,[1]Kreise!$A$1:$C$53,3,FALSE)</f>
        <v>K034</v>
      </c>
      <c r="H340" t="s">
        <v>35</v>
      </c>
    </row>
    <row r="341" spans="1:8">
      <c r="A341">
        <v>0</v>
      </c>
      <c r="B341" t="s">
        <v>34</v>
      </c>
      <c r="C341">
        <v>2013</v>
      </c>
      <c r="D341" t="s">
        <v>12</v>
      </c>
      <c r="E341" t="s">
        <v>139</v>
      </c>
      <c r="F341" t="s">
        <v>13</v>
      </c>
      <c r="G341" t="str">
        <f>VLOOKUP(A341,[1]Kreise!$A$1:$C$53,3,FALSE)</f>
        <v>K030</v>
      </c>
      <c r="H341" t="s">
        <v>35</v>
      </c>
    </row>
    <row r="342" spans="1:8">
      <c r="A342">
        <v>1</v>
      </c>
      <c r="B342" t="s">
        <v>145</v>
      </c>
      <c r="C342">
        <v>2012</v>
      </c>
      <c r="D342" t="s">
        <v>12</v>
      </c>
      <c r="E342" t="s">
        <v>139</v>
      </c>
      <c r="F342" t="s">
        <v>13</v>
      </c>
      <c r="G342" t="str">
        <f>VLOOKUP(A342,[1]Kreise!$A$1:$C$53,3,FALSE)</f>
        <v>K031</v>
      </c>
      <c r="H342" t="s">
        <v>35</v>
      </c>
    </row>
    <row r="343" spans="1:8">
      <c r="A343">
        <v>2</v>
      </c>
      <c r="B343" t="s">
        <v>146</v>
      </c>
      <c r="C343">
        <v>2012</v>
      </c>
      <c r="D343" t="s">
        <v>12</v>
      </c>
      <c r="E343" t="s">
        <v>139</v>
      </c>
      <c r="F343" t="s">
        <v>13</v>
      </c>
      <c r="G343" t="str">
        <f>VLOOKUP(A343,[1]Kreise!$A$1:$C$53,3,FALSE)</f>
        <v>K032</v>
      </c>
      <c r="H343" t="s">
        <v>35</v>
      </c>
    </row>
    <row r="344" spans="1:8">
      <c r="A344">
        <v>3</v>
      </c>
      <c r="B344" t="s">
        <v>147</v>
      </c>
      <c r="C344">
        <v>2012</v>
      </c>
      <c r="D344" t="s">
        <v>12</v>
      </c>
      <c r="E344" t="s">
        <v>139</v>
      </c>
      <c r="F344" t="s">
        <v>13</v>
      </c>
      <c r="G344" t="str">
        <f>VLOOKUP(A344,[1]Kreise!$A$1:$C$53,3,FALSE)</f>
        <v>K033</v>
      </c>
      <c r="H344" t="s">
        <v>35</v>
      </c>
    </row>
    <row r="345" spans="1:8">
      <c r="A345">
        <v>4</v>
      </c>
      <c r="B345" t="s">
        <v>148</v>
      </c>
      <c r="C345">
        <v>2012</v>
      </c>
      <c r="D345" t="s">
        <v>12</v>
      </c>
      <c r="E345" t="s">
        <v>139</v>
      </c>
      <c r="F345" t="s">
        <v>13</v>
      </c>
      <c r="G345" t="str">
        <f>VLOOKUP(A345,[1]Kreise!$A$1:$C$53,3,FALSE)</f>
        <v>K034</v>
      </c>
      <c r="H345" t="s">
        <v>35</v>
      </c>
    </row>
    <row r="346" spans="1:8">
      <c r="A346">
        <v>0</v>
      </c>
      <c r="B346" t="s">
        <v>34</v>
      </c>
      <c r="C346">
        <v>2012</v>
      </c>
      <c r="D346" t="s">
        <v>12</v>
      </c>
      <c r="E346" t="s">
        <v>139</v>
      </c>
      <c r="F346" t="s">
        <v>13</v>
      </c>
      <c r="G346" t="str">
        <f>VLOOKUP(A346,[1]Kreise!$A$1:$C$53,3,FALSE)</f>
        <v>K030</v>
      </c>
      <c r="H346" t="s">
        <v>35</v>
      </c>
    </row>
    <row r="347" spans="1:8">
      <c r="A347">
        <v>1</v>
      </c>
      <c r="B347" t="s">
        <v>30</v>
      </c>
      <c r="C347">
        <v>2011</v>
      </c>
      <c r="D347" t="s">
        <v>12</v>
      </c>
      <c r="E347" t="s">
        <v>139</v>
      </c>
      <c r="F347" t="s">
        <v>13</v>
      </c>
      <c r="G347" t="str">
        <f>VLOOKUP(A347,[1]Kreise!$A$1:$C$53,3,FALSE)</f>
        <v>K031</v>
      </c>
      <c r="H347" t="s">
        <v>35</v>
      </c>
    </row>
    <row r="348" spans="1:8">
      <c r="A348">
        <v>2</v>
      </c>
      <c r="B348" t="s">
        <v>31</v>
      </c>
      <c r="C348">
        <v>2011</v>
      </c>
      <c r="D348" t="s">
        <v>12</v>
      </c>
      <c r="E348" t="s">
        <v>139</v>
      </c>
      <c r="F348" t="s">
        <v>13</v>
      </c>
      <c r="G348" t="str">
        <f>VLOOKUP(A348,[1]Kreise!$A$1:$C$53,3,FALSE)</f>
        <v>K032</v>
      </c>
      <c r="H348" t="s">
        <v>35</v>
      </c>
    </row>
    <row r="349" spans="1:8">
      <c r="A349">
        <v>3</v>
      </c>
      <c r="B349" t="s">
        <v>32</v>
      </c>
      <c r="C349">
        <v>2011</v>
      </c>
      <c r="D349" t="s">
        <v>12</v>
      </c>
      <c r="E349" t="s">
        <v>139</v>
      </c>
      <c r="F349" t="s">
        <v>13</v>
      </c>
      <c r="G349" t="str">
        <f>VLOOKUP(A349,[1]Kreise!$A$1:$C$53,3,FALSE)</f>
        <v>K033</v>
      </c>
      <c r="H349" t="s">
        <v>35</v>
      </c>
    </row>
    <row r="350" spans="1:8">
      <c r="A350">
        <v>4</v>
      </c>
      <c r="B350" t="s">
        <v>33</v>
      </c>
      <c r="C350">
        <v>2011</v>
      </c>
      <c r="D350" t="s">
        <v>12</v>
      </c>
      <c r="E350" t="s">
        <v>139</v>
      </c>
      <c r="F350" t="s">
        <v>13</v>
      </c>
      <c r="G350" t="str">
        <f>VLOOKUP(A350,[1]Kreise!$A$1:$C$53,3,FALSE)</f>
        <v>K034</v>
      </c>
      <c r="H350" t="s">
        <v>35</v>
      </c>
    </row>
    <row r="351" spans="1:8">
      <c r="A351">
        <v>0</v>
      </c>
      <c r="B351" t="s">
        <v>34</v>
      </c>
      <c r="C351">
        <v>2011</v>
      </c>
      <c r="D351" t="s">
        <v>12</v>
      </c>
      <c r="E351" t="s">
        <v>139</v>
      </c>
      <c r="F351" t="s">
        <v>13</v>
      </c>
      <c r="G351" t="str">
        <f>VLOOKUP(A351,[1]Kreise!$A$1:$C$53,3,FALSE)</f>
        <v>K030</v>
      </c>
      <c r="H351" t="s">
        <v>35</v>
      </c>
    </row>
    <row r="352" spans="1:8">
      <c r="A352">
        <v>1</v>
      </c>
      <c r="B352" t="s">
        <v>145</v>
      </c>
      <c r="C352">
        <v>2010</v>
      </c>
      <c r="D352" t="s">
        <v>12</v>
      </c>
      <c r="E352" t="s">
        <v>139</v>
      </c>
      <c r="F352" t="s">
        <v>13</v>
      </c>
      <c r="G352" t="str">
        <f>VLOOKUP(A352,[1]Kreise!$A$1:$C$53,3,FALSE)</f>
        <v>K031</v>
      </c>
      <c r="H352" t="s">
        <v>35</v>
      </c>
    </row>
    <row r="353" spans="1:8">
      <c r="A353">
        <v>2</v>
      </c>
      <c r="B353" t="s">
        <v>146</v>
      </c>
      <c r="C353">
        <v>2010</v>
      </c>
      <c r="D353" t="s">
        <v>12</v>
      </c>
      <c r="E353" t="s">
        <v>139</v>
      </c>
      <c r="F353" t="s">
        <v>13</v>
      </c>
      <c r="G353" t="str">
        <f>VLOOKUP(A353,[1]Kreise!$A$1:$C$53,3,FALSE)</f>
        <v>K032</v>
      </c>
      <c r="H353" t="s">
        <v>35</v>
      </c>
    </row>
    <row r="354" spans="1:8">
      <c r="A354">
        <v>3</v>
      </c>
      <c r="B354" t="s">
        <v>147</v>
      </c>
      <c r="C354">
        <v>2010</v>
      </c>
      <c r="D354" t="s">
        <v>12</v>
      </c>
      <c r="E354" t="s">
        <v>139</v>
      </c>
      <c r="F354" t="s">
        <v>13</v>
      </c>
      <c r="G354" t="str">
        <f>VLOOKUP(A354,[1]Kreise!$A$1:$C$53,3,FALSE)</f>
        <v>K033</v>
      </c>
      <c r="H354" t="s">
        <v>35</v>
      </c>
    </row>
    <row r="355" spans="1:8">
      <c r="A355">
        <v>4</v>
      </c>
      <c r="B355" t="s">
        <v>148</v>
      </c>
      <c r="C355">
        <v>2010</v>
      </c>
      <c r="D355" t="s">
        <v>12</v>
      </c>
      <c r="E355" t="s">
        <v>139</v>
      </c>
      <c r="F355" t="s">
        <v>13</v>
      </c>
      <c r="G355" t="str">
        <f>VLOOKUP(A355,[1]Kreise!$A$1:$C$53,3,FALSE)</f>
        <v>K034</v>
      </c>
      <c r="H355" t="s">
        <v>35</v>
      </c>
    </row>
    <row r="356" spans="1:8">
      <c r="A356">
        <v>0</v>
      </c>
      <c r="B356" t="s">
        <v>34</v>
      </c>
      <c r="C356">
        <v>2010</v>
      </c>
      <c r="D356" t="s">
        <v>12</v>
      </c>
      <c r="E356" t="s">
        <v>139</v>
      </c>
      <c r="F356" t="s">
        <v>13</v>
      </c>
      <c r="G356" t="str">
        <f>VLOOKUP(A356,[1]Kreise!$A$1:$C$53,3,FALSE)</f>
        <v>K030</v>
      </c>
      <c r="H356" t="s">
        <v>35</v>
      </c>
    </row>
    <row r="357" spans="1:8">
      <c r="A357">
        <v>1</v>
      </c>
      <c r="B357" t="s">
        <v>145</v>
      </c>
      <c r="C357">
        <v>2005</v>
      </c>
      <c r="D357" t="s">
        <v>12</v>
      </c>
      <c r="E357" t="s">
        <v>139</v>
      </c>
      <c r="F357" t="s">
        <v>13</v>
      </c>
      <c r="G357" t="str">
        <f>VLOOKUP(A357,[1]Kreise!$A$1:$C$53,3,FALSE)</f>
        <v>K031</v>
      </c>
      <c r="H357" t="s">
        <v>35</v>
      </c>
    </row>
    <row r="358" spans="1:8">
      <c r="A358">
        <v>2</v>
      </c>
      <c r="B358" t="s">
        <v>146</v>
      </c>
      <c r="C358">
        <v>2005</v>
      </c>
      <c r="D358" t="s">
        <v>12</v>
      </c>
      <c r="E358" t="s">
        <v>139</v>
      </c>
      <c r="F358" t="s">
        <v>13</v>
      </c>
      <c r="G358" t="str">
        <f>VLOOKUP(A358,[1]Kreise!$A$1:$C$53,3,FALSE)</f>
        <v>K032</v>
      </c>
      <c r="H358" t="s">
        <v>35</v>
      </c>
    </row>
    <row r="359" spans="1:8">
      <c r="A359">
        <v>3</v>
      </c>
      <c r="B359" t="s">
        <v>147</v>
      </c>
      <c r="C359">
        <v>2005</v>
      </c>
      <c r="D359" t="s">
        <v>12</v>
      </c>
      <c r="E359" t="s">
        <v>139</v>
      </c>
      <c r="F359" t="s">
        <v>13</v>
      </c>
      <c r="G359" t="str">
        <f>VLOOKUP(A359,[1]Kreise!$A$1:$C$53,3,FALSE)</f>
        <v>K033</v>
      </c>
      <c r="H359" t="s">
        <v>35</v>
      </c>
    </row>
    <row r="360" spans="1:8">
      <c r="A360">
        <v>4</v>
      </c>
      <c r="B360" t="s">
        <v>148</v>
      </c>
      <c r="C360">
        <v>2005</v>
      </c>
      <c r="D360" t="s">
        <v>12</v>
      </c>
      <c r="E360" t="s">
        <v>139</v>
      </c>
      <c r="F360" t="s">
        <v>13</v>
      </c>
      <c r="G360" t="str">
        <f>VLOOKUP(A360,[1]Kreise!$A$1:$C$53,3,FALSE)</f>
        <v>K034</v>
      </c>
      <c r="H360" t="s">
        <v>35</v>
      </c>
    </row>
    <row r="361" spans="1:8">
      <c r="A361">
        <v>0</v>
      </c>
      <c r="B361" t="s">
        <v>34</v>
      </c>
      <c r="C361">
        <v>2005</v>
      </c>
      <c r="D361" t="s">
        <v>12</v>
      </c>
      <c r="E361" t="s">
        <v>139</v>
      </c>
      <c r="F361" t="s">
        <v>13</v>
      </c>
      <c r="G361" t="str">
        <f>VLOOKUP(A361,[1]Kreise!$A$1:$C$53,3,FALSE)</f>
        <v>K030</v>
      </c>
      <c r="H361" t="s">
        <v>35</v>
      </c>
    </row>
    <row r="362" spans="1:8">
      <c r="A362">
        <v>1</v>
      </c>
      <c r="B362" t="s">
        <v>30</v>
      </c>
      <c r="C362">
        <v>2020</v>
      </c>
      <c r="D362" t="s">
        <v>11</v>
      </c>
      <c r="E362" t="s">
        <v>7</v>
      </c>
      <c r="F362" t="s">
        <v>13</v>
      </c>
      <c r="G362" t="str">
        <f>VLOOKUP(A362,[1]Kreise!$A$1:$C$53,3,FALSE)</f>
        <v>K031</v>
      </c>
      <c r="H362">
        <v>94.041496719276466</v>
      </c>
    </row>
    <row r="363" spans="1:8">
      <c r="A363">
        <v>2</v>
      </c>
      <c r="B363" t="s">
        <v>31</v>
      </c>
      <c r="C363">
        <v>2020</v>
      </c>
      <c r="D363" t="s">
        <v>11</v>
      </c>
      <c r="E363" t="s">
        <v>7</v>
      </c>
      <c r="F363" t="s">
        <v>13</v>
      </c>
      <c r="G363" t="str">
        <f>VLOOKUP(A363,[1]Kreise!$A$1:$C$53,3,FALSE)</f>
        <v>K032</v>
      </c>
      <c r="H363">
        <v>94.71100748558105</v>
      </c>
    </row>
    <row r="364" spans="1:8">
      <c r="A364">
        <v>3</v>
      </c>
      <c r="B364" t="s">
        <v>32</v>
      </c>
      <c r="C364">
        <v>2020</v>
      </c>
      <c r="D364" t="s">
        <v>11</v>
      </c>
      <c r="E364" t="s">
        <v>7</v>
      </c>
      <c r="F364" t="s">
        <v>13</v>
      </c>
      <c r="G364" t="str">
        <f>VLOOKUP(A364,[1]Kreise!$A$1:$C$53,3,FALSE)</f>
        <v>K033</v>
      </c>
      <c r="H364">
        <v>96.323188629692567</v>
      </c>
    </row>
    <row r="365" spans="1:8">
      <c r="A365">
        <v>4</v>
      </c>
      <c r="B365" t="s">
        <v>33</v>
      </c>
      <c r="C365">
        <v>2020</v>
      </c>
      <c r="D365" t="s">
        <v>11</v>
      </c>
      <c r="E365" t="s">
        <v>7</v>
      </c>
      <c r="F365" t="s">
        <v>13</v>
      </c>
      <c r="G365" t="str">
        <f>VLOOKUP(A365,[1]Kreise!$A$1:$C$53,3,FALSE)</f>
        <v>K034</v>
      </c>
      <c r="H365">
        <v>95.349108287679215</v>
      </c>
    </row>
    <row r="366" spans="1:8">
      <c r="A366">
        <v>0</v>
      </c>
      <c r="B366" t="s">
        <v>34</v>
      </c>
      <c r="C366">
        <v>2020</v>
      </c>
      <c r="D366" t="s">
        <v>11</v>
      </c>
      <c r="E366" t="s">
        <v>7</v>
      </c>
      <c r="F366" t="s">
        <v>13</v>
      </c>
      <c r="G366" t="str">
        <f>VLOOKUP(A366,[1]Kreise!$A$1:$C$53,3,FALSE)</f>
        <v>K030</v>
      </c>
      <c r="H366">
        <v>95.131761442441061</v>
      </c>
    </row>
    <row r="367" spans="1:8">
      <c r="A367">
        <v>1</v>
      </c>
      <c r="B367" t="s">
        <v>30</v>
      </c>
      <c r="C367">
        <v>2019</v>
      </c>
      <c r="D367" t="s">
        <v>11</v>
      </c>
      <c r="E367" t="s">
        <v>7</v>
      </c>
      <c r="F367" t="s">
        <v>13</v>
      </c>
      <c r="G367" t="str">
        <f>VLOOKUP(A367,[1]Kreise!$A$1:$C$53,3,FALSE)</f>
        <v>K031</v>
      </c>
      <c r="H367">
        <v>95.336787564766837</v>
      </c>
    </row>
    <row r="368" spans="1:8">
      <c r="A368">
        <v>2</v>
      </c>
      <c r="B368" t="s">
        <v>31</v>
      </c>
      <c r="C368">
        <v>2019</v>
      </c>
      <c r="D368" t="s">
        <v>11</v>
      </c>
      <c r="E368" t="s">
        <v>7</v>
      </c>
      <c r="F368" t="s">
        <v>13</v>
      </c>
      <c r="G368" t="str">
        <f>VLOOKUP(A368,[1]Kreise!$A$1:$C$53,3,FALSE)</f>
        <v>K032</v>
      </c>
      <c r="H368">
        <v>95.243800167724942</v>
      </c>
    </row>
    <row r="369" spans="1:8">
      <c r="A369">
        <v>3</v>
      </c>
      <c r="B369" t="s">
        <v>32</v>
      </c>
      <c r="C369">
        <v>2019</v>
      </c>
      <c r="D369" t="s">
        <v>11</v>
      </c>
      <c r="E369" t="s">
        <v>7</v>
      </c>
      <c r="F369" t="s">
        <v>13</v>
      </c>
      <c r="G369" t="str">
        <f>VLOOKUP(A369,[1]Kreise!$A$1:$C$53,3,FALSE)</f>
        <v>K033</v>
      </c>
      <c r="H369">
        <v>97.139360562949363</v>
      </c>
    </row>
    <row r="370" spans="1:8">
      <c r="A370">
        <v>4</v>
      </c>
      <c r="B370" t="s">
        <v>33</v>
      </c>
      <c r="C370">
        <v>2019</v>
      </c>
      <c r="D370" t="s">
        <v>11</v>
      </c>
      <c r="E370" t="s">
        <v>7</v>
      </c>
      <c r="F370" t="s">
        <v>13</v>
      </c>
      <c r="G370" t="str">
        <f>VLOOKUP(A370,[1]Kreise!$A$1:$C$53,3,FALSE)</f>
        <v>K034</v>
      </c>
      <c r="H370">
        <v>96.484736355226644</v>
      </c>
    </row>
    <row r="371" spans="1:8">
      <c r="A371">
        <v>0</v>
      </c>
      <c r="B371" t="s">
        <v>34</v>
      </c>
      <c r="C371">
        <v>2019</v>
      </c>
      <c r="D371" t="s">
        <v>11</v>
      </c>
      <c r="E371" t="s">
        <v>7</v>
      </c>
      <c r="F371" t="s">
        <v>13</v>
      </c>
      <c r="G371" t="str">
        <f>VLOOKUP(A371,[1]Kreise!$A$1:$C$53,3,FALSE)</f>
        <v>K030</v>
      </c>
      <c r="H371">
        <v>96.055477359332613</v>
      </c>
    </row>
    <row r="372" spans="1:8">
      <c r="A372">
        <v>1</v>
      </c>
      <c r="B372" t="s">
        <v>30</v>
      </c>
      <c r="C372">
        <v>2018</v>
      </c>
      <c r="D372" t="s">
        <v>11</v>
      </c>
      <c r="E372" t="s">
        <v>7</v>
      </c>
      <c r="F372" t="s">
        <v>13</v>
      </c>
      <c r="G372" t="str">
        <f>VLOOKUP(A372,[1]Kreise!$A$1:$C$53,3,FALSE)</f>
        <v>K031</v>
      </c>
      <c r="H372">
        <v>94.567685589519641</v>
      </c>
    </row>
    <row r="373" spans="1:8">
      <c r="A373">
        <v>2</v>
      </c>
      <c r="B373" t="s">
        <v>31</v>
      </c>
      <c r="C373">
        <v>2018</v>
      </c>
      <c r="D373" t="s">
        <v>11</v>
      </c>
      <c r="E373" t="s">
        <v>7</v>
      </c>
      <c r="F373" t="s">
        <v>13</v>
      </c>
      <c r="G373" t="str">
        <f>VLOOKUP(A373,[1]Kreise!$A$1:$C$53,3,FALSE)</f>
        <v>K032</v>
      </c>
      <c r="H373">
        <v>95.817720294935327</v>
      </c>
    </row>
    <row r="374" spans="1:8">
      <c r="A374">
        <v>3</v>
      </c>
      <c r="B374" t="s">
        <v>32</v>
      </c>
      <c r="C374">
        <v>2018</v>
      </c>
      <c r="D374" t="s">
        <v>11</v>
      </c>
      <c r="E374" t="s">
        <v>7</v>
      </c>
      <c r="F374" t="s">
        <v>13</v>
      </c>
      <c r="G374" t="str">
        <f>VLOOKUP(A374,[1]Kreise!$A$1:$C$53,3,FALSE)</f>
        <v>K033</v>
      </c>
      <c r="H374">
        <v>96.716149347728305</v>
      </c>
    </row>
    <row r="375" spans="1:8">
      <c r="A375">
        <v>4</v>
      </c>
      <c r="B375" t="s">
        <v>33</v>
      </c>
      <c r="C375">
        <v>2018</v>
      </c>
      <c r="D375" t="s">
        <v>11</v>
      </c>
      <c r="E375" t="s">
        <v>7</v>
      </c>
      <c r="F375" t="s">
        <v>13</v>
      </c>
      <c r="G375" t="str">
        <f>VLOOKUP(A375,[1]Kreise!$A$1:$C$53,3,FALSE)</f>
        <v>K034</v>
      </c>
      <c r="H375">
        <v>96.823159492572913</v>
      </c>
    </row>
    <row r="376" spans="1:8">
      <c r="A376">
        <v>0</v>
      </c>
      <c r="B376" t="s">
        <v>34</v>
      </c>
      <c r="C376">
        <v>2018</v>
      </c>
      <c r="D376" t="s">
        <v>11</v>
      </c>
      <c r="E376" t="s">
        <v>7</v>
      </c>
      <c r="F376" t="s">
        <v>13</v>
      </c>
      <c r="G376" t="str">
        <f>VLOOKUP(A376,[1]Kreise!$A$1:$C$53,3,FALSE)</f>
        <v>K030</v>
      </c>
      <c r="H376">
        <v>96.497156239545006</v>
      </c>
    </row>
    <row r="377" spans="1:8">
      <c r="A377">
        <v>1</v>
      </c>
      <c r="B377" t="s">
        <v>30</v>
      </c>
      <c r="C377">
        <v>2017</v>
      </c>
      <c r="D377" t="s">
        <v>11</v>
      </c>
      <c r="E377" t="s">
        <v>7</v>
      </c>
      <c r="F377" t="s">
        <v>13</v>
      </c>
      <c r="G377" t="str">
        <f>VLOOKUP(A377,[1]Kreise!$A$1:$C$53,3,FALSE)</f>
        <v>K031</v>
      </c>
      <c r="H377">
        <v>95.570517363571938</v>
      </c>
    </row>
    <row r="378" spans="1:8">
      <c r="A378">
        <v>2</v>
      </c>
      <c r="B378" t="s">
        <v>31</v>
      </c>
      <c r="C378">
        <v>2017</v>
      </c>
      <c r="D378" t="s">
        <v>11</v>
      </c>
      <c r="E378" t="s">
        <v>7</v>
      </c>
      <c r="F378" t="s">
        <v>13</v>
      </c>
      <c r="G378" t="str">
        <f>VLOOKUP(A378,[1]Kreise!$A$1:$C$53,3,FALSE)</f>
        <v>K032</v>
      </c>
      <c r="H378">
        <v>95.411297121522338</v>
      </c>
    </row>
    <row r="379" spans="1:8">
      <c r="A379">
        <v>3</v>
      </c>
      <c r="B379" t="s">
        <v>32</v>
      </c>
      <c r="C379">
        <v>2017</v>
      </c>
      <c r="D379" t="s">
        <v>11</v>
      </c>
      <c r="E379" t="s">
        <v>7</v>
      </c>
      <c r="F379" t="s">
        <v>13</v>
      </c>
      <c r="G379" t="str">
        <f>VLOOKUP(A379,[1]Kreise!$A$1:$C$53,3,FALSE)</f>
        <v>K033</v>
      </c>
      <c r="H379">
        <v>97.563098346388159</v>
      </c>
    </row>
    <row r="380" spans="1:8">
      <c r="A380">
        <v>4</v>
      </c>
      <c r="B380" t="s">
        <v>33</v>
      </c>
      <c r="C380">
        <v>2017</v>
      </c>
      <c r="D380" t="s">
        <v>11</v>
      </c>
      <c r="E380" t="s">
        <v>7</v>
      </c>
      <c r="F380" t="s">
        <v>13</v>
      </c>
      <c r="G380" t="str">
        <f>VLOOKUP(A380,[1]Kreise!$A$1:$C$53,3,FALSE)</f>
        <v>K034</v>
      </c>
      <c r="H380">
        <v>97.005464480874309</v>
      </c>
    </row>
    <row r="381" spans="1:8">
      <c r="A381">
        <v>0</v>
      </c>
      <c r="B381" t="s">
        <v>34</v>
      </c>
      <c r="C381">
        <v>2017</v>
      </c>
      <c r="D381" t="s">
        <v>11</v>
      </c>
      <c r="E381" t="s">
        <v>7</v>
      </c>
      <c r="F381" t="s">
        <v>13</v>
      </c>
      <c r="G381" t="str">
        <f>VLOOKUP(A381,[1]Kreise!$A$1:$C$53,3,FALSE)</f>
        <v>K030</v>
      </c>
      <c r="H381">
        <v>96.422260011336732</v>
      </c>
    </row>
    <row r="382" spans="1:8">
      <c r="A382">
        <v>1</v>
      </c>
      <c r="B382" t="s">
        <v>30</v>
      </c>
      <c r="C382">
        <v>2016</v>
      </c>
      <c r="D382" t="s">
        <v>11</v>
      </c>
      <c r="E382" t="s">
        <v>7</v>
      </c>
      <c r="F382" t="s">
        <v>13</v>
      </c>
      <c r="G382" t="str">
        <f>VLOOKUP(A382,[1]Kreise!$A$1:$C$53,3,FALSE)</f>
        <v>K031</v>
      </c>
      <c r="H382">
        <v>94.723926380368098</v>
      </c>
    </row>
    <row r="383" spans="1:8">
      <c r="A383">
        <v>2</v>
      </c>
      <c r="B383" t="s">
        <v>31</v>
      </c>
      <c r="C383">
        <v>2016</v>
      </c>
      <c r="D383" t="s">
        <v>11</v>
      </c>
      <c r="E383" t="s">
        <v>7</v>
      </c>
      <c r="F383" t="s">
        <v>13</v>
      </c>
      <c r="G383" t="str">
        <f>VLOOKUP(A383,[1]Kreise!$A$1:$C$53,3,FALSE)</f>
        <v>K032</v>
      </c>
      <c r="H383">
        <v>96.418426577744839</v>
      </c>
    </row>
    <row r="384" spans="1:8">
      <c r="A384">
        <v>3</v>
      </c>
      <c r="B384" t="s">
        <v>32</v>
      </c>
      <c r="C384">
        <v>2016</v>
      </c>
      <c r="D384" t="s">
        <v>11</v>
      </c>
      <c r="E384" t="s">
        <v>7</v>
      </c>
      <c r="F384" t="s">
        <v>13</v>
      </c>
      <c r="G384" t="str">
        <f>VLOOKUP(A384,[1]Kreise!$A$1:$C$53,3,FALSE)</f>
        <v>K033</v>
      </c>
      <c r="H384">
        <v>97.746090156393734</v>
      </c>
    </row>
    <row r="385" spans="1:8">
      <c r="A385">
        <v>4</v>
      </c>
      <c r="B385" t="s">
        <v>33</v>
      </c>
      <c r="C385">
        <v>2016</v>
      </c>
      <c r="D385" t="s">
        <v>11</v>
      </c>
      <c r="E385" t="s">
        <v>7</v>
      </c>
      <c r="F385" t="s">
        <v>13</v>
      </c>
      <c r="G385" t="str">
        <f>VLOOKUP(A385,[1]Kreise!$A$1:$C$53,3,FALSE)</f>
        <v>K034</v>
      </c>
      <c r="H385">
        <v>97.445091887046161</v>
      </c>
    </row>
    <row r="386" spans="1:8">
      <c r="A386">
        <v>0</v>
      </c>
      <c r="B386" t="s">
        <v>34</v>
      </c>
      <c r="C386">
        <v>2016</v>
      </c>
      <c r="D386" t="s">
        <v>11</v>
      </c>
      <c r="E386" t="s">
        <v>7</v>
      </c>
      <c r="F386" t="s">
        <v>13</v>
      </c>
      <c r="G386" t="str">
        <f>VLOOKUP(A386,[1]Kreise!$A$1:$C$53,3,FALSE)</f>
        <v>K030</v>
      </c>
      <c r="H386">
        <v>96.980990153172868</v>
      </c>
    </row>
    <row r="387" spans="1:8">
      <c r="A387">
        <v>1</v>
      </c>
      <c r="B387" t="s">
        <v>30</v>
      </c>
      <c r="C387">
        <v>2015</v>
      </c>
      <c r="D387" t="s">
        <v>11</v>
      </c>
      <c r="E387" t="s">
        <v>7</v>
      </c>
      <c r="F387" t="s">
        <v>13</v>
      </c>
      <c r="G387" t="str">
        <f>VLOOKUP(A387,[1]Kreise!$A$1:$C$53,3,FALSE)</f>
        <v>K031</v>
      </c>
      <c r="H387">
        <v>93.906810035842298</v>
      </c>
    </row>
    <row r="388" spans="1:8">
      <c r="A388">
        <v>2</v>
      </c>
      <c r="B388" t="s">
        <v>31</v>
      </c>
      <c r="C388">
        <v>2015</v>
      </c>
      <c r="D388" t="s">
        <v>11</v>
      </c>
      <c r="E388" t="s">
        <v>7</v>
      </c>
      <c r="F388" t="s">
        <v>13</v>
      </c>
      <c r="G388" t="str">
        <f>VLOOKUP(A388,[1]Kreise!$A$1:$C$53,3,FALSE)</f>
        <v>K032</v>
      </c>
      <c r="H388">
        <v>96.465081906638744</v>
      </c>
    </row>
    <row r="389" spans="1:8">
      <c r="A389">
        <v>3</v>
      </c>
      <c r="B389" t="s">
        <v>32</v>
      </c>
      <c r="C389">
        <v>2015</v>
      </c>
      <c r="D389" t="s">
        <v>11</v>
      </c>
      <c r="E389" t="s">
        <v>7</v>
      </c>
      <c r="F389" t="s">
        <v>13</v>
      </c>
      <c r="G389" t="str">
        <f>VLOOKUP(A389,[1]Kreise!$A$1:$C$53,3,FALSE)</f>
        <v>K033</v>
      </c>
      <c r="H389">
        <v>98.547469302186286</v>
      </c>
    </row>
    <row r="390" spans="1:8">
      <c r="A390">
        <v>4</v>
      </c>
      <c r="B390" t="s">
        <v>33</v>
      </c>
      <c r="C390">
        <v>2015</v>
      </c>
      <c r="D390" t="s">
        <v>11</v>
      </c>
      <c r="E390" t="s">
        <v>7</v>
      </c>
      <c r="F390" t="s">
        <v>13</v>
      </c>
      <c r="G390" t="str">
        <f>VLOOKUP(A390,[1]Kreise!$A$1:$C$53,3,FALSE)</f>
        <v>K034</v>
      </c>
      <c r="H390">
        <v>97.836458448907138</v>
      </c>
    </row>
    <row r="391" spans="1:8">
      <c r="A391">
        <v>0</v>
      </c>
      <c r="B391" t="s">
        <v>34</v>
      </c>
      <c r="C391">
        <v>2015</v>
      </c>
      <c r="D391" t="s">
        <v>11</v>
      </c>
      <c r="E391" t="s">
        <v>7</v>
      </c>
      <c r="F391" t="s">
        <v>13</v>
      </c>
      <c r="G391" t="str">
        <f>VLOOKUP(A391,[1]Kreise!$A$1:$C$53,3,FALSE)</f>
        <v>K030</v>
      </c>
      <c r="H391">
        <v>97.529772031303168</v>
      </c>
    </row>
    <row r="392" spans="1:8">
      <c r="A392">
        <v>1</v>
      </c>
      <c r="B392" t="s">
        <v>145</v>
      </c>
      <c r="C392">
        <v>2014</v>
      </c>
      <c r="D392" t="s">
        <v>11</v>
      </c>
      <c r="E392" t="s">
        <v>7</v>
      </c>
      <c r="F392" t="s">
        <v>13</v>
      </c>
      <c r="G392" t="str">
        <f>VLOOKUP(A392,[1]Kreise!$A$1:$C$53,3,FALSE)</f>
        <v>K031</v>
      </c>
      <c r="H392">
        <v>97.195308516063221</v>
      </c>
    </row>
    <row r="393" spans="1:8">
      <c r="A393">
        <v>2</v>
      </c>
      <c r="B393" t="s">
        <v>146</v>
      </c>
      <c r="C393">
        <v>2014</v>
      </c>
      <c r="D393" t="s">
        <v>11</v>
      </c>
      <c r="E393" t="s">
        <v>7</v>
      </c>
      <c r="F393" t="s">
        <v>13</v>
      </c>
      <c r="G393" t="str">
        <f>VLOOKUP(A393,[1]Kreise!$A$1:$C$53,3,FALSE)</f>
        <v>K032</v>
      </c>
      <c r="H393">
        <v>96.6276923076923</v>
      </c>
    </row>
    <row r="394" spans="1:8">
      <c r="A394">
        <v>3</v>
      </c>
      <c r="B394" t="s">
        <v>147</v>
      </c>
      <c r="C394">
        <v>2014</v>
      </c>
      <c r="D394" t="s">
        <v>11</v>
      </c>
      <c r="E394" t="s">
        <v>7</v>
      </c>
      <c r="F394" t="s">
        <v>13</v>
      </c>
      <c r="G394" t="str">
        <f>VLOOKUP(A394,[1]Kreise!$A$1:$C$53,3,FALSE)</f>
        <v>K033</v>
      </c>
      <c r="H394">
        <v>98.278905560458966</v>
      </c>
    </row>
    <row r="395" spans="1:8">
      <c r="A395">
        <v>4</v>
      </c>
      <c r="B395" t="s">
        <v>148</v>
      </c>
      <c r="C395">
        <v>2014</v>
      </c>
      <c r="D395" t="s">
        <v>11</v>
      </c>
      <c r="E395" t="s">
        <v>7</v>
      </c>
      <c r="F395" t="s">
        <v>13</v>
      </c>
      <c r="G395" t="str">
        <f>VLOOKUP(A395,[1]Kreise!$A$1:$C$53,3,FALSE)</f>
        <v>K034</v>
      </c>
      <c r="H395">
        <v>97.60907888937858</v>
      </c>
    </row>
    <row r="396" spans="1:8">
      <c r="A396">
        <v>0</v>
      </c>
      <c r="B396" t="s">
        <v>34</v>
      </c>
      <c r="C396">
        <v>2014</v>
      </c>
      <c r="D396" t="s">
        <v>11</v>
      </c>
      <c r="E396" t="s">
        <v>7</v>
      </c>
      <c r="F396" t="s">
        <v>13</v>
      </c>
      <c r="G396" t="str">
        <f>VLOOKUP(A396,[1]Kreise!$A$1:$C$53,3,FALSE)</f>
        <v>K030</v>
      </c>
      <c r="H396">
        <v>97.41315842313098</v>
      </c>
    </row>
    <row r="397" spans="1:8">
      <c r="A397">
        <v>1</v>
      </c>
      <c r="B397" t="s">
        <v>30</v>
      </c>
      <c r="C397">
        <v>2013</v>
      </c>
      <c r="D397" t="s">
        <v>11</v>
      </c>
      <c r="E397" t="s">
        <v>7</v>
      </c>
      <c r="F397" t="s">
        <v>13</v>
      </c>
      <c r="G397" t="str">
        <f>VLOOKUP(A397,[1]Kreise!$A$1:$C$53,3,FALSE)</f>
        <v>K031</v>
      </c>
      <c r="H397">
        <v>97.336365112879648</v>
      </c>
    </row>
    <row r="398" spans="1:8">
      <c r="A398">
        <v>2</v>
      </c>
      <c r="B398" t="s">
        <v>31</v>
      </c>
      <c r="C398">
        <v>2013</v>
      </c>
      <c r="D398" t="s">
        <v>11</v>
      </c>
      <c r="E398" t="s">
        <v>7</v>
      </c>
      <c r="F398" t="s">
        <v>13</v>
      </c>
      <c r="G398" t="str">
        <f>VLOOKUP(A398,[1]Kreise!$A$1:$C$53,3,FALSE)</f>
        <v>K032</v>
      </c>
      <c r="H398">
        <v>95.770179767359892</v>
      </c>
    </row>
    <row r="399" spans="1:8">
      <c r="A399">
        <v>3</v>
      </c>
      <c r="B399" t="s">
        <v>32</v>
      </c>
      <c r="C399">
        <v>2013</v>
      </c>
      <c r="D399" t="s">
        <v>11</v>
      </c>
      <c r="E399" t="s">
        <v>7</v>
      </c>
      <c r="F399" t="s">
        <v>13</v>
      </c>
      <c r="G399" t="str">
        <f>VLOOKUP(A399,[1]Kreise!$A$1:$C$53,3,FALSE)</f>
        <v>K033</v>
      </c>
      <c r="H399">
        <v>98.66909498458952</v>
      </c>
    </row>
    <row r="400" spans="1:8">
      <c r="A400">
        <v>4</v>
      </c>
      <c r="B400" t="s">
        <v>33</v>
      </c>
      <c r="C400">
        <v>2013</v>
      </c>
      <c r="D400" t="s">
        <v>11</v>
      </c>
      <c r="E400" t="s">
        <v>7</v>
      </c>
      <c r="F400" t="s">
        <v>13</v>
      </c>
      <c r="G400" t="str">
        <f>VLOOKUP(A400,[1]Kreise!$A$1:$C$53,3,FALSE)</f>
        <v>K034</v>
      </c>
      <c r="H400">
        <v>97.672680687520014</v>
      </c>
    </row>
    <row r="401" spans="1:8">
      <c r="A401">
        <v>0</v>
      </c>
      <c r="B401" t="s">
        <v>34</v>
      </c>
      <c r="C401">
        <v>2013</v>
      </c>
      <c r="D401" t="s">
        <v>11</v>
      </c>
      <c r="E401" t="s">
        <v>7</v>
      </c>
      <c r="F401" t="s">
        <v>13</v>
      </c>
      <c r="G401" t="str">
        <f>VLOOKUP(A401,[1]Kreise!$A$1:$C$53,3,FALSE)</f>
        <v>K030</v>
      </c>
      <c r="H401">
        <v>97.314984120873831</v>
      </c>
    </row>
    <row r="402" spans="1:8">
      <c r="A402">
        <v>1</v>
      </c>
      <c r="B402" t="s">
        <v>145</v>
      </c>
      <c r="C402">
        <v>2012</v>
      </c>
      <c r="D402" t="s">
        <v>11</v>
      </c>
      <c r="E402" t="s">
        <v>7</v>
      </c>
      <c r="F402" t="s">
        <v>13</v>
      </c>
      <c r="G402" t="str">
        <f>VLOOKUP(A402,[1]Kreise!$A$1:$C$53,3,FALSE)</f>
        <v>K031</v>
      </c>
      <c r="H402">
        <v>97.165030091859364</v>
      </c>
    </row>
    <row r="403" spans="1:8">
      <c r="A403">
        <v>2</v>
      </c>
      <c r="B403" t="s">
        <v>146</v>
      </c>
      <c r="C403">
        <v>2012</v>
      </c>
      <c r="D403" t="s">
        <v>11</v>
      </c>
      <c r="E403" t="s">
        <v>7</v>
      </c>
      <c r="F403" t="s">
        <v>13</v>
      </c>
      <c r="G403" t="str">
        <f>VLOOKUP(A403,[1]Kreise!$A$1:$C$53,3,FALSE)</f>
        <v>K032</v>
      </c>
      <c r="H403">
        <v>95.382870107770842</v>
      </c>
    </row>
    <row r="404" spans="1:8">
      <c r="A404">
        <v>3</v>
      </c>
      <c r="B404" t="s">
        <v>147</v>
      </c>
      <c r="C404">
        <v>2012</v>
      </c>
      <c r="D404" t="s">
        <v>11</v>
      </c>
      <c r="E404" t="s">
        <v>7</v>
      </c>
      <c r="F404" t="s">
        <v>13</v>
      </c>
      <c r="G404" t="str">
        <f>VLOOKUP(A404,[1]Kreise!$A$1:$C$53,3,FALSE)</f>
        <v>K033</v>
      </c>
      <c r="H404">
        <v>98.426996504436687</v>
      </c>
    </row>
    <row r="405" spans="1:8">
      <c r="A405">
        <v>4</v>
      </c>
      <c r="B405" t="s">
        <v>148</v>
      </c>
      <c r="C405">
        <v>2012</v>
      </c>
      <c r="D405" t="s">
        <v>11</v>
      </c>
      <c r="E405" t="s">
        <v>7</v>
      </c>
      <c r="F405" t="s">
        <v>13</v>
      </c>
      <c r="G405" t="str">
        <f>VLOOKUP(A405,[1]Kreise!$A$1:$C$53,3,FALSE)</f>
        <v>K034</v>
      </c>
      <c r="H405">
        <v>97.879487717824901</v>
      </c>
    </row>
    <row r="406" spans="1:8">
      <c r="A406">
        <v>0</v>
      </c>
      <c r="B406" t="s">
        <v>34</v>
      </c>
      <c r="C406">
        <v>2012</v>
      </c>
      <c r="D406" t="s">
        <v>11</v>
      </c>
      <c r="E406" t="s">
        <v>7</v>
      </c>
      <c r="F406" t="s">
        <v>13</v>
      </c>
      <c r="G406" t="str">
        <f>VLOOKUP(A406,[1]Kreise!$A$1:$C$53,3,FALSE)</f>
        <v>K030</v>
      </c>
      <c r="H406">
        <v>97.180070420340883</v>
      </c>
    </row>
    <row r="407" spans="1:8">
      <c r="A407">
        <v>1</v>
      </c>
      <c r="B407" t="s">
        <v>30</v>
      </c>
      <c r="C407">
        <v>2011</v>
      </c>
      <c r="D407" t="s">
        <v>11</v>
      </c>
      <c r="E407" t="s">
        <v>7</v>
      </c>
      <c r="F407" t="s">
        <v>13</v>
      </c>
      <c r="G407" t="str">
        <f>VLOOKUP(A407,[1]Kreise!$A$1:$C$53,3,FALSE)</f>
        <v>K031</v>
      </c>
      <c r="H407">
        <v>94.222689075630257</v>
      </c>
    </row>
    <row r="408" spans="1:8">
      <c r="A408">
        <v>2</v>
      </c>
      <c r="B408" t="s">
        <v>31</v>
      </c>
      <c r="C408">
        <v>2011</v>
      </c>
      <c r="D408" t="s">
        <v>11</v>
      </c>
      <c r="E408" t="s">
        <v>7</v>
      </c>
      <c r="F408" t="s">
        <v>13</v>
      </c>
      <c r="G408" t="str">
        <f>VLOOKUP(A408,[1]Kreise!$A$1:$C$53,3,FALSE)</f>
        <v>K032</v>
      </c>
      <c r="H408">
        <v>95.173766205469008</v>
      </c>
    </row>
    <row r="409" spans="1:8">
      <c r="A409">
        <v>3</v>
      </c>
      <c r="B409" t="s">
        <v>32</v>
      </c>
      <c r="C409">
        <v>2011</v>
      </c>
      <c r="D409" t="s">
        <v>11</v>
      </c>
      <c r="E409" t="s">
        <v>7</v>
      </c>
      <c r="F409" t="s">
        <v>13</v>
      </c>
      <c r="G409" t="str">
        <f>VLOOKUP(A409,[1]Kreise!$A$1:$C$53,3,FALSE)</f>
        <v>K033</v>
      </c>
      <c r="H409">
        <v>98.211972013474991</v>
      </c>
    </row>
    <row r="410" spans="1:8">
      <c r="A410">
        <v>4</v>
      </c>
      <c r="B410" t="s">
        <v>33</v>
      </c>
      <c r="C410">
        <v>2011</v>
      </c>
      <c r="D410" t="s">
        <v>11</v>
      </c>
      <c r="E410" t="s">
        <v>7</v>
      </c>
      <c r="F410" t="s">
        <v>13</v>
      </c>
      <c r="G410" t="str">
        <f>VLOOKUP(A410,[1]Kreise!$A$1:$C$53,3,FALSE)</f>
        <v>K034</v>
      </c>
      <c r="H410">
        <v>97.569513902780557</v>
      </c>
    </row>
    <row r="411" spans="1:8">
      <c r="A411">
        <v>0</v>
      </c>
      <c r="B411" t="s">
        <v>34</v>
      </c>
      <c r="C411">
        <v>2011</v>
      </c>
      <c r="D411" t="s">
        <v>11</v>
      </c>
      <c r="E411" t="s">
        <v>7</v>
      </c>
      <c r="F411" t="s">
        <v>13</v>
      </c>
      <c r="G411" t="str">
        <f>VLOOKUP(A411,[1]Kreise!$A$1:$C$53,3,FALSE)</f>
        <v>K030</v>
      </c>
      <c r="H411">
        <v>96.981435680443397</v>
      </c>
    </row>
    <row r="412" spans="1:8">
      <c r="A412">
        <v>1</v>
      </c>
      <c r="B412" t="s">
        <v>145</v>
      </c>
      <c r="C412">
        <v>2010</v>
      </c>
      <c r="D412" t="s">
        <v>11</v>
      </c>
      <c r="E412" t="s">
        <v>7</v>
      </c>
      <c r="F412" t="s">
        <v>13</v>
      </c>
      <c r="G412" t="str">
        <f>VLOOKUP(A412,[1]Kreise!$A$1:$C$53,3,FALSE)</f>
        <v>K031</v>
      </c>
      <c r="H412">
        <v>97.029702970297024</v>
      </c>
    </row>
    <row r="413" spans="1:8">
      <c r="A413">
        <v>2</v>
      </c>
      <c r="B413" t="s">
        <v>146</v>
      </c>
      <c r="C413">
        <v>2010</v>
      </c>
      <c r="D413" t="s">
        <v>11</v>
      </c>
      <c r="E413" t="s">
        <v>7</v>
      </c>
      <c r="F413" t="s">
        <v>13</v>
      </c>
      <c r="G413" t="str">
        <f>VLOOKUP(A413,[1]Kreise!$A$1:$C$53,3,FALSE)</f>
        <v>K032</v>
      </c>
      <c r="H413">
        <v>95.661811272957564</v>
      </c>
    </row>
    <row r="414" spans="1:8">
      <c r="A414">
        <v>3</v>
      </c>
      <c r="B414" t="s">
        <v>147</v>
      </c>
      <c r="C414">
        <v>2010</v>
      </c>
      <c r="D414" t="s">
        <v>11</v>
      </c>
      <c r="E414" t="s">
        <v>7</v>
      </c>
      <c r="F414" t="s">
        <v>13</v>
      </c>
      <c r="G414" t="str">
        <f>VLOOKUP(A414,[1]Kreise!$A$1:$C$53,3,FALSE)</f>
        <v>K033</v>
      </c>
      <c r="H414">
        <v>98.307422266800401</v>
      </c>
    </row>
    <row r="415" spans="1:8">
      <c r="A415">
        <v>4</v>
      </c>
      <c r="B415" t="s">
        <v>148</v>
      </c>
      <c r="C415">
        <v>2010</v>
      </c>
      <c r="D415" t="s">
        <v>11</v>
      </c>
      <c r="E415" t="s">
        <v>7</v>
      </c>
      <c r="F415" t="s">
        <v>13</v>
      </c>
      <c r="G415" t="str">
        <f>VLOOKUP(A415,[1]Kreise!$A$1:$C$53,3,FALSE)</f>
        <v>K034</v>
      </c>
      <c r="H415">
        <v>97.813688212927758</v>
      </c>
    </row>
    <row r="416" spans="1:8">
      <c r="A416">
        <v>0</v>
      </c>
      <c r="B416" t="s">
        <v>34</v>
      </c>
      <c r="C416">
        <v>2010</v>
      </c>
      <c r="D416" t="s">
        <v>11</v>
      </c>
      <c r="E416" t="s">
        <v>7</v>
      </c>
      <c r="F416" t="s">
        <v>13</v>
      </c>
      <c r="G416" t="str">
        <f>VLOOKUP(A416,[1]Kreise!$A$1:$C$53,3,FALSE)</f>
        <v>K030</v>
      </c>
      <c r="H416">
        <v>97.186073059360737</v>
      </c>
    </row>
    <row r="417" spans="1:8">
      <c r="A417">
        <v>1</v>
      </c>
      <c r="B417" t="s">
        <v>145</v>
      </c>
      <c r="C417">
        <v>2005</v>
      </c>
      <c r="D417" t="s">
        <v>11</v>
      </c>
      <c r="E417" t="s">
        <v>7</v>
      </c>
      <c r="F417" t="s">
        <v>13</v>
      </c>
      <c r="G417" t="str">
        <f>VLOOKUP(A417,[1]Kreise!$A$1:$C$53,3,FALSE)</f>
        <v>K031</v>
      </c>
      <c r="H417">
        <v>96.894803548795949</v>
      </c>
    </row>
    <row r="418" spans="1:8">
      <c r="A418">
        <v>2</v>
      </c>
      <c r="B418" t="s">
        <v>146</v>
      </c>
      <c r="C418">
        <v>2005</v>
      </c>
      <c r="D418" t="s">
        <v>11</v>
      </c>
      <c r="E418" t="s">
        <v>7</v>
      </c>
      <c r="F418" t="s">
        <v>13</v>
      </c>
      <c r="G418" t="str">
        <f>VLOOKUP(A418,[1]Kreise!$A$1:$C$53,3,FALSE)</f>
        <v>K032</v>
      </c>
      <c r="H418">
        <v>94.035594035594045</v>
      </c>
    </row>
    <row r="419" spans="1:8">
      <c r="A419">
        <v>3</v>
      </c>
      <c r="B419" t="s">
        <v>147</v>
      </c>
      <c r="C419">
        <v>2005</v>
      </c>
      <c r="D419" t="s">
        <v>11</v>
      </c>
      <c r="E419" t="s">
        <v>7</v>
      </c>
      <c r="F419" t="s">
        <v>13</v>
      </c>
      <c r="G419" t="str">
        <f>VLOOKUP(A419,[1]Kreise!$A$1:$C$53,3,FALSE)</f>
        <v>K033</v>
      </c>
      <c r="H419">
        <v>98.081991215226935</v>
      </c>
    </row>
    <row r="420" spans="1:8">
      <c r="A420">
        <v>4</v>
      </c>
      <c r="B420" t="s">
        <v>148</v>
      </c>
      <c r="C420">
        <v>2005</v>
      </c>
      <c r="D420" t="s">
        <v>11</v>
      </c>
      <c r="E420" t="s">
        <v>7</v>
      </c>
      <c r="F420" t="s">
        <v>13</v>
      </c>
      <c r="G420" t="str">
        <f>VLOOKUP(A420,[1]Kreise!$A$1:$C$53,3,FALSE)</f>
        <v>K034</v>
      </c>
      <c r="H420">
        <v>97.395491354782223</v>
      </c>
    </row>
    <row r="421" spans="1:8">
      <c r="A421">
        <v>0</v>
      </c>
      <c r="B421" t="s">
        <v>34</v>
      </c>
      <c r="C421">
        <v>2005</v>
      </c>
      <c r="D421" t="s">
        <v>11</v>
      </c>
      <c r="E421" t="s">
        <v>7</v>
      </c>
      <c r="F421" t="s">
        <v>13</v>
      </c>
      <c r="G421" t="str">
        <f>VLOOKUP(A421,[1]Kreise!$A$1:$C$53,3,FALSE)</f>
        <v>K030</v>
      </c>
      <c r="H421">
        <v>96.53222643482809</v>
      </c>
    </row>
    <row r="422" spans="1:8">
      <c r="A422">
        <v>1</v>
      </c>
      <c r="B422" t="s">
        <v>30</v>
      </c>
      <c r="C422">
        <v>2020</v>
      </c>
      <c r="D422" t="s">
        <v>12</v>
      </c>
      <c r="E422" t="s">
        <v>7</v>
      </c>
      <c r="F422" t="s">
        <v>13</v>
      </c>
      <c r="G422" t="str">
        <f>VLOOKUP(A422,[1]Kreise!$A$1:$C$53,3,FALSE)</f>
        <v>K031</v>
      </c>
      <c r="H422">
        <v>5.9585032807235327</v>
      </c>
    </row>
    <row r="423" spans="1:8">
      <c r="A423">
        <v>2</v>
      </c>
      <c r="B423" t="s">
        <v>31</v>
      </c>
      <c r="C423">
        <v>2020</v>
      </c>
      <c r="D423" t="s">
        <v>12</v>
      </c>
      <c r="E423" t="s">
        <v>7</v>
      </c>
      <c r="F423" t="s">
        <v>13</v>
      </c>
      <c r="G423" t="str">
        <f>VLOOKUP(A423,[1]Kreise!$A$1:$C$53,3,FALSE)</f>
        <v>K032</v>
      </c>
      <c r="H423">
        <v>5.2889925144189469</v>
      </c>
    </row>
    <row r="424" spans="1:8">
      <c r="A424">
        <v>3</v>
      </c>
      <c r="B424" t="s">
        <v>32</v>
      </c>
      <c r="C424">
        <v>2020</v>
      </c>
      <c r="D424" t="s">
        <v>12</v>
      </c>
      <c r="E424" t="s">
        <v>7</v>
      </c>
      <c r="F424" t="s">
        <v>13</v>
      </c>
      <c r="G424" t="str">
        <f>VLOOKUP(A424,[1]Kreise!$A$1:$C$53,3,FALSE)</f>
        <v>K033</v>
      </c>
      <c r="H424">
        <v>3.6768113703074303</v>
      </c>
    </row>
    <row r="425" spans="1:8">
      <c r="A425">
        <v>4</v>
      </c>
      <c r="B425" t="s">
        <v>33</v>
      </c>
      <c r="C425">
        <v>2020</v>
      </c>
      <c r="D425" t="s">
        <v>12</v>
      </c>
      <c r="E425" t="s">
        <v>7</v>
      </c>
      <c r="F425" t="s">
        <v>13</v>
      </c>
      <c r="G425" t="str">
        <f>VLOOKUP(A425,[1]Kreise!$A$1:$C$53,3,FALSE)</f>
        <v>K034</v>
      </c>
      <c r="H425">
        <v>4.6508917123207834</v>
      </c>
    </row>
    <row r="426" spans="1:8">
      <c r="A426">
        <v>0</v>
      </c>
      <c r="B426" t="s">
        <v>34</v>
      </c>
      <c r="C426">
        <v>2020</v>
      </c>
      <c r="D426" t="s">
        <v>12</v>
      </c>
      <c r="E426" t="s">
        <v>7</v>
      </c>
      <c r="F426" t="s">
        <v>13</v>
      </c>
      <c r="G426" t="str">
        <f>VLOOKUP(A426,[1]Kreise!$A$1:$C$53,3,FALSE)</f>
        <v>K030</v>
      </c>
      <c r="H426">
        <v>4.8682385575589464</v>
      </c>
    </row>
    <row r="427" spans="1:8">
      <c r="A427">
        <v>1</v>
      </c>
      <c r="B427" t="s">
        <v>30</v>
      </c>
      <c r="C427">
        <v>2019</v>
      </c>
      <c r="D427" t="s">
        <v>12</v>
      </c>
      <c r="E427" t="s">
        <v>7</v>
      </c>
      <c r="F427" t="s">
        <v>13</v>
      </c>
      <c r="G427" t="str">
        <f>VLOOKUP(A427,[1]Kreise!$A$1:$C$53,3,FALSE)</f>
        <v>K031</v>
      </c>
      <c r="H427">
        <v>4.6632124352331603</v>
      </c>
    </row>
    <row r="428" spans="1:8">
      <c r="A428">
        <v>2</v>
      </c>
      <c r="B428" t="s">
        <v>31</v>
      </c>
      <c r="C428">
        <v>2019</v>
      </c>
      <c r="D428" t="s">
        <v>12</v>
      </c>
      <c r="E428" t="s">
        <v>7</v>
      </c>
      <c r="F428" t="s">
        <v>13</v>
      </c>
      <c r="G428" t="str">
        <f>VLOOKUP(A428,[1]Kreise!$A$1:$C$53,3,FALSE)</f>
        <v>K032</v>
      </c>
      <c r="H428">
        <v>4.7561998322750689</v>
      </c>
    </row>
    <row r="429" spans="1:8">
      <c r="A429">
        <v>3</v>
      </c>
      <c r="B429" t="s">
        <v>32</v>
      </c>
      <c r="C429">
        <v>2019</v>
      </c>
      <c r="D429" t="s">
        <v>12</v>
      </c>
      <c r="E429" t="s">
        <v>7</v>
      </c>
      <c r="F429" t="s">
        <v>13</v>
      </c>
      <c r="G429" t="str">
        <f>VLOOKUP(A429,[1]Kreise!$A$1:$C$53,3,FALSE)</f>
        <v>K033</v>
      </c>
      <c r="H429">
        <v>2.8606394370506347</v>
      </c>
    </row>
    <row r="430" spans="1:8">
      <c r="A430">
        <v>4</v>
      </c>
      <c r="B430" t="s">
        <v>33</v>
      </c>
      <c r="C430">
        <v>2019</v>
      </c>
      <c r="D430" t="s">
        <v>12</v>
      </c>
      <c r="E430" t="s">
        <v>7</v>
      </c>
      <c r="F430" t="s">
        <v>13</v>
      </c>
      <c r="G430" t="str">
        <f>VLOOKUP(A430,[1]Kreise!$A$1:$C$53,3,FALSE)</f>
        <v>K034</v>
      </c>
      <c r="H430">
        <v>3.5152636447733578</v>
      </c>
    </row>
    <row r="431" spans="1:8">
      <c r="A431">
        <v>0</v>
      </c>
      <c r="B431" t="s">
        <v>34</v>
      </c>
      <c r="C431">
        <v>2019</v>
      </c>
      <c r="D431" t="s">
        <v>12</v>
      </c>
      <c r="E431" t="s">
        <v>7</v>
      </c>
      <c r="F431" t="s">
        <v>13</v>
      </c>
      <c r="G431" t="str">
        <f>VLOOKUP(A431,[1]Kreise!$A$1:$C$53,3,FALSE)</f>
        <v>K030</v>
      </c>
      <c r="H431">
        <v>3.9445226406673766</v>
      </c>
    </row>
    <row r="432" spans="1:8">
      <c r="A432">
        <v>1</v>
      </c>
      <c r="B432" t="s">
        <v>30</v>
      </c>
      <c r="C432">
        <v>2018</v>
      </c>
      <c r="D432" t="s">
        <v>12</v>
      </c>
      <c r="E432" t="s">
        <v>7</v>
      </c>
      <c r="F432" t="s">
        <v>13</v>
      </c>
      <c r="G432" t="str">
        <f>VLOOKUP(A432,[1]Kreise!$A$1:$C$53,3,FALSE)</f>
        <v>K031</v>
      </c>
      <c r="H432">
        <v>4</v>
      </c>
    </row>
    <row r="433" spans="1:8">
      <c r="A433">
        <v>2</v>
      </c>
      <c r="B433" t="s">
        <v>31</v>
      </c>
      <c r="C433">
        <v>2018</v>
      </c>
      <c r="D433" t="s">
        <v>12</v>
      </c>
      <c r="E433" t="s">
        <v>7</v>
      </c>
      <c r="F433" t="s">
        <v>13</v>
      </c>
      <c r="G433" t="str">
        <f>VLOOKUP(A433,[1]Kreise!$A$1:$C$53,3,FALSE)</f>
        <v>K032</v>
      </c>
      <c r="H433">
        <v>4.1822797050646683</v>
      </c>
    </row>
    <row r="434" spans="1:8">
      <c r="A434">
        <v>3</v>
      </c>
      <c r="B434" t="s">
        <v>32</v>
      </c>
      <c r="C434">
        <v>2018</v>
      </c>
      <c r="D434" t="s">
        <v>12</v>
      </c>
      <c r="E434" t="s">
        <v>7</v>
      </c>
      <c r="F434" t="s">
        <v>13</v>
      </c>
      <c r="G434" t="str">
        <f>VLOOKUP(A434,[1]Kreise!$A$1:$C$53,3,FALSE)</f>
        <v>K033</v>
      </c>
      <c r="H434">
        <v>2.6840605787974212</v>
      </c>
    </row>
    <row r="435" spans="1:8">
      <c r="A435">
        <v>4</v>
      </c>
      <c r="B435" t="s">
        <v>33</v>
      </c>
      <c r="C435">
        <v>2018</v>
      </c>
      <c r="D435" t="s">
        <v>12</v>
      </c>
      <c r="E435" t="s">
        <v>7</v>
      </c>
      <c r="F435" t="s">
        <v>13</v>
      </c>
      <c r="G435" t="str">
        <f>VLOOKUP(A435,[1]Kreise!$A$1:$C$53,3,FALSE)</f>
        <v>K034</v>
      </c>
      <c r="H435">
        <v>3.1768405074270847</v>
      </c>
    </row>
    <row r="436" spans="1:8">
      <c r="A436">
        <v>0</v>
      </c>
      <c r="B436" t="s">
        <v>34</v>
      </c>
      <c r="C436">
        <v>2018</v>
      </c>
      <c r="D436" t="s">
        <v>12</v>
      </c>
      <c r="E436" t="s">
        <v>7</v>
      </c>
      <c r="F436" t="s">
        <v>13</v>
      </c>
      <c r="G436" t="str">
        <f>VLOOKUP(A436,[1]Kreise!$A$1:$C$53,3,FALSE)</f>
        <v>K030</v>
      </c>
      <c r="H436">
        <v>3.5028437604550016</v>
      </c>
    </row>
    <row r="437" spans="1:8">
      <c r="A437">
        <v>1</v>
      </c>
      <c r="B437" t="s">
        <v>30</v>
      </c>
      <c r="C437">
        <v>2017</v>
      </c>
      <c r="D437" t="s">
        <v>12</v>
      </c>
      <c r="E437" t="s">
        <v>7</v>
      </c>
      <c r="F437" t="s">
        <v>13</v>
      </c>
      <c r="G437" t="str">
        <f>VLOOKUP(A437,[1]Kreise!$A$1:$C$53,3,FALSE)</f>
        <v>K031</v>
      </c>
      <c r="H437">
        <v>4.4294826364280651</v>
      </c>
    </row>
    <row r="438" spans="1:8">
      <c r="A438">
        <v>2</v>
      </c>
      <c r="B438" t="s">
        <v>31</v>
      </c>
      <c r="C438">
        <v>2017</v>
      </c>
      <c r="D438" t="s">
        <v>12</v>
      </c>
      <c r="E438" t="s">
        <v>7</v>
      </c>
      <c r="F438" t="s">
        <v>13</v>
      </c>
      <c r="G438" t="str">
        <f>VLOOKUP(A438,[1]Kreise!$A$1:$C$53,3,FALSE)</f>
        <v>K032</v>
      </c>
      <c r="H438">
        <v>4.5887028784776591</v>
      </c>
    </row>
    <row r="439" spans="1:8">
      <c r="A439">
        <v>3</v>
      </c>
      <c r="B439" t="s">
        <v>32</v>
      </c>
      <c r="C439">
        <v>2017</v>
      </c>
      <c r="D439" t="s">
        <v>12</v>
      </c>
      <c r="E439" t="s">
        <v>7</v>
      </c>
      <c r="F439" t="s">
        <v>13</v>
      </c>
      <c r="G439" t="str">
        <f>VLOOKUP(A439,[1]Kreise!$A$1:$C$53,3,FALSE)</f>
        <v>K033</v>
      </c>
      <c r="H439">
        <v>2.4369016536118364</v>
      </c>
    </row>
    <row r="440" spans="1:8">
      <c r="A440">
        <v>4</v>
      </c>
      <c r="B440" t="s">
        <v>33</v>
      </c>
      <c r="C440">
        <v>2017</v>
      </c>
      <c r="D440" t="s">
        <v>12</v>
      </c>
      <c r="E440" t="s">
        <v>7</v>
      </c>
      <c r="F440" t="s">
        <v>13</v>
      </c>
      <c r="G440" t="str">
        <f>VLOOKUP(A440,[1]Kreise!$A$1:$C$53,3,FALSE)</f>
        <v>K034</v>
      </c>
      <c r="H440">
        <v>2.9945355191256828</v>
      </c>
    </row>
    <row r="441" spans="1:8">
      <c r="A441">
        <v>0</v>
      </c>
      <c r="B441" t="s">
        <v>34</v>
      </c>
      <c r="C441">
        <v>2017</v>
      </c>
      <c r="D441" t="s">
        <v>12</v>
      </c>
      <c r="E441" t="s">
        <v>7</v>
      </c>
      <c r="F441" t="s">
        <v>13</v>
      </c>
      <c r="G441" t="str">
        <f>VLOOKUP(A441,[1]Kreise!$A$1:$C$53,3,FALSE)</f>
        <v>K030</v>
      </c>
      <c r="H441">
        <v>3.5777399886632657</v>
      </c>
    </row>
    <row r="442" spans="1:8">
      <c r="A442">
        <v>1</v>
      </c>
      <c r="B442" t="s">
        <v>30</v>
      </c>
      <c r="C442">
        <v>2016</v>
      </c>
      <c r="D442" t="s">
        <v>12</v>
      </c>
      <c r="E442" t="s">
        <v>7</v>
      </c>
      <c r="F442" t="s">
        <v>13</v>
      </c>
      <c r="G442" t="str">
        <f>VLOOKUP(A442,[1]Kreise!$A$1:$C$53,3,FALSE)</f>
        <v>K031</v>
      </c>
      <c r="H442">
        <v>3.8212094653812443</v>
      </c>
    </row>
    <row r="443" spans="1:8">
      <c r="A443">
        <v>2</v>
      </c>
      <c r="B443" t="s">
        <v>31</v>
      </c>
      <c r="C443">
        <v>2016</v>
      </c>
      <c r="D443" t="s">
        <v>12</v>
      </c>
      <c r="E443" t="s">
        <v>7</v>
      </c>
      <c r="F443" t="s">
        <v>13</v>
      </c>
      <c r="G443" t="str">
        <f>VLOOKUP(A443,[1]Kreise!$A$1:$C$53,3,FALSE)</f>
        <v>K032</v>
      </c>
      <c r="H443">
        <v>3.5815734222551563</v>
      </c>
    </row>
    <row r="444" spans="1:8">
      <c r="A444">
        <v>3</v>
      </c>
      <c r="B444" t="s">
        <v>32</v>
      </c>
      <c r="C444">
        <v>2016</v>
      </c>
      <c r="D444" t="s">
        <v>12</v>
      </c>
      <c r="E444" t="s">
        <v>7</v>
      </c>
      <c r="F444" t="s">
        <v>13</v>
      </c>
      <c r="G444" t="str">
        <f>VLOOKUP(A444,[1]Kreise!$A$1:$C$53,3,FALSE)</f>
        <v>K033</v>
      </c>
      <c r="H444">
        <v>2.2539098436062557</v>
      </c>
    </row>
    <row r="445" spans="1:8">
      <c r="A445">
        <v>4</v>
      </c>
      <c r="B445" t="s">
        <v>33</v>
      </c>
      <c r="C445">
        <v>2016</v>
      </c>
      <c r="D445" t="s">
        <v>12</v>
      </c>
      <c r="E445" t="s">
        <v>7</v>
      </c>
      <c r="F445" t="s">
        <v>13</v>
      </c>
      <c r="G445" t="str">
        <f>VLOOKUP(A445,[1]Kreise!$A$1:$C$53,3,FALSE)</f>
        <v>K034</v>
      </c>
      <c r="H445">
        <v>2.5549081129538322</v>
      </c>
    </row>
    <row r="446" spans="1:8">
      <c r="A446">
        <v>0</v>
      </c>
      <c r="B446" t="s">
        <v>34</v>
      </c>
      <c r="C446">
        <v>2016</v>
      </c>
      <c r="D446" t="s">
        <v>12</v>
      </c>
      <c r="E446" t="s">
        <v>7</v>
      </c>
      <c r="F446" t="s">
        <v>13</v>
      </c>
      <c r="G446" t="str">
        <f>VLOOKUP(A446,[1]Kreise!$A$1:$C$53,3,FALSE)</f>
        <v>K030</v>
      </c>
      <c r="H446">
        <v>3.0190098468271334</v>
      </c>
    </row>
    <row r="447" spans="1:8">
      <c r="A447">
        <v>1</v>
      </c>
      <c r="B447" t="s">
        <v>30</v>
      </c>
      <c r="C447">
        <v>2015</v>
      </c>
      <c r="D447" t="s">
        <v>12</v>
      </c>
      <c r="E447" t="s">
        <v>7</v>
      </c>
      <c r="F447" t="s">
        <v>13</v>
      </c>
      <c r="G447" t="str">
        <f>VLOOKUP(A447,[1]Kreise!$A$1:$C$53,3,FALSE)</f>
        <v>K031</v>
      </c>
      <c r="H447">
        <v>2.6344086021505375</v>
      </c>
    </row>
    <row r="448" spans="1:8">
      <c r="A448">
        <v>2</v>
      </c>
      <c r="B448" t="s">
        <v>31</v>
      </c>
      <c r="C448">
        <v>2015</v>
      </c>
      <c r="D448" t="s">
        <v>12</v>
      </c>
      <c r="E448" t="s">
        <v>7</v>
      </c>
      <c r="F448" t="s">
        <v>13</v>
      </c>
      <c r="G448" t="str">
        <f>VLOOKUP(A448,[1]Kreise!$A$1:$C$53,3,FALSE)</f>
        <v>K032</v>
      </c>
      <c r="H448">
        <v>3.5349180933612514</v>
      </c>
    </row>
    <row r="449" spans="1:8">
      <c r="A449">
        <v>3</v>
      </c>
      <c r="B449" t="s">
        <v>32</v>
      </c>
      <c r="C449">
        <v>2015</v>
      </c>
      <c r="D449" t="s">
        <v>12</v>
      </c>
      <c r="E449" t="s">
        <v>7</v>
      </c>
      <c r="F449" t="s">
        <v>13</v>
      </c>
      <c r="G449" t="str">
        <f>VLOOKUP(A449,[1]Kreise!$A$1:$C$53,3,FALSE)</f>
        <v>K033</v>
      </c>
      <c r="H449">
        <v>1.4525306978137167</v>
      </c>
    </row>
    <row r="450" spans="1:8">
      <c r="A450">
        <v>4</v>
      </c>
      <c r="B450" t="s">
        <v>33</v>
      </c>
      <c r="C450">
        <v>2015</v>
      </c>
      <c r="D450" t="s">
        <v>12</v>
      </c>
      <c r="E450" t="s">
        <v>7</v>
      </c>
      <c r="F450" t="s">
        <v>13</v>
      </c>
      <c r="G450" t="str">
        <f>VLOOKUP(A450,[1]Kreise!$A$1:$C$53,3,FALSE)</f>
        <v>K034</v>
      </c>
      <c r="H450">
        <v>2.1635415510928659</v>
      </c>
    </row>
    <row r="451" spans="1:8">
      <c r="A451">
        <v>0</v>
      </c>
      <c r="B451" t="s">
        <v>34</v>
      </c>
      <c r="C451">
        <v>2015</v>
      </c>
      <c r="D451" t="s">
        <v>12</v>
      </c>
      <c r="E451" t="s">
        <v>7</v>
      </c>
      <c r="F451" t="s">
        <v>13</v>
      </c>
      <c r="G451" t="str">
        <f>VLOOKUP(A451,[1]Kreise!$A$1:$C$53,3,FALSE)</f>
        <v>K030</v>
      </c>
      <c r="H451">
        <v>2.4702279686968356</v>
      </c>
    </row>
    <row r="452" spans="1:8">
      <c r="A452">
        <v>1</v>
      </c>
      <c r="B452" t="s">
        <v>145</v>
      </c>
      <c r="C452">
        <v>2014</v>
      </c>
      <c r="D452" t="s">
        <v>12</v>
      </c>
      <c r="E452" t="s">
        <v>7</v>
      </c>
      <c r="F452" t="s">
        <v>13</v>
      </c>
      <c r="G452" t="str">
        <f>VLOOKUP(A452,[1]Kreise!$A$1:$C$53,3,FALSE)</f>
        <v>K031</v>
      </c>
      <c r="H452">
        <v>2.8046914839367667</v>
      </c>
    </row>
    <row r="453" spans="1:8">
      <c r="A453">
        <v>2</v>
      </c>
      <c r="B453" t="s">
        <v>146</v>
      </c>
      <c r="C453">
        <v>2014</v>
      </c>
      <c r="D453" t="s">
        <v>12</v>
      </c>
      <c r="E453" t="s">
        <v>7</v>
      </c>
      <c r="F453" t="s">
        <v>13</v>
      </c>
      <c r="G453" t="str">
        <f>VLOOKUP(A453,[1]Kreise!$A$1:$C$53,3,FALSE)</f>
        <v>K032</v>
      </c>
      <c r="H453">
        <v>3.3723076923076927</v>
      </c>
    </row>
    <row r="454" spans="1:8">
      <c r="A454">
        <v>3</v>
      </c>
      <c r="B454" t="s">
        <v>147</v>
      </c>
      <c r="C454">
        <v>2014</v>
      </c>
      <c r="D454" t="s">
        <v>12</v>
      </c>
      <c r="E454" t="s">
        <v>7</v>
      </c>
      <c r="F454" t="s">
        <v>13</v>
      </c>
      <c r="G454" t="str">
        <f>VLOOKUP(A454,[1]Kreise!$A$1:$C$53,3,FALSE)</f>
        <v>K033</v>
      </c>
      <c r="H454">
        <v>1.7210944395410415</v>
      </c>
    </row>
    <row r="455" spans="1:8">
      <c r="A455">
        <v>4</v>
      </c>
      <c r="B455" t="s">
        <v>148</v>
      </c>
      <c r="C455">
        <v>2014</v>
      </c>
      <c r="D455" t="s">
        <v>12</v>
      </c>
      <c r="E455" t="s">
        <v>7</v>
      </c>
      <c r="F455" t="s">
        <v>13</v>
      </c>
      <c r="G455" t="str">
        <f>VLOOKUP(A455,[1]Kreise!$A$1:$C$53,3,FALSE)</f>
        <v>K034</v>
      </c>
      <c r="H455">
        <v>2.3909211106214192</v>
      </c>
    </row>
    <row r="456" spans="1:8">
      <c r="A456">
        <v>0</v>
      </c>
      <c r="B456" t="s">
        <v>34</v>
      </c>
      <c r="C456">
        <v>2014</v>
      </c>
      <c r="D456" t="s">
        <v>12</v>
      </c>
      <c r="E456" t="s">
        <v>7</v>
      </c>
      <c r="F456" t="s">
        <v>13</v>
      </c>
      <c r="G456" t="str">
        <f>VLOOKUP(A456,[1]Kreise!$A$1:$C$53,3,FALSE)</f>
        <v>K030</v>
      </c>
      <c r="H456">
        <v>2.5868415768690181</v>
      </c>
    </row>
    <row r="457" spans="1:8">
      <c r="A457">
        <v>1</v>
      </c>
      <c r="B457" t="s">
        <v>30</v>
      </c>
      <c r="C457">
        <v>2013</v>
      </c>
      <c r="D457" t="s">
        <v>12</v>
      </c>
      <c r="E457" t="s">
        <v>7</v>
      </c>
      <c r="F457" t="s">
        <v>13</v>
      </c>
      <c r="G457" t="str">
        <f>VLOOKUP(A457,[1]Kreise!$A$1:$C$53,3,FALSE)</f>
        <v>K031</v>
      </c>
      <c r="H457">
        <v>2.663634887120351</v>
      </c>
    </row>
    <row r="458" spans="1:8">
      <c r="A458">
        <v>2</v>
      </c>
      <c r="B458" t="s">
        <v>31</v>
      </c>
      <c r="C458">
        <v>2013</v>
      </c>
      <c r="D458" t="s">
        <v>12</v>
      </c>
      <c r="E458" t="s">
        <v>7</v>
      </c>
      <c r="F458" t="s">
        <v>13</v>
      </c>
      <c r="G458" t="str">
        <f>VLOOKUP(A458,[1]Kreise!$A$1:$C$53,3,FALSE)</f>
        <v>K032</v>
      </c>
      <c r="H458">
        <v>4.2298202326401126</v>
      </c>
    </row>
    <row r="459" spans="1:8">
      <c r="A459">
        <v>3</v>
      </c>
      <c r="B459" t="s">
        <v>32</v>
      </c>
      <c r="C459">
        <v>2013</v>
      </c>
      <c r="D459" t="s">
        <v>12</v>
      </c>
      <c r="E459" t="s">
        <v>7</v>
      </c>
      <c r="F459" t="s">
        <v>13</v>
      </c>
      <c r="G459" t="str">
        <f>VLOOKUP(A459,[1]Kreise!$A$1:$C$53,3,FALSE)</f>
        <v>K033</v>
      </c>
      <c r="H459">
        <v>1.3309050154104791</v>
      </c>
    </row>
    <row r="460" spans="1:8">
      <c r="A460">
        <v>4</v>
      </c>
      <c r="B460" t="s">
        <v>33</v>
      </c>
      <c r="C460">
        <v>2013</v>
      </c>
      <c r="D460" t="s">
        <v>12</v>
      </c>
      <c r="E460" t="s">
        <v>7</v>
      </c>
      <c r="F460" t="s">
        <v>13</v>
      </c>
      <c r="G460" t="str">
        <f>VLOOKUP(A460,[1]Kreise!$A$1:$C$53,3,FALSE)</f>
        <v>K034</v>
      </c>
      <c r="H460">
        <v>2.3273193124799829</v>
      </c>
    </row>
    <row r="461" spans="1:8">
      <c r="A461">
        <v>0</v>
      </c>
      <c r="B461" t="s">
        <v>34</v>
      </c>
      <c r="C461">
        <v>2013</v>
      </c>
      <c r="D461" t="s">
        <v>12</v>
      </c>
      <c r="E461" t="s">
        <v>7</v>
      </c>
      <c r="F461" t="s">
        <v>13</v>
      </c>
      <c r="G461" t="str">
        <f>VLOOKUP(A461,[1]Kreise!$A$1:$C$53,3,FALSE)</f>
        <v>K030</v>
      </c>
      <c r="H461">
        <v>2.6850158791261669</v>
      </c>
    </row>
    <row r="462" spans="1:8">
      <c r="A462">
        <v>1</v>
      </c>
      <c r="B462" t="s">
        <v>145</v>
      </c>
      <c r="C462">
        <v>2012</v>
      </c>
      <c r="D462" t="s">
        <v>12</v>
      </c>
      <c r="E462" t="s">
        <v>7</v>
      </c>
      <c r="F462" t="s">
        <v>13</v>
      </c>
      <c r="G462" t="str">
        <f>VLOOKUP(A462,[1]Kreise!$A$1:$C$53,3,FALSE)</f>
        <v>K031</v>
      </c>
      <c r="H462">
        <v>2.8349699081406396</v>
      </c>
    </row>
    <row r="463" spans="1:8">
      <c r="A463">
        <v>2</v>
      </c>
      <c r="B463" t="s">
        <v>146</v>
      </c>
      <c r="C463">
        <v>2012</v>
      </c>
      <c r="D463" t="s">
        <v>12</v>
      </c>
      <c r="E463" t="s">
        <v>7</v>
      </c>
      <c r="F463" t="s">
        <v>13</v>
      </c>
      <c r="G463" t="str">
        <f>VLOOKUP(A463,[1]Kreise!$A$1:$C$53,3,FALSE)</f>
        <v>K032</v>
      </c>
      <c r="H463">
        <v>4.6171298922291548</v>
      </c>
    </row>
    <row r="464" spans="1:8">
      <c r="A464">
        <v>3</v>
      </c>
      <c r="B464" t="s">
        <v>147</v>
      </c>
      <c r="C464">
        <v>2012</v>
      </c>
      <c r="D464" t="s">
        <v>12</v>
      </c>
      <c r="E464" t="s">
        <v>7</v>
      </c>
      <c r="F464" t="s">
        <v>13</v>
      </c>
      <c r="G464" t="str">
        <f>VLOOKUP(A464,[1]Kreise!$A$1:$C$53,3,FALSE)</f>
        <v>K033</v>
      </c>
      <c r="H464">
        <v>1.5730034955633236</v>
      </c>
    </row>
    <row r="465" spans="1:8">
      <c r="A465">
        <v>4</v>
      </c>
      <c r="B465" t="s">
        <v>148</v>
      </c>
      <c r="C465">
        <v>2012</v>
      </c>
      <c r="D465" t="s">
        <v>12</v>
      </c>
      <c r="E465" t="s">
        <v>7</v>
      </c>
      <c r="F465" t="s">
        <v>13</v>
      </c>
      <c r="G465" t="str">
        <f>VLOOKUP(A465,[1]Kreise!$A$1:$C$53,3,FALSE)</f>
        <v>K034</v>
      </c>
      <c r="H465">
        <v>2.1205122821750999</v>
      </c>
    </row>
    <row r="466" spans="1:8">
      <c r="A466">
        <v>0</v>
      </c>
      <c r="B466" t="s">
        <v>34</v>
      </c>
      <c r="C466">
        <v>2012</v>
      </c>
      <c r="D466" t="s">
        <v>12</v>
      </c>
      <c r="E466" t="s">
        <v>7</v>
      </c>
      <c r="F466" t="s">
        <v>13</v>
      </c>
      <c r="G466" t="str">
        <f>VLOOKUP(A466,[1]Kreise!$A$1:$C$53,3,FALSE)</f>
        <v>K030</v>
      </c>
      <c r="H466">
        <v>2.8199295796591155</v>
      </c>
    </row>
    <row r="467" spans="1:8">
      <c r="A467">
        <v>1</v>
      </c>
      <c r="B467" t="s">
        <v>30</v>
      </c>
      <c r="C467">
        <v>2011</v>
      </c>
      <c r="D467" t="s">
        <v>12</v>
      </c>
      <c r="E467" t="s">
        <v>7</v>
      </c>
      <c r="F467" t="s">
        <v>13</v>
      </c>
      <c r="G467" t="str">
        <f>VLOOKUP(A467,[1]Kreise!$A$1:$C$53,3,FALSE)</f>
        <v>K031</v>
      </c>
      <c r="H467">
        <v>2.8361344537815127</v>
      </c>
    </row>
    <row r="468" spans="1:8">
      <c r="A468">
        <v>2</v>
      </c>
      <c r="B468" t="s">
        <v>31</v>
      </c>
      <c r="C468">
        <v>2011</v>
      </c>
      <c r="D468" t="s">
        <v>12</v>
      </c>
      <c r="E468" t="s">
        <v>7</v>
      </c>
      <c r="F468" t="s">
        <v>13</v>
      </c>
      <c r="G468" t="str">
        <f>VLOOKUP(A468,[1]Kreise!$A$1:$C$53,3,FALSE)</f>
        <v>K032</v>
      </c>
      <c r="H468">
        <v>4.8262337945309941</v>
      </c>
    </row>
    <row r="469" spans="1:8">
      <c r="A469">
        <v>3</v>
      </c>
      <c r="B469" t="s">
        <v>32</v>
      </c>
      <c r="C469">
        <v>2011</v>
      </c>
      <c r="D469" t="s">
        <v>12</v>
      </c>
      <c r="E469" t="s">
        <v>7</v>
      </c>
      <c r="F469" t="s">
        <v>13</v>
      </c>
      <c r="G469" t="str">
        <f>VLOOKUP(A469,[1]Kreise!$A$1:$C$53,3,FALSE)</f>
        <v>K033</v>
      </c>
      <c r="H469">
        <v>1.7880279865250066</v>
      </c>
    </row>
    <row r="470" spans="1:8">
      <c r="A470">
        <v>4</v>
      </c>
      <c r="B470" t="s">
        <v>33</v>
      </c>
      <c r="C470">
        <v>2011</v>
      </c>
      <c r="D470" t="s">
        <v>12</v>
      </c>
      <c r="E470" t="s">
        <v>7</v>
      </c>
      <c r="F470" t="s">
        <v>13</v>
      </c>
      <c r="G470" t="str">
        <f>VLOOKUP(A470,[1]Kreise!$A$1:$C$53,3,FALSE)</f>
        <v>K034</v>
      </c>
      <c r="H470">
        <v>2.4304860972194442</v>
      </c>
    </row>
    <row r="471" spans="1:8">
      <c r="A471">
        <v>0</v>
      </c>
      <c r="B471" t="s">
        <v>34</v>
      </c>
      <c r="C471">
        <v>2011</v>
      </c>
      <c r="D471" t="s">
        <v>12</v>
      </c>
      <c r="E471" t="s">
        <v>7</v>
      </c>
      <c r="F471" t="s">
        <v>13</v>
      </c>
      <c r="G471" t="str">
        <f>VLOOKUP(A471,[1]Kreise!$A$1:$C$53,3,FALSE)</f>
        <v>K030</v>
      </c>
      <c r="H471">
        <v>3.0185643195566016</v>
      </c>
    </row>
    <row r="472" spans="1:8">
      <c r="A472">
        <v>1</v>
      </c>
      <c r="B472" t="s">
        <v>145</v>
      </c>
      <c r="C472">
        <v>2010</v>
      </c>
      <c r="D472" t="s">
        <v>12</v>
      </c>
      <c r="E472" t="s">
        <v>7</v>
      </c>
      <c r="F472" t="s">
        <v>13</v>
      </c>
      <c r="G472" t="str">
        <f>VLOOKUP(A472,[1]Kreise!$A$1:$C$53,3,FALSE)</f>
        <v>K031</v>
      </c>
      <c r="H472">
        <v>2.9702970297029703</v>
      </c>
    </row>
    <row r="473" spans="1:8">
      <c r="A473">
        <v>2</v>
      </c>
      <c r="B473" t="s">
        <v>146</v>
      </c>
      <c r="C473">
        <v>2010</v>
      </c>
      <c r="D473" t="s">
        <v>12</v>
      </c>
      <c r="E473" t="s">
        <v>7</v>
      </c>
      <c r="F473" t="s">
        <v>13</v>
      </c>
      <c r="G473" t="str">
        <f>VLOOKUP(A473,[1]Kreise!$A$1:$C$53,3,FALSE)</f>
        <v>K032</v>
      </c>
      <c r="H473">
        <v>4.3381887270424313</v>
      </c>
    </row>
    <row r="474" spans="1:8">
      <c r="A474">
        <v>3</v>
      </c>
      <c r="B474" t="s">
        <v>147</v>
      </c>
      <c r="C474">
        <v>2010</v>
      </c>
      <c r="D474" t="s">
        <v>12</v>
      </c>
      <c r="E474" t="s">
        <v>7</v>
      </c>
      <c r="F474" t="s">
        <v>13</v>
      </c>
      <c r="G474" t="str">
        <f>VLOOKUP(A474,[1]Kreise!$A$1:$C$53,3,FALSE)</f>
        <v>K033</v>
      </c>
      <c r="H474">
        <v>1.6925777331995988</v>
      </c>
    </row>
    <row r="475" spans="1:8">
      <c r="A475">
        <v>4</v>
      </c>
      <c r="B475" t="s">
        <v>148</v>
      </c>
      <c r="C475">
        <v>2010</v>
      </c>
      <c r="D475" t="s">
        <v>12</v>
      </c>
      <c r="E475" t="s">
        <v>7</v>
      </c>
      <c r="F475" t="s">
        <v>13</v>
      </c>
      <c r="G475" t="str">
        <f>VLOOKUP(A475,[1]Kreise!$A$1:$C$53,3,FALSE)</f>
        <v>K034</v>
      </c>
      <c r="H475">
        <v>2.1863117870722433</v>
      </c>
    </row>
    <row r="476" spans="1:8">
      <c r="A476">
        <v>0</v>
      </c>
      <c r="B476" t="s">
        <v>34</v>
      </c>
      <c r="C476">
        <v>2010</v>
      </c>
      <c r="D476" t="s">
        <v>12</v>
      </c>
      <c r="E476" t="s">
        <v>7</v>
      </c>
      <c r="F476" t="s">
        <v>13</v>
      </c>
      <c r="G476" t="str">
        <f>VLOOKUP(A476,[1]Kreise!$A$1:$C$53,3,FALSE)</f>
        <v>K030</v>
      </c>
      <c r="H476">
        <v>2.8139269406392695</v>
      </c>
    </row>
    <row r="477" spans="1:8">
      <c r="A477">
        <v>1</v>
      </c>
      <c r="B477" t="s">
        <v>145</v>
      </c>
      <c r="C477">
        <v>2005</v>
      </c>
      <c r="D477" t="s">
        <v>12</v>
      </c>
      <c r="E477" t="s">
        <v>7</v>
      </c>
      <c r="F477" t="s">
        <v>13</v>
      </c>
      <c r="G477" t="str">
        <f>VLOOKUP(A477,[1]Kreise!$A$1:$C$53,3,FALSE)</f>
        <v>K031</v>
      </c>
      <c r="H477">
        <v>3.1051964512040557</v>
      </c>
    </row>
    <row r="478" spans="1:8">
      <c r="A478">
        <v>2</v>
      </c>
      <c r="B478" t="s">
        <v>146</v>
      </c>
      <c r="C478">
        <v>2005</v>
      </c>
      <c r="D478" t="s">
        <v>12</v>
      </c>
      <c r="E478" t="s">
        <v>7</v>
      </c>
      <c r="F478" t="s">
        <v>13</v>
      </c>
      <c r="G478" t="str">
        <f>VLOOKUP(A478,[1]Kreise!$A$1:$C$53,3,FALSE)</f>
        <v>K032</v>
      </c>
      <c r="H478">
        <v>5.9644059644059642</v>
      </c>
    </row>
    <row r="479" spans="1:8">
      <c r="A479">
        <v>3</v>
      </c>
      <c r="B479" t="s">
        <v>147</v>
      </c>
      <c r="C479">
        <v>2005</v>
      </c>
      <c r="D479" t="s">
        <v>12</v>
      </c>
      <c r="E479" t="s">
        <v>7</v>
      </c>
      <c r="F479" t="s">
        <v>13</v>
      </c>
      <c r="G479" t="str">
        <f>VLOOKUP(A479,[1]Kreise!$A$1:$C$53,3,FALSE)</f>
        <v>K033</v>
      </c>
      <c r="H479">
        <v>1.91800878477306</v>
      </c>
    </row>
    <row r="480" spans="1:8">
      <c r="A480">
        <v>4</v>
      </c>
      <c r="B480" t="s">
        <v>148</v>
      </c>
      <c r="C480">
        <v>2005</v>
      </c>
      <c r="D480" t="s">
        <v>12</v>
      </c>
      <c r="E480" t="s">
        <v>7</v>
      </c>
      <c r="F480" t="s">
        <v>13</v>
      </c>
      <c r="G480" t="str">
        <f>VLOOKUP(A480,[1]Kreise!$A$1:$C$53,3,FALSE)</f>
        <v>K034</v>
      </c>
      <c r="H480">
        <v>2.6045086452177721</v>
      </c>
    </row>
    <row r="481" spans="1:8">
      <c r="A481">
        <v>0</v>
      </c>
      <c r="B481" t="s">
        <v>34</v>
      </c>
      <c r="C481">
        <v>2005</v>
      </c>
      <c r="D481" t="s">
        <v>12</v>
      </c>
      <c r="E481" t="s">
        <v>7</v>
      </c>
      <c r="F481" t="s">
        <v>13</v>
      </c>
      <c r="G481" t="str">
        <f>VLOOKUP(A481,[1]Kreise!$A$1:$C$53,3,FALSE)</f>
        <v>K030</v>
      </c>
      <c r="H481">
        <v>3.4677735651719179</v>
      </c>
    </row>
    <row r="482" spans="1:8">
      <c r="A482">
        <v>1</v>
      </c>
      <c r="B482" t="s">
        <v>30</v>
      </c>
      <c r="C482">
        <v>2020</v>
      </c>
      <c r="D482" t="s">
        <v>11</v>
      </c>
      <c r="E482" t="s">
        <v>115</v>
      </c>
      <c r="F482" t="s">
        <v>13</v>
      </c>
      <c r="G482" t="str">
        <f>VLOOKUP(A482,[1]Kreise!$A$1:$C$53,3,FALSE)</f>
        <v>K031</v>
      </c>
      <c r="H482">
        <v>91.637519872813982</v>
      </c>
    </row>
    <row r="483" spans="1:8">
      <c r="A483">
        <v>2</v>
      </c>
      <c r="B483" t="s">
        <v>31</v>
      </c>
      <c r="C483">
        <v>2020</v>
      </c>
      <c r="D483" t="s">
        <v>11</v>
      </c>
      <c r="E483" t="s">
        <v>115</v>
      </c>
      <c r="F483" t="s">
        <v>13</v>
      </c>
      <c r="G483" t="str">
        <f>VLOOKUP(A483,[1]Kreise!$A$1:$C$53,3,FALSE)</f>
        <v>K032</v>
      </c>
      <c r="H483">
        <v>85.860382392174301</v>
      </c>
    </row>
    <row r="484" spans="1:8">
      <c r="A484">
        <v>3</v>
      </c>
      <c r="B484" t="s">
        <v>32</v>
      </c>
      <c r="C484">
        <v>2020</v>
      </c>
      <c r="D484" t="s">
        <v>11</v>
      </c>
      <c r="E484" t="s">
        <v>115</v>
      </c>
      <c r="F484" t="s">
        <v>13</v>
      </c>
      <c r="G484" t="str">
        <f>VLOOKUP(A484,[1]Kreise!$A$1:$C$53,3,FALSE)</f>
        <v>K033</v>
      </c>
      <c r="H484">
        <v>91.845703125</v>
      </c>
    </row>
    <row r="485" spans="1:8">
      <c r="A485">
        <v>4</v>
      </c>
      <c r="B485" t="s">
        <v>33</v>
      </c>
      <c r="C485">
        <v>2020</v>
      </c>
      <c r="D485" t="s">
        <v>11</v>
      </c>
      <c r="E485" t="s">
        <v>115</v>
      </c>
      <c r="F485" t="s">
        <v>13</v>
      </c>
      <c r="G485" t="str">
        <f>VLOOKUP(A485,[1]Kreise!$A$1:$C$53,3,FALSE)</f>
        <v>K034</v>
      </c>
      <c r="H485">
        <v>92.777413000656594</v>
      </c>
    </row>
    <row r="486" spans="1:8">
      <c r="A486">
        <v>0</v>
      </c>
      <c r="B486" t="s">
        <v>34</v>
      </c>
      <c r="C486">
        <v>2020</v>
      </c>
      <c r="D486" t="s">
        <v>11</v>
      </c>
      <c r="E486" t="s">
        <v>115</v>
      </c>
      <c r="F486" t="s">
        <v>13</v>
      </c>
      <c r="G486" t="str">
        <f>VLOOKUP(A486,[1]Kreise!$A$1:$C$53,3,FALSE)</f>
        <v>K030</v>
      </c>
      <c r="H486">
        <v>89.903430949203113</v>
      </c>
    </row>
    <row r="487" spans="1:8">
      <c r="A487">
        <v>1</v>
      </c>
      <c r="B487" t="s">
        <v>30</v>
      </c>
      <c r="C487">
        <v>2019</v>
      </c>
      <c r="D487" t="s">
        <v>11</v>
      </c>
      <c r="E487" t="s">
        <v>115</v>
      </c>
      <c r="F487" t="s">
        <v>13</v>
      </c>
      <c r="G487" t="str">
        <f>VLOOKUP(A487,[1]Kreise!$A$1:$C$53,3,FALSE)</f>
        <v>K031</v>
      </c>
      <c r="H487">
        <v>93.372561164447205</v>
      </c>
    </row>
    <row r="488" spans="1:8">
      <c r="A488">
        <v>2</v>
      </c>
      <c r="B488" t="s">
        <v>31</v>
      </c>
      <c r="C488">
        <v>2019</v>
      </c>
      <c r="D488" t="s">
        <v>11</v>
      </c>
      <c r="E488" t="s">
        <v>115</v>
      </c>
      <c r="F488" t="s">
        <v>13</v>
      </c>
      <c r="G488" t="str">
        <f>VLOOKUP(A488,[1]Kreise!$A$1:$C$53,3,FALSE)</f>
        <v>K032</v>
      </c>
      <c r="H488">
        <v>88.086241386974891</v>
      </c>
    </row>
    <row r="489" spans="1:8">
      <c r="A489">
        <v>3</v>
      </c>
      <c r="B489" t="s">
        <v>32</v>
      </c>
      <c r="C489">
        <v>2019</v>
      </c>
      <c r="D489" t="s">
        <v>11</v>
      </c>
      <c r="E489" t="s">
        <v>115</v>
      </c>
      <c r="F489" t="s">
        <v>13</v>
      </c>
      <c r="G489" t="str">
        <f>VLOOKUP(A489,[1]Kreise!$A$1:$C$53,3,FALSE)</f>
        <v>K033</v>
      </c>
      <c r="H489">
        <v>93.51432880844645</v>
      </c>
    </row>
    <row r="490" spans="1:8">
      <c r="A490">
        <v>4</v>
      </c>
      <c r="B490" t="s">
        <v>33</v>
      </c>
      <c r="C490">
        <v>2019</v>
      </c>
      <c r="D490" t="s">
        <v>11</v>
      </c>
      <c r="E490" t="s">
        <v>115</v>
      </c>
      <c r="F490" t="s">
        <v>13</v>
      </c>
      <c r="G490" t="str">
        <f>VLOOKUP(A490,[1]Kreise!$A$1:$C$53,3,FALSE)</f>
        <v>K034</v>
      </c>
      <c r="H490">
        <v>93.706293706293707</v>
      </c>
    </row>
    <row r="491" spans="1:8">
      <c r="A491">
        <v>0</v>
      </c>
      <c r="B491" t="s">
        <v>34</v>
      </c>
      <c r="C491">
        <v>2019</v>
      </c>
      <c r="D491" t="s">
        <v>11</v>
      </c>
      <c r="E491" t="s">
        <v>115</v>
      </c>
      <c r="F491" t="s">
        <v>13</v>
      </c>
      <c r="G491" t="str">
        <f>VLOOKUP(A491,[1]Kreise!$A$1:$C$53,3,FALSE)</f>
        <v>K030</v>
      </c>
      <c r="H491">
        <v>91.603773584905653</v>
      </c>
    </row>
    <row r="492" spans="1:8">
      <c r="A492">
        <v>1</v>
      </c>
      <c r="B492" t="s">
        <v>30</v>
      </c>
      <c r="C492">
        <v>2018</v>
      </c>
      <c r="D492" t="s">
        <v>11</v>
      </c>
      <c r="E492" t="s">
        <v>115</v>
      </c>
      <c r="F492" t="s">
        <v>13</v>
      </c>
      <c r="G492" t="str">
        <f>VLOOKUP(A492,[1]Kreise!$A$1:$C$53,3,FALSE)</f>
        <v>K031</v>
      </c>
      <c r="H492">
        <v>92.991563919532766</v>
      </c>
    </row>
    <row r="493" spans="1:8">
      <c r="A493">
        <v>2</v>
      </c>
      <c r="B493" t="s">
        <v>31</v>
      </c>
      <c r="C493">
        <v>2018</v>
      </c>
      <c r="D493" t="s">
        <v>11</v>
      </c>
      <c r="E493" t="s">
        <v>115</v>
      </c>
      <c r="F493" t="s">
        <v>13</v>
      </c>
      <c r="G493" t="str">
        <f>VLOOKUP(A493,[1]Kreise!$A$1:$C$53,3,FALSE)</f>
        <v>K032</v>
      </c>
      <c r="H493">
        <v>89.930555555555557</v>
      </c>
    </row>
    <row r="494" spans="1:8">
      <c r="A494">
        <v>3</v>
      </c>
      <c r="B494" t="s">
        <v>32</v>
      </c>
      <c r="C494">
        <v>2018</v>
      </c>
      <c r="D494" t="s">
        <v>11</v>
      </c>
      <c r="E494" t="s">
        <v>115</v>
      </c>
      <c r="F494" t="s">
        <v>13</v>
      </c>
      <c r="G494" t="str">
        <f>VLOOKUP(A494,[1]Kreise!$A$1:$C$53,3,FALSE)</f>
        <v>K033</v>
      </c>
      <c r="H494">
        <v>93.895781637717121</v>
      </c>
    </row>
    <row r="495" spans="1:8">
      <c r="A495">
        <v>4</v>
      </c>
      <c r="B495" t="s">
        <v>33</v>
      </c>
      <c r="C495">
        <v>2018</v>
      </c>
      <c r="D495" t="s">
        <v>11</v>
      </c>
      <c r="E495" t="s">
        <v>115</v>
      </c>
      <c r="F495" t="s">
        <v>13</v>
      </c>
      <c r="G495" t="str">
        <f>VLOOKUP(A495,[1]Kreise!$A$1:$C$53,3,FALSE)</f>
        <v>K034</v>
      </c>
      <c r="H495">
        <v>94.44629198536748</v>
      </c>
    </row>
    <row r="496" spans="1:8">
      <c r="A496">
        <v>0</v>
      </c>
      <c r="B496" t="s">
        <v>34</v>
      </c>
      <c r="C496">
        <v>2018</v>
      </c>
      <c r="D496" t="s">
        <v>11</v>
      </c>
      <c r="E496" t="s">
        <v>115</v>
      </c>
      <c r="F496" t="s">
        <v>13</v>
      </c>
      <c r="G496" t="str">
        <f>VLOOKUP(A496,[1]Kreise!$A$1:$C$53,3,FALSE)</f>
        <v>K030</v>
      </c>
      <c r="H496">
        <v>92.425949774629743</v>
      </c>
    </row>
    <row r="497" spans="1:8">
      <c r="A497">
        <v>1</v>
      </c>
      <c r="B497" t="s">
        <v>30</v>
      </c>
      <c r="C497">
        <v>2017</v>
      </c>
      <c r="D497" t="s">
        <v>11</v>
      </c>
      <c r="E497" t="s">
        <v>115</v>
      </c>
      <c r="F497" t="s">
        <v>13</v>
      </c>
      <c r="G497" t="str">
        <f>VLOOKUP(A497,[1]Kreise!$A$1:$C$53,3,FALSE)</f>
        <v>K031</v>
      </c>
      <c r="H497">
        <v>94.806483625537538</v>
      </c>
    </row>
    <row r="498" spans="1:8">
      <c r="A498">
        <v>2</v>
      </c>
      <c r="B498" t="s">
        <v>31</v>
      </c>
      <c r="C498">
        <v>2017</v>
      </c>
      <c r="D498" t="s">
        <v>11</v>
      </c>
      <c r="E498" t="s">
        <v>115</v>
      </c>
      <c r="F498" t="s">
        <v>13</v>
      </c>
      <c r="G498" t="str">
        <f>VLOOKUP(A498,[1]Kreise!$A$1:$C$53,3,FALSE)</f>
        <v>K032</v>
      </c>
      <c r="H498">
        <v>91.013071895424829</v>
      </c>
    </row>
    <row r="499" spans="1:8">
      <c r="A499">
        <v>3</v>
      </c>
      <c r="B499" t="s">
        <v>32</v>
      </c>
      <c r="C499">
        <v>2017</v>
      </c>
      <c r="D499" t="s">
        <v>11</v>
      </c>
      <c r="E499" t="s">
        <v>115</v>
      </c>
      <c r="F499" t="s">
        <v>13</v>
      </c>
      <c r="G499" t="str">
        <f>VLOOKUP(A499,[1]Kreise!$A$1:$C$53,3,FALSE)</f>
        <v>K033</v>
      </c>
      <c r="H499">
        <v>95.328083989501309</v>
      </c>
    </row>
    <row r="500" spans="1:8">
      <c r="A500">
        <v>4</v>
      </c>
      <c r="B500" t="s">
        <v>33</v>
      </c>
      <c r="C500">
        <v>2017</v>
      </c>
      <c r="D500" t="s">
        <v>11</v>
      </c>
      <c r="E500" t="s">
        <v>115</v>
      </c>
      <c r="F500" t="s">
        <v>13</v>
      </c>
      <c r="G500" t="str">
        <f>VLOOKUP(A500,[1]Kreise!$A$1:$C$53,3,FALSE)</f>
        <v>K034</v>
      </c>
      <c r="H500">
        <v>95.584599081596608</v>
      </c>
    </row>
    <row r="501" spans="1:8">
      <c r="A501">
        <v>0</v>
      </c>
      <c r="B501" t="s">
        <v>34</v>
      </c>
      <c r="C501">
        <v>2017</v>
      </c>
      <c r="D501" t="s">
        <v>11</v>
      </c>
      <c r="E501" t="s">
        <v>115</v>
      </c>
      <c r="F501" t="s">
        <v>13</v>
      </c>
      <c r="G501" t="str">
        <f>VLOOKUP(A501,[1]Kreise!$A$1:$C$53,3,FALSE)</f>
        <v>K030</v>
      </c>
      <c r="H501">
        <v>93.722494395084283</v>
      </c>
    </row>
    <row r="502" spans="1:8">
      <c r="A502">
        <v>1</v>
      </c>
      <c r="B502" t="s">
        <v>30</v>
      </c>
      <c r="C502">
        <v>2016</v>
      </c>
      <c r="D502" t="s">
        <v>11</v>
      </c>
      <c r="E502" t="s">
        <v>115</v>
      </c>
      <c r="F502" t="s">
        <v>13</v>
      </c>
      <c r="G502" t="str">
        <f>VLOOKUP(A502,[1]Kreise!$A$1:$C$53,3,FALSE)</f>
        <v>K031</v>
      </c>
      <c r="H502">
        <v>96.05602653888684</v>
      </c>
    </row>
    <row r="503" spans="1:8">
      <c r="A503">
        <v>2</v>
      </c>
      <c r="B503" t="s">
        <v>31</v>
      </c>
      <c r="C503">
        <v>2016</v>
      </c>
      <c r="D503" t="s">
        <v>11</v>
      </c>
      <c r="E503" t="s">
        <v>115</v>
      </c>
      <c r="F503" t="s">
        <v>13</v>
      </c>
      <c r="G503" t="str">
        <f>VLOOKUP(A503,[1]Kreise!$A$1:$C$53,3,FALSE)</f>
        <v>K032</v>
      </c>
      <c r="H503">
        <v>92.442173211403983</v>
      </c>
    </row>
    <row r="504" spans="1:8">
      <c r="A504">
        <v>3</v>
      </c>
      <c r="B504" t="s">
        <v>32</v>
      </c>
      <c r="C504">
        <v>2016</v>
      </c>
      <c r="D504" t="s">
        <v>11</v>
      </c>
      <c r="E504" t="s">
        <v>115</v>
      </c>
      <c r="F504" t="s">
        <v>13</v>
      </c>
      <c r="G504" t="str">
        <f>VLOOKUP(A504,[1]Kreise!$A$1:$C$53,3,FALSE)</f>
        <v>K033</v>
      </c>
      <c r="H504">
        <v>97.280966767371595</v>
      </c>
    </row>
    <row r="505" spans="1:8">
      <c r="A505">
        <v>4</v>
      </c>
      <c r="B505" t="s">
        <v>33</v>
      </c>
      <c r="C505">
        <v>2016</v>
      </c>
      <c r="D505" t="s">
        <v>11</v>
      </c>
      <c r="E505" t="s">
        <v>115</v>
      </c>
      <c r="F505" t="s">
        <v>13</v>
      </c>
      <c r="G505" t="str">
        <f>VLOOKUP(A505,[1]Kreise!$A$1:$C$53,3,FALSE)</f>
        <v>K034</v>
      </c>
      <c r="H505">
        <v>95.620437956204384</v>
      </c>
    </row>
    <row r="506" spans="1:8">
      <c r="A506">
        <v>0</v>
      </c>
      <c r="B506" t="s">
        <v>34</v>
      </c>
      <c r="C506">
        <v>2016</v>
      </c>
      <c r="D506" t="s">
        <v>11</v>
      </c>
      <c r="E506" t="s">
        <v>115</v>
      </c>
      <c r="F506" t="s">
        <v>13</v>
      </c>
      <c r="G506" t="str">
        <f>VLOOKUP(A506,[1]Kreise!$A$1:$C$53,3,FALSE)</f>
        <v>K030</v>
      </c>
      <c r="H506">
        <v>94.88258957807092</v>
      </c>
    </row>
    <row r="507" spans="1:8">
      <c r="A507">
        <v>1</v>
      </c>
      <c r="B507" t="s">
        <v>30</v>
      </c>
      <c r="C507">
        <v>2015</v>
      </c>
      <c r="D507" t="s">
        <v>11</v>
      </c>
      <c r="E507" t="s">
        <v>115</v>
      </c>
      <c r="F507" t="s">
        <v>13</v>
      </c>
      <c r="G507" t="str">
        <f>VLOOKUP(A507,[1]Kreise!$A$1:$C$53,3,FALSE)</f>
        <v>K031</v>
      </c>
      <c r="H507">
        <v>95.644149132521221</v>
      </c>
    </row>
    <row r="508" spans="1:8">
      <c r="A508">
        <v>2</v>
      </c>
      <c r="B508" t="s">
        <v>31</v>
      </c>
      <c r="C508">
        <v>2015</v>
      </c>
      <c r="D508" t="s">
        <v>11</v>
      </c>
      <c r="E508" t="s">
        <v>115</v>
      </c>
      <c r="F508" t="s">
        <v>13</v>
      </c>
      <c r="G508" t="str">
        <f>VLOOKUP(A508,[1]Kreise!$A$1:$C$53,3,FALSE)</f>
        <v>K032</v>
      </c>
      <c r="H508">
        <v>91.67620137299771</v>
      </c>
    </row>
    <row r="509" spans="1:8">
      <c r="A509">
        <v>3</v>
      </c>
      <c r="B509" t="s">
        <v>32</v>
      </c>
      <c r="C509">
        <v>2015</v>
      </c>
      <c r="D509" t="s">
        <v>11</v>
      </c>
      <c r="E509" t="s">
        <v>115</v>
      </c>
      <c r="F509" t="s">
        <v>13</v>
      </c>
      <c r="G509" t="str">
        <f>VLOOKUP(A509,[1]Kreise!$A$1:$C$53,3,FALSE)</f>
        <v>K033</v>
      </c>
      <c r="H509">
        <v>97.085492227979273</v>
      </c>
    </row>
    <row r="510" spans="1:8">
      <c r="A510">
        <v>4</v>
      </c>
      <c r="B510" t="s">
        <v>33</v>
      </c>
      <c r="C510">
        <v>2015</v>
      </c>
      <c r="D510" t="s">
        <v>11</v>
      </c>
      <c r="E510" t="s">
        <v>115</v>
      </c>
      <c r="F510" t="s">
        <v>13</v>
      </c>
      <c r="G510" t="str">
        <f>VLOOKUP(A510,[1]Kreise!$A$1:$C$53,3,FALSE)</f>
        <v>K034</v>
      </c>
      <c r="H510">
        <v>97.319513938527521</v>
      </c>
    </row>
    <row r="511" spans="1:8">
      <c r="A511">
        <v>0</v>
      </c>
      <c r="B511" t="s">
        <v>34</v>
      </c>
      <c r="C511">
        <v>2015</v>
      </c>
      <c r="D511" t="s">
        <v>11</v>
      </c>
      <c r="E511" t="s">
        <v>115</v>
      </c>
      <c r="F511" t="s">
        <v>13</v>
      </c>
      <c r="G511" t="str">
        <f>VLOOKUP(A511,[1]Kreise!$A$1:$C$53,3,FALSE)</f>
        <v>K030</v>
      </c>
      <c r="H511">
        <v>94.984355740968994</v>
      </c>
    </row>
    <row r="512" spans="1:8">
      <c r="A512">
        <v>1</v>
      </c>
      <c r="B512" t="s">
        <v>145</v>
      </c>
      <c r="C512">
        <v>2014</v>
      </c>
      <c r="D512" t="s">
        <v>11</v>
      </c>
      <c r="E512" t="s">
        <v>115</v>
      </c>
      <c r="F512" t="s">
        <v>13</v>
      </c>
      <c r="G512" t="str">
        <f>VLOOKUP(A512,[1]Kreise!$A$1:$C$53,3,FALSE)</f>
        <v>K031</v>
      </c>
      <c r="H512">
        <v>96.278118609406945</v>
      </c>
    </row>
    <row r="513" spans="1:8">
      <c r="A513">
        <v>2</v>
      </c>
      <c r="B513" t="s">
        <v>146</v>
      </c>
      <c r="C513">
        <v>2014</v>
      </c>
      <c r="D513" t="s">
        <v>11</v>
      </c>
      <c r="E513" t="s">
        <v>115</v>
      </c>
      <c r="F513" t="s">
        <v>13</v>
      </c>
      <c r="G513" t="str">
        <f>VLOOKUP(A513,[1]Kreise!$A$1:$C$53,3,FALSE)</f>
        <v>K032</v>
      </c>
      <c r="H513">
        <v>92.628571428571433</v>
      </c>
    </row>
    <row r="514" spans="1:8">
      <c r="A514">
        <v>3</v>
      </c>
      <c r="B514" t="s">
        <v>147</v>
      </c>
      <c r="C514">
        <v>2014</v>
      </c>
      <c r="D514" t="s">
        <v>11</v>
      </c>
      <c r="E514" t="s">
        <v>115</v>
      </c>
      <c r="F514" t="s">
        <v>13</v>
      </c>
      <c r="G514" t="str">
        <f>VLOOKUP(A514,[1]Kreise!$A$1:$C$53,3,FALSE)</f>
        <v>K033</v>
      </c>
      <c r="H514">
        <v>96.958855098389989</v>
      </c>
    </row>
    <row r="515" spans="1:8">
      <c r="A515">
        <v>4</v>
      </c>
      <c r="B515" t="s">
        <v>148</v>
      </c>
      <c r="C515">
        <v>2014</v>
      </c>
      <c r="D515" t="s">
        <v>11</v>
      </c>
      <c r="E515" t="s">
        <v>115</v>
      </c>
      <c r="F515" t="s">
        <v>13</v>
      </c>
      <c r="G515" t="str">
        <f>VLOOKUP(A515,[1]Kreise!$A$1:$C$53,3,FALSE)</f>
        <v>K034</v>
      </c>
      <c r="H515">
        <v>97.566291318561568</v>
      </c>
    </row>
    <row r="516" spans="1:8">
      <c r="A516">
        <v>0</v>
      </c>
      <c r="B516" t="s">
        <v>34</v>
      </c>
      <c r="C516">
        <v>2014</v>
      </c>
      <c r="D516" t="s">
        <v>11</v>
      </c>
      <c r="E516" t="s">
        <v>115</v>
      </c>
      <c r="F516" t="s">
        <v>13</v>
      </c>
      <c r="G516" t="str">
        <f>VLOOKUP(A516,[1]Kreise!$A$1:$C$53,3,FALSE)</f>
        <v>K030</v>
      </c>
      <c r="H516">
        <v>95.415647921760396</v>
      </c>
    </row>
    <row r="517" spans="1:8">
      <c r="A517">
        <v>1</v>
      </c>
      <c r="B517" t="s">
        <v>30</v>
      </c>
      <c r="C517">
        <v>2013</v>
      </c>
      <c r="D517" t="s">
        <v>11</v>
      </c>
      <c r="E517" t="s">
        <v>115</v>
      </c>
      <c r="F517" t="s">
        <v>13</v>
      </c>
      <c r="G517" t="str">
        <f>VLOOKUP(A517,[1]Kreise!$A$1:$C$53,3,FALSE)</f>
        <v>K031</v>
      </c>
      <c r="H517">
        <v>96.851633215269587</v>
      </c>
    </row>
    <row r="518" spans="1:8">
      <c r="A518">
        <v>2</v>
      </c>
      <c r="B518" t="s">
        <v>31</v>
      </c>
      <c r="C518">
        <v>2013</v>
      </c>
      <c r="D518" t="s">
        <v>11</v>
      </c>
      <c r="E518" t="s">
        <v>115</v>
      </c>
      <c r="F518" t="s">
        <v>13</v>
      </c>
      <c r="G518" t="str">
        <f>VLOOKUP(A518,[1]Kreise!$A$1:$C$53,3,FALSE)</f>
        <v>K032</v>
      </c>
      <c r="H518">
        <v>92.695805221472568</v>
      </c>
    </row>
    <row r="519" spans="1:8">
      <c r="A519">
        <v>3</v>
      </c>
      <c r="B519" t="s">
        <v>32</v>
      </c>
      <c r="C519">
        <v>2013</v>
      </c>
      <c r="D519" t="s">
        <v>11</v>
      </c>
      <c r="E519" t="s">
        <v>115</v>
      </c>
      <c r="F519" t="s">
        <v>13</v>
      </c>
      <c r="G519" t="str">
        <f>VLOOKUP(A519,[1]Kreise!$A$1:$C$53,3,FALSE)</f>
        <v>K033</v>
      </c>
      <c r="H519">
        <v>98.303030303030297</v>
      </c>
    </row>
    <row r="520" spans="1:8">
      <c r="A520">
        <v>4</v>
      </c>
      <c r="B520" t="s">
        <v>33</v>
      </c>
      <c r="C520">
        <v>2013</v>
      </c>
      <c r="D520" t="s">
        <v>11</v>
      </c>
      <c r="E520" t="s">
        <v>115</v>
      </c>
      <c r="F520" t="s">
        <v>13</v>
      </c>
      <c r="G520" t="str">
        <f>VLOOKUP(A520,[1]Kreise!$A$1:$C$53,3,FALSE)</f>
        <v>K034</v>
      </c>
      <c r="H520">
        <v>98.19678557428459</v>
      </c>
    </row>
    <row r="521" spans="1:8">
      <c r="A521">
        <v>0</v>
      </c>
      <c r="B521" t="s">
        <v>34</v>
      </c>
      <c r="C521">
        <v>2013</v>
      </c>
      <c r="D521" t="s">
        <v>11</v>
      </c>
      <c r="E521" t="s">
        <v>115</v>
      </c>
      <c r="F521" t="s">
        <v>13</v>
      </c>
      <c r="G521" t="str">
        <f>VLOOKUP(A521,[1]Kreise!$A$1:$C$53,3,FALSE)</f>
        <v>K030</v>
      </c>
      <c r="H521">
        <v>95.828865537207804</v>
      </c>
    </row>
    <row r="522" spans="1:8">
      <c r="A522">
        <v>1</v>
      </c>
      <c r="B522" t="s">
        <v>145</v>
      </c>
      <c r="C522">
        <v>2012</v>
      </c>
      <c r="D522" t="s">
        <v>11</v>
      </c>
      <c r="E522" t="s">
        <v>115</v>
      </c>
      <c r="F522" t="s">
        <v>13</v>
      </c>
      <c r="G522" t="str">
        <f>VLOOKUP(A522,[1]Kreise!$A$1:$C$53,3,FALSE)</f>
        <v>K031</v>
      </c>
      <c r="H522">
        <v>94.611457742484404</v>
      </c>
    </row>
    <row r="523" spans="1:8">
      <c r="A523">
        <v>2</v>
      </c>
      <c r="B523" t="s">
        <v>146</v>
      </c>
      <c r="C523">
        <v>2012</v>
      </c>
      <c r="D523" t="s">
        <v>11</v>
      </c>
      <c r="E523" t="s">
        <v>115</v>
      </c>
      <c r="F523" t="s">
        <v>13</v>
      </c>
      <c r="G523" t="str">
        <f>VLOOKUP(A523,[1]Kreise!$A$1:$C$53,3,FALSE)</f>
        <v>K032</v>
      </c>
      <c r="H523">
        <v>91.507135398538111</v>
      </c>
    </row>
    <row r="524" spans="1:8">
      <c r="A524">
        <v>3</v>
      </c>
      <c r="B524" t="s">
        <v>147</v>
      </c>
      <c r="C524">
        <v>2012</v>
      </c>
      <c r="D524" t="s">
        <v>11</v>
      </c>
      <c r="E524" t="s">
        <v>115</v>
      </c>
      <c r="F524" t="s">
        <v>13</v>
      </c>
      <c r="G524" t="str">
        <f>VLOOKUP(A524,[1]Kreise!$A$1:$C$53,3,FALSE)</f>
        <v>K033</v>
      </c>
      <c r="H524">
        <v>98.720292504570381</v>
      </c>
    </row>
    <row r="525" spans="1:8">
      <c r="A525">
        <v>4</v>
      </c>
      <c r="B525" t="s">
        <v>148</v>
      </c>
      <c r="C525">
        <v>2012</v>
      </c>
      <c r="D525" t="s">
        <v>11</v>
      </c>
      <c r="E525" t="s">
        <v>115</v>
      </c>
      <c r="F525" t="s">
        <v>13</v>
      </c>
      <c r="G525" t="str">
        <f>VLOOKUP(A525,[1]Kreise!$A$1:$C$53,3,FALSE)</f>
        <v>K034</v>
      </c>
      <c r="H525">
        <v>98.545861297539147</v>
      </c>
    </row>
    <row r="526" spans="1:8">
      <c r="A526">
        <v>0</v>
      </c>
      <c r="B526" t="s">
        <v>34</v>
      </c>
      <c r="C526">
        <v>2012</v>
      </c>
      <c r="D526" t="s">
        <v>11</v>
      </c>
      <c r="E526" t="s">
        <v>115</v>
      </c>
      <c r="F526" t="s">
        <v>13</v>
      </c>
      <c r="G526" t="str">
        <f>VLOOKUP(A526,[1]Kreise!$A$1:$C$53,3,FALSE)</f>
        <v>K030</v>
      </c>
      <c r="H526">
        <v>94.663606369244008</v>
      </c>
    </row>
    <row r="527" spans="1:8">
      <c r="A527">
        <v>1</v>
      </c>
      <c r="B527" t="s">
        <v>30</v>
      </c>
      <c r="C527">
        <v>2011</v>
      </c>
      <c r="D527" t="s">
        <v>11</v>
      </c>
      <c r="E527" t="s">
        <v>115</v>
      </c>
      <c r="F527" t="s">
        <v>13</v>
      </c>
      <c r="G527" t="str">
        <f>VLOOKUP(A527,[1]Kreise!$A$1:$C$53,3,FALSE)</f>
        <v>K031</v>
      </c>
      <c r="H527">
        <v>94.8072383949646</v>
      </c>
    </row>
    <row r="528" spans="1:8">
      <c r="A528">
        <v>2</v>
      </c>
      <c r="B528" t="s">
        <v>31</v>
      </c>
      <c r="C528">
        <v>2011</v>
      </c>
      <c r="D528" t="s">
        <v>11</v>
      </c>
      <c r="E528" t="s">
        <v>115</v>
      </c>
      <c r="F528" t="s">
        <v>13</v>
      </c>
      <c r="G528" t="str">
        <f>VLOOKUP(A528,[1]Kreise!$A$1:$C$53,3,FALSE)</f>
        <v>K032</v>
      </c>
      <c r="H528">
        <v>89.962018448182306</v>
      </c>
    </row>
    <row r="529" spans="1:8">
      <c r="A529">
        <v>3</v>
      </c>
      <c r="B529" t="s">
        <v>32</v>
      </c>
      <c r="C529">
        <v>2011</v>
      </c>
      <c r="D529" t="s">
        <v>11</v>
      </c>
      <c r="E529" t="s">
        <v>115</v>
      </c>
      <c r="F529" t="s">
        <v>13</v>
      </c>
      <c r="G529" t="str">
        <f>VLOOKUP(A529,[1]Kreise!$A$1:$C$53,3,FALSE)</f>
        <v>K033</v>
      </c>
      <c r="H529">
        <v>99.739583333333343</v>
      </c>
    </row>
    <row r="530" spans="1:8">
      <c r="A530">
        <v>4</v>
      </c>
      <c r="B530" t="s">
        <v>33</v>
      </c>
      <c r="C530">
        <v>2011</v>
      </c>
      <c r="D530" t="s">
        <v>11</v>
      </c>
      <c r="E530" t="s">
        <v>115</v>
      </c>
      <c r="F530" t="s">
        <v>13</v>
      </c>
      <c r="G530" t="str">
        <f>VLOOKUP(A530,[1]Kreise!$A$1:$C$53,3,FALSE)</f>
        <v>K034</v>
      </c>
      <c r="H530">
        <v>98.557692307692307</v>
      </c>
    </row>
    <row r="531" spans="1:8">
      <c r="A531">
        <v>0</v>
      </c>
      <c r="B531" t="s">
        <v>34</v>
      </c>
      <c r="C531">
        <v>2011</v>
      </c>
      <c r="D531" t="s">
        <v>11</v>
      </c>
      <c r="E531" t="s">
        <v>115</v>
      </c>
      <c r="F531" t="s">
        <v>13</v>
      </c>
      <c r="G531" t="str">
        <f>VLOOKUP(A531,[1]Kreise!$A$1:$C$53,3,FALSE)</f>
        <v>K030</v>
      </c>
      <c r="H531">
        <v>94.489301574485268</v>
      </c>
    </row>
    <row r="532" spans="1:8">
      <c r="A532">
        <v>1</v>
      </c>
      <c r="B532" t="s">
        <v>145</v>
      </c>
      <c r="C532">
        <v>2010</v>
      </c>
      <c r="D532" t="s">
        <v>11</v>
      </c>
      <c r="E532" t="s">
        <v>115</v>
      </c>
      <c r="F532" t="s">
        <v>13</v>
      </c>
      <c r="G532" t="str">
        <f>VLOOKUP(A532,[1]Kreise!$A$1:$C$53,3,FALSE)</f>
        <v>K031</v>
      </c>
      <c r="H532">
        <v>95.104333868378816</v>
      </c>
    </row>
    <row r="533" spans="1:8">
      <c r="A533">
        <v>2</v>
      </c>
      <c r="B533" t="s">
        <v>146</v>
      </c>
      <c r="C533">
        <v>2010</v>
      </c>
      <c r="D533" t="s">
        <v>11</v>
      </c>
      <c r="E533" t="s">
        <v>115</v>
      </c>
      <c r="F533" t="s">
        <v>13</v>
      </c>
      <c r="G533" t="str">
        <f>VLOOKUP(A533,[1]Kreise!$A$1:$C$53,3,FALSE)</f>
        <v>K032</v>
      </c>
      <c r="H533">
        <v>91.787709497206706</v>
      </c>
    </row>
    <row r="534" spans="1:8">
      <c r="A534">
        <v>3</v>
      </c>
      <c r="B534" t="s">
        <v>147</v>
      </c>
      <c r="C534">
        <v>2010</v>
      </c>
      <c r="D534" t="s">
        <v>11</v>
      </c>
      <c r="E534" t="s">
        <v>115</v>
      </c>
      <c r="F534" t="s">
        <v>13</v>
      </c>
      <c r="G534" t="str">
        <f>VLOOKUP(A534,[1]Kreise!$A$1:$C$53,3,FALSE)</f>
        <v>K033</v>
      </c>
      <c r="H534">
        <v>99.430199430199423</v>
      </c>
    </row>
    <row r="535" spans="1:8">
      <c r="A535">
        <v>4</v>
      </c>
      <c r="B535" t="s">
        <v>148</v>
      </c>
      <c r="C535">
        <v>2010</v>
      </c>
      <c r="D535" t="s">
        <v>11</v>
      </c>
      <c r="E535" t="s">
        <v>115</v>
      </c>
      <c r="F535" t="s">
        <v>13</v>
      </c>
      <c r="G535" t="str">
        <f>VLOOKUP(A535,[1]Kreise!$A$1:$C$53,3,FALSE)</f>
        <v>K034</v>
      </c>
      <c r="H535">
        <v>98.354525056095738</v>
      </c>
    </row>
    <row r="536" spans="1:8">
      <c r="A536">
        <v>0</v>
      </c>
      <c r="B536" t="s">
        <v>34</v>
      </c>
      <c r="C536">
        <v>2010</v>
      </c>
      <c r="D536" t="s">
        <v>11</v>
      </c>
      <c r="E536" t="s">
        <v>115</v>
      </c>
      <c r="F536" t="s">
        <v>13</v>
      </c>
      <c r="G536" t="str">
        <f>VLOOKUP(A536,[1]Kreise!$A$1:$C$53,3,FALSE)</f>
        <v>K030</v>
      </c>
      <c r="H536">
        <v>95.088907705334464</v>
      </c>
    </row>
    <row r="537" spans="1:8">
      <c r="A537">
        <v>1</v>
      </c>
      <c r="B537" t="s">
        <v>145</v>
      </c>
      <c r="C537">
        <v>2005</v>
      </c>
      <c r="D537" t="s">
        <v>11</v>
      </c>
      <c r="E537" t="s">
        <v>115</v>
      </c>
      <c r="F537" t="s">
        <v>13</v>
      </c>
      <c r="G537" t="str">
        <f>VLOOKUP(A537,[1]Kreise!$A$1:$C$53,3,FALSE)</f>
        <v>K031</v>
      </c>
      <c r="H537">
        <v>93.974820143884898</v>
      </c>
    </row>
    <row r="538" spans="1:8">
      <c r="A538">
        <v>2</v>
      </c>
      <c r="B538" t="s">
        <v>146</v>
      </c>
      <c r="C538">
        <v>2005</v>
      </c>
      <c r="D538" t="s">
        <v>11</v>
      </c>
      <c r="E538" t="s">
        <v>115</v>
      </c>
      <c r="F538" t="s">
        <v>13</v>
      </c>
      <c r="G538" t="str">
        <f>VLOOKUP(A538,[1]Kreise!$A$1:$C$53,3,FALSE)</f>
        <v>K032</v>
      </c>
      <c r="H538">
        <v>91.464891041162232</v>
      </c>
    </row>
    <row r="539" spans="1:8">
      <c r="A539">
        <v>3</v>
      </c>
      <c r="B539" t="s">
        <v>147</v>
      </c>
      <c r="C539">
        <v>2005</v>
      </c>
      <c r="D539" t="s">
        <v>11</v>
      </c>
      <c r="E539" t="s">
        <v>115</v>
      </c>
      <c r="F539" t="s">
        <v>13</v>
      </c>
      <c r="G539" t="str">
        <f>VLOOKUP(A539,[1]Kreise!$A$1:$C$53,3,FALSE)</f>
        <v>K033</v>
      </c>
      <c r="H539">
        <v>100</v>
      </c>
    </row>
    <row r="540" spans="1:8">
      <c r="A540">
        <v>4</v>
      </c>
      <c r="B540" t="s">
        <v>148</v>
      </c>
      <c r="C540">
        <v>2005</v>
      </c>
      <c r="D540" t="s">
        <v>11</v>
      </c>
      <c r="E540" t="s">
        <v>115</v>
      </c>
      <c r="F540" t="s">
        <v>13</v>
      </c>
      <c r="G540" t="str">
        <f>VLOOKUP(A540,[1]Kreise!$A$1:$C$53,3,FALSE)</f>
        <v>K034</v>
      </c>
      <c r="H540">
        <v>96.677215189873422</v>
      </c>
    </row>
    <row r="541" spans="1:8">
      <c r="A541">
        <v>0</v>
      </c>
      <c r="B541" t="s">
        <v>34</v>
      </c>
      <c r="C541">
        <v>2005</v>
      </c>
      <c r="D541" t="s">
        <v>11</v>
      </c>
      <c r="E541" t="s">
        <v>115</v>
      </c>
      <c r="F541" t="s">
        <v>13</v>
      </c>
      <c r="G541" t="str">
        <f>VLOOKUP(A541,[1]Kreise!$A$1:$C$53,3,FALSE)</f>
        <v>K030</v>
      </c>
      <c r="H541">
        <v>94.244935543278089</v>
      </c>
    </row>
    <row r="542" spans="1:8">
      <c r="A542">
        <v>1</v>
      </c>
      <c r="B542" t="s">
        <v>30</v>
      </c>
      <c r="C542">
        <v>2020</v>
      </c>
      <c r="D542" t="s">
        <v>12</v>
      </c>
      <c r="E542" t="s">
        <v>115</v>
      </c>
      <c r="F542" t="s">
        <v>13</v>
      </c>
      <c r="G542" t="str">
        <f>VLOOKUP(A542,[1]Kreise!$A$1:$C$53,3,FALSE)</f>
        <v>K031</v>
      </c>
      <c r="H542">
        <v>8.362480127186009</v>
      </c>
    </row>
    <row r="543" spans="1:8">
      <c r="A543">
        <v>2</v>
      </c>
      <c r="B543" t="s">
        <v>31</v>
      </c>
      <c r="C543">
        <v>2020</v>
      </c>
      <c r="D543" t="s">
        <v>12</v>
      </c>
      <c r="E543" t="s">
        <v>115</v>
      </c>
      <c r="F543" t="s">
        <v>13</v>
      </c>
      <c r="G543" t="str">
        <f>VLOOKUP(A543,[1]Kreise!$A$1:$C$53,3,FALSE)</f>
        <v>K032</v>
      </c>
      <c r="H543">
        <v>14.1396176078257</v>
      </c>
    </row>
    <row r="544" spans="1:8">
      <c r="A544">
        <v>3</v>
      </c>
      <c r="B544" t="s">
        <v>32</v>
      </c>
      <c r="C544">
        <v>2020</v>
      </c>
      <c r="D544" t="s">
        <v>12</v>
      </c>
      <c r="E544" t="s">
        <v>115</v>
      </c>
      <c r="F544" t="s">
        <v>13</v>
      </c>
      <c r="G544" t="str">
        <f>VLOOKUP(A544,[1]Kreise!$A$1:$C$53,3,FALSE)</f>
        <v>K033</v>
      </c>
      <c r="H544">
        <v>8.154296875</v>
      </c>
    </row>
    <row r="545" spans="1:8">
      <c r="A545">
        <v>4</v>
      </c>
      <c r="B545" t="s">
        <v>33</v>
      </c>
      <c r="C545">
        <v>2020</v>
      </c>
      <c r="D545" t="s">
        <v>12</v>
      </c>
      <c r="E545" t="s">
        <v>115</v>
      </c>
      <c r="F545" t="s">
        <v>13</v>
      </c>
      <c r="G545" t="str">
        <f>VLOOKUP(A545,[1]Kreise!$A$1:$C$53,3,FALSE)</f>
        <v>K034</v>
      </c>
      <c r="H545">
        <v>7.2225869993434015</v>
      </c>
    </row>
    <row r="546" spans="1:8">
      <c r="A546">
        <v>0</v>
      </c>
      <c r="B546" t="s">
        <v>34</v>
      </c>
      <c r="C546">
        <v>2020</v>
      </c>
      <c r="D546" t="s">
        <v>12</v>
      </c>
      <c r="E546" t="s">
        <v>115</v>
      </c>
      <c r="F546" t="s">
        <v>13</v>
      </c>
      <c r="G546" t="str">
        <f>VLOOKUP(A546,[1]Kreise!$A$1:$C$53,3,FALSE)</f>
        <v>K030</v>
      </c>
      <c r="H546">
        <v>10.096569050796891</v>
      </c>
    </row>
    <row r="547" spans="1:8">
      <c r="A547">
        <v>1</v>
      </c>
      <c r="B547" t="s">
        <v>30</v>
      </c>
      <c r="C547">
        <v>2019</v>
      </c>
      <c r="D547" t="s">
        <v>12</v>
      </c>
      <c r="E547" t="s">
        <v>115</v>
      </c>
      <c r="F547" t="s">
        <v>13</v>
      </c>
      <c r="G547" t="str">
        <f>VLOOKUP(A547,[1]Kreise!$A$1:$C$53,3,FALSE)</f>
        <v>K031</v>
      </c>
      <c r="H547">
        <v>6.6274388355528027</v>
      </c>
    </row>
    <row r="548" spans="1:8">
      <c r="A548">
        <v>2</v>
      </c>
      <c r="B548" t="s">
        <v>31</v>
      </c>
      <c r="C548">
        <v>2019</v>
      </c>
      <c r="D548" t="s">
        <v>12</v>
      </c>
      <c r="E548" t="s">
        <v>115</v>
      </c>
      <c r="F548" t="s">
        <v>13</v>
      </c>
      <c r="G548" t="str">
        <f>VLOOKUP(A548,[1]Kreise!$A$1:$C$53,3,FALSE)</f>
        <v>K032</v>
      </c>
      <c r="H548">
        <v>11.913758613025117</v>
      </c>
    </row>
    <row r="549" spans="1:8">
      <c r="A549">
        <v>3</v>
      </c>
      <c r="B549" t="s">
        <v>32</v>
      </c>
      <c r="C549">
        <v>2019</v>
      </c>
      <c r="D549" t="s">
        <v>12</v>
      </c>
      <c r="E549" t="s">
        <v>115</v>
      </c>
      <c r="F549" t="s">
        <v>13</v>
      </c>
      <c r="G549" t="str">
        <f>VLOOKUP(A549,[1]Kreise!$A$1:$C$53,3,FALSE)</f>
        <v>K033</v>
      </c>
      <c r="H549">
        <v>6.4856711915535454</v>
      </c>
    </row>
    <row r="550" spans="1:8">
      <c r="A550">
        <v>4</v>
      </c>
      <c r="B550" t="s">
        <v>33</v>
      </c>
      <c r="C550">
        <v>2019</v>
      </c>
      <c r="D550" t="s">
        <v>12</v>
      </c>
      <c r="E550" t="s">
        <v>115</v>
      </c>
      <c r="F550" t="s">
        <v>13</v>
      </c>
      <c r="G550" t="str">
        <f>VLOOKUP(A550,[1]Kreise!$A$1:$C$53,3,FALSE)</f>
        <v>K034</v>
      </c>
      <c r="H550">
        <v>6.2937062937062942</v>
      </c>
    </row>
    <row r="551" spans="1:8">
      <c r="A551">
        <v>0</v>
      </c>
      <c r="B551" t="s">
        <v>34</v>
      </c>
      <c r="C551">
        <v>2019</v>
      </c>
      <c r="D551" t="s">
        <v>12</v>
      </c>
      <c r="E551" t="s">
        <v>115</v>
      </c>
      <c r="F551" t="s">
        <v>13</v>
      </c>
      <c r="G551" t="str">
        <f>VLOOKUP(A551,[1]Kreise!$A$1:$C$53,3,FALSE)</f>
        <v>K030</v>
      </c>
      <c r="H551">
        <v>8.3962264150943398</v>
      </c>
    </row>
    <row r="552" spans="1:8">
      <c r="A552">
        <v>1</v>
      </c>
      <c r="B552" t="s">
        <v>30</v>
      </c>
      <c r="C552">
        <v>2018</v>
      </c>
      <c r="D552" t="s">
        <v>12</v>
      </c>
      <c r="E552" t="s">
        <v>115</v>
      </c>
      <c r="F552" t="s">
        <v>13</v>
      </c>
      <c r="G552" t="str">
        <f>VLOOKUP(A552,[1]Kreise!$A$1:$C$53,3,FALSE)</f>
        <v>K031</v>
      </c>
      <c r="H552">
        <v>7.008436080467229</v>
      </c>
    </row>
    <row r="553" spans="1:8">
      <c r="A553">
        <v>2</v>
      </c>
      <c r="B553" t="s">
        <v>31</v>
      </c>
      <c r="C553">
        <v>2018</v>
      </c>
      <c r="D553" t="s">
        <v>12</v>
      </c>
      <c r="E553" t="s">
        <v>115</v>
      </c>
      <c r="F553" t="s">
        <v>13</v>
      </c>
      <c r="G553" t="str">
        <f>VLOOKUP(A553,[1]Kreise!$A$1:$C$53,3,FALSE)</f>
        <v>K032</v>
      </c>
      <c r="H553">
        <v>10.069444444444445</v>
      </c>
    </row>
    <row r="554" spans="1:8">
      <c r="A554">
        <v>3</v>
      </c>
      <c r="B554" t="s">
        <v>32</v>
      </c>
      <c r="C554">
        <v>2018</v>
      </c>
      <c r="D554" t="s">
        <v>12</v>
      </c>
      <c r="E554" t="s">
        <v>115</v>
      </c>
      <c r="F554" t="s">
        <v>13</v>
      </c>
      <c r="G554" t="str">
        <f>VLOOKUP(A554,[1]Kreise!$A$1:$C$53,3,FALSE)</f>
        <v>K033</v>
      </c>
      <c r="H554">
        <v>6.1042183622828778</v>
      </c>
    </row>
    <row r="555" spans="1:8">
      <c r="A555">
        <v>4</v>
      </c>
      <c r="B555" t="s">
        <v>33</v>
      </c>
      <c r="C555">
        <v>2018</v>
      </c>
      <c r="D555" t="s">
        <v>12</v>
      </c>
      <c r="E555" t="s">
        <v>115</v>
      </c>
      <c r="F555" t="s">
        <v>13</v>
      </c>
      <c r="G555" t="str">
        <f>VLOOKUP(A555,[1]Kreise!$A$1:$C$53,3,FALSE)</f>
        <v>K034</v>
      </c>
      <c r="H555">
        <v>5.5537080146325239</v>
      </c>
    </row>
    <row r="556" spans="1:8">
      <c r="A556">
        <v>0</v>
      </c>
      <c r="B556" t="s">
        <v>34</v>
      </c>
      <c r="C556">
        <v>2018</v>
      </c>
      <c r="D556" t="s">
        <v>12</v>
      </c>
      <c r="E556" t="s">
        <v>115</v>
      </c>
      <c r="F556" t="s">
        <v>13</v>
      </c>
      <c r="G556" t="str">
        <f>VLOOKUP(A556,[1]Kreise!$A$1:$C$53,3,FALSE)</f>
        <v>K030</v>
      </c>
      <c r="H556">
        <v>7.5740502253702502</v>
      </c>
    </row>
    <row r="557" spans="1:8">
      <c r="A557">
        <v>1</v>
      </c>
      <c r="B557" t="s">
        <v>30</v>
      </c>
      <c r="C557">
        <v>2017</v>
      </c>
      <c r="D557" t="s">
        <v>12</v>
      </c>
      <c r="E557" t="s">
        <v>115</v>
      </c>
      <c r="F557" t="s">
        <v>13</v>
      </c>
      <c r="G557" t="str">
        <f>VLOOKUP(A557,[1]Kreise!$A$1:$C$53,3,FALSE)</f>
        <v>K031</v>
      </c>
      <c r="H557">
        <v>5.1935163744624546</v>
      </c>
    </row>
    <row r="558" spans="1:8">
      <c r="A558">
        <v>2</v>
      </c>
      <c r="B558" t="s">
        <v>31</v>
      </c>
      <c r="C558">
        <v>2017</v>
      </c>
      <c r="D558" t="s">
        <v>12</v>
      </c>
      <c r="E558" t="s">
        <v>115</v>
      </c>
      <c r="F558" t="s">
        <v>13</v>
      </c>
      <c r="G558" t="str">
        <f>VLOOKUP(A558,[1]Kreise!$A$1:$C$53,3,FALSE)</f>
        <v>K032</v>
      </c>
      <c r="H558">
        <v>8.9869281045751634</v>
      </c>
    </row>
    <row r="559" spans="1:8">
      <c r="A559">
        <v>3</v>
      </c>
      <c r="B559" t="s">
        <v>32</v>
      </c>
      <c r="C559">
        <v>2017</v>
      </c>
      <c r="D559" t="s">
        <v>12</v>
      </c>
      <c r="E559" t="s">
        <v>115</v>
      </c>
      <c r="F559" t="s">
        <v>13</v>
      </c>
      <c r="G559" t="str">
        <f>VLOOKUP(A559,[1]Kreise!$A$1:$C$53,3,FALSE)</f>
        <v>K033</v>
      </c>
      <c r="H559">
        <v>4.6719160104986877</v>
      </c>
    </row>
    <row r="560" spans="1:8">
      <c r="A560">
        <v>4</v>
      </c>
      <c r="B560" t="s">
        <v>33</v>
      </c>
      <c r="C560">
        <v>2017</v>
      </c>
      <c r="D560" t="s">
        <v>12</v>
      </c>
      <c r="E560" t="s">
        <v>115</v>
      </c>
      <c r="F560" t="s">
        <v>13</v>
      </c>
      <c r="G560" t="str">
        <f>VLOOKUP(A560,[1]Kreise!$A$1:$C$53,3,FALSE)</f>
        <v>K034</v>
      </c>
      <c r="H560">
        <v>4.4154009184033907</v>
      </c>
    </row>
    <row r="561" spans="1:8">
      <c r="A561">
        <v>0</v>
      </c>
      <c r="B561" t="s">
        <v>34</v>
      </c>
      <c r="C561">
        <v>2017</v>
      </c>
      <c r="D561" t="s">
        <v>12</v>
      </c>
      <c r="E561" t="s">
        <v>115</v>
      </c>
      <c r="F561" t="s">
        <v>13</v>
      </c>
      <c r="G561" t="str">
        <f>VLOOKUP(A561,[1]Kreise!$A$1:$C$53,3,FALSE)</f>
        <v>K030</v>
      </c>
      <c r="H561">
        <v>6.277505604915719</v>
      </c>
    </row>
    <row r="562" spans="1:8">
      <c r="A562">
        <v>1</v>
      </c>
      <c r="B562" t="s">
        <v>30</v>
      </c>
      <c r="C562">
        <v>2016</v>
      </c>
      <c r="D562" t="s">
        <v>12</v>
      </c>
      <c r="E562" t="s">
        <v>115</v>
      </c>
      <c r="F562" t="s">
        <v>13</v>
      </c>
      <c r="G562" t="str">
        <f>VLOOKUP(A562,[1]Kreise!$A$1:$C$53,3,FALSE)</f>
        <v>K031</v>
      </c>
      <c r="H562">
        <v>3.9439734611131585</v>
      </c>
    </row>
    <row r="563" spans="1:8">
      <c r="A563">
        <v>2</v>
      </c>
      <c r="B563" t="s">
        <v>31</v>
      </c>
      <c r="C563">
        <v>2016</v>
      </c>
      <c r="D563" t="s">
        <v>12</v>
      </c>
      <c r="E563" t="s">
        <v>115</v>
      </c>
      <c r="F563" t="s">
        <v>13</v>
      </c>
      <c r="G563" t="str">
        <f>VLOOKUP(A563,[1]Kreise!$A$1:$C$53,3,FALSE)</f>
        <v>K032</v>
      </c>
      <c r="H563">
        <v>7.55782678859602</v>
      </c>
    </row>
    <row r="564" spans="1:8">
      <c r="A564">
        <v>3</v>
      </c>
      <c r="B564" t="s">
        <v>32</v>
      </c>
      <c r="C564">
        <v>2016</v>
      </c>
      <c r="D564" t="s">
        <v>12</v>
      </c>
      <c r="E564" t="s">
        <v>115</v>
      </c>
      <c r="F564" t="s">
        <v>13</v>
      </c>
      <c r="G564" t="str">
        <f>VLOOKUP(A564,[1]Kreise!$A$1:$C$53,3,FALSE)</f>
        <v>K033</v>
      </c>
      <c r="H564">
        <v>2.7190332326283988</v>
      </c>
    </row>
    <row r="565" spans="1:8">
      <c r="A565">
        <v>4</v>
      </c>
      <c r="B565" t="s">
        <v>33</v>
      </c>
      <c r="C565">
        <v>2016</v>
      </c>
      <c r="D565" t="s">
        <v>12</v>
      </c>
      <c r="E565" t="s">
        <v>115</v>
      </c>
      <c r="F565" t="s">
        <v>13</v>
      </c>
      <c r="G565" t="str">
        <f>VLOOKUP(A565,[1]Kreise!$A$1:$C$53,3,FALSE)</f>
        <v>K034</v>
      </c>
      <c r="H565">
        <v>4.3795620437956204</v>
      </c>
    </row>
    <row r="566" spans="1:8">
      <c r="A566">
        <v>0</v>
      </c>
      <c r="B566" t="s">
        <v>34</v>
      </c>
      <c r="C566">
        <v>2016</v>
      </c>
      <c r="D566" t="s">
        <v>12</v>
      </c>
      <c r="E566" t="s">
        <v>115</v>
      </c>
      <c r="F566" t="s">
        <v>13</v>
      </c>
      <c r="G566" t="str">
        <f>VLOOKUP(A566,[1]Kreise!$A$1:$C$53,3,FALSE)</f>
        <v>K030</v>
      </c>
      <c r="H566">
        <v>5.1174104219290859</v>
      </c>
    </row>
    <row r="567" spans="1:8">
      <c r="A567">
        <v>1</v>
      </c>
      <c r="B567" t="s">
        <v>30</v>
      </c>
      <c r="C567">
        <v>2015</v>
      </c>
      <c r="D567" t="s">
        <v>12</v>
      </c>
      <c r="E567" t="s">
        <v>115</v>
      </c>
      <c r="F567" t="s">
        <v>13</v>
      </c>
      <c r="G567" t="str">
        <f>VLOOKUP(A567,[1]Kreise!$A$1:$C$53,3,FALSE)</f>
        <v>K031</v>
      </c>
      <c r="H567">
        <v>4.3558508674787744</v>
      </c>
    </row>
    <row r="568" spans="1:8">
      <c r="A568">
        <v>2</v>
      </c>
      <c r="B568" t="s">
        <v>31</v>
      </c>
      <c r="C568">
        <v>2015</v>
      </c>
      <c r="D568" t="s">
        <v>12</v>
      </c>
      <c r="E568" t="s">
        <v>115</v>
      </c>
      <c r="F568" t="s">
        <v>13</v>
      </c>
      <c r="G568" t="str">
        <f>VLOOKUP(A568,[1]Kreise!$A$1:$C$53,3,FALSE)</f>
        <v>K032</v>
      </c>
      <c r="H568">
        <v>8.3237986270022883</v>
      </c>
    </row>
    <row r="569" spans="1:8">
      <c r="A569">
        <v>3</v>
      </c>
      <c r="B569" t="s">
        <v>32</v>
      </c>
      <c r="C569">
        <v>2015</v>
      </c>
      <c r="D569" t="s">
        <v>12</v>
      </c>
      <c r="E569" t="s">
        <v>115</v>
      </c>
      <c r="F569" t="s">
        <v>13</v>
      </c>
      <c r="G569" t="str">
        <f>VLOOKUP(A569,[1]Kreise!$A$1:$C$53,3,FALSE)</f>
        <v>K033</v>
      </c>
      <c r="H569">
        <v>2.9145077720207255</v>
      </c>
    </row>
    <row r="570" spans="1:8">
      <c r="A570">
        <v>4</v>
      </c>
      <c r="B570" t="s">
        <v>33</v>
      </c>
      <c r="C570">
        <v>2015</v>
      </c>
      <c r="D570" t="s">
        <v>12</v>
      </c>
      <c r="E570" t="s">
        <v>115</v>
      </c>
      <c r="F570" t="s">
        <v>13</v>
      </c>
      <c r="G570" t="str">
        <f>VLOOKUP(A570,[1]Kreise!$A$1:$C$53,3,FALSE)</f>
        <v>K034</v>
      </c>
      <c r="H570">
        <v>2.6804860614724801</v>
      </c>
    </row>
    <row r="571" spans="1:8">
      <c r="A571">
        <v>0</v>
      </c>
      <c r="B571" t="s">
        <v>34</v>
      </c>
      <c r="C571">
        <v>2015</v>
      </c>
      <c r="D571" t="s">
        <v>12</v>
      </c>
      <c r="E571" t="s">
        <v>115</v>
      </c>
      <c r="F571" t="s">
        <v>13</v>
      </c>
      <c r="G571" t="str">
        <f>VLOOKUP(A571,[1]Kreise!$A$1:$C$53,3,FALSE)</f>
        <v>K030</v>
      </c>
      <c r="H571">
        <v>5.0156442590310037</v>
      </c>
    </row>
    <row r="572" spans="1:8">
      <c r="A572">
        <v>1</v>
      </c>
      <c r="B572" t="s">
        <v>145</v>
      </c>
      <c r="C572">
        <v>2014</v>
      </c>
      <c r="D572" t="s">
        <v>12</v>
      </c>
      <c r="E572" t="s">
        <v>115</v>
      </c>
      <c r="F572" t="s">
        <v>13</v>
      </c>
      <c r="G572" t="str">
        <f>VLOOKUP(A572,[1]Kreise!$A$1:$C$53,3,FALSE)</f>
        <v>K031</v>
      </c>
      <c r="H572">
        <v>3.7218813905930475</v>
      </c>
    </row>
    <row r="573" spans="1:8">
      <c r="A573">
        <v>2</v>
      </c>
      <c r="B573" t="s">
        <v>146</v>
      </c>
      <c r="C573">
        <v>2014</v>
      </c>
      <c r="D573" t="s">
        <v>12</v>
      </c>
      <c r="E573" t="s">
        <v>115</v>
      </c>
      <c r="F573" t="s">
        <v>13</v>
      </c>
      <c r="G573" t="str">
        <f>VLOOKUP(A573,[1]Kreise!$A$1:$C$53,3,FALSE)</f>
        <v>K032</v>
      </c>
      <c r="H573">
        <v>7.3714285714285719</v>
      </c>
    </row>
    <row r="574" spans="1:8">
      <c r="A574">
        <v>3</v>
      </c>
      <c r="B574" t="s">
        <v>147</v>
      </c>
      <c r="C574">
        <v>2014</v>
      </c>
      <c r="D574" t="s">
        <v>12</v>
      </c>
      <c r="E574" t="s">
        <v>115</v>
      </c>
      <c r="F574" t="s">
        <v>13</v>
      </c>
      <c r="G574" t="str">
        <f>VLOOKUP(A574,[1]Kreise!$A$1:$C$53,3,FALSE)</f>
        <v>K033</v>
      </c>
      <c r="H574">
        <v>3.0411449016100178</v>
      </c>
    </row>
    <row r="575" spans="1:8">
      <c r="A575">
        <v>4</v>
      </c>
      <c r="B575" t="s">
        <v>148</v>
      </c>
      <c r="C575">
        <v>2014</v>
      </c>
      <c r="D575" t="s">
        <v>12</v>
      </c>
      <c r="E575" t="s">
        <v>115</v>
      </c>
      <c r="F575" t="s">
        <v>13</v>
      </c>
      <c r="G575" t="str">
        <f>VLOOKUP(A575,[1]Kreise!$A$1:$C$53,3,FALSE)</f>
        <v>K034</v>
      </c>
      <c r="H575">
        <v>2.4337086814384308</v>
      </c>
    </row>
    <row r="576" spans="1:8">
      <c r="A576">
        <v>0</v>
      </c>
      <c r="B576" t="s">
        <v>34</v>
      </c>
      <c r="C576">
        <v>2014</v>
      </c>
      <c r="D576" t="s">
        <v>12</v>
      </c>
      <c r="E576" t="s">
        <v>115</v>
      </c>
      <c r="F576" t="s">
        <v>13</v>
      </c>
      <c r="G576" t="str">
        <f>VLOOKUP(A576,[1]Kreise!$A$1:$C$53,3,FALSE)</f>
        <v>K030</v>
      </c>
      <c r="H576">
        <v>4.5843520782396094</v>
      </c>
    </row>
    <row r="577" spans="1:8">
      <c r="A577">
        <v>1</v>
      </c>
      <c r="B577" t="s">
        <v>30</v>
      </c>
      <c r="C577">
        <v>2013</v>
      </c>
      <c r="D577" t="s">
        <v>12</v>
      </c>
      <c r="E577" t="s">
        <v>115</v>
      </c>
      <c r="F577" t="s">
        <v>13</v>
      </c>
      <c r="G577" t="str">
        <f>VLOOKUP(A577,[1]Kreise!$A$1:$C$53,3,FALSE)</f>
        <v>K031</v>
      </c>
      <c r="H577">
        <v>3.1483667847304213</v>
      </c>
    </row>
    <row r="578" spans="1:8">
      <c r="A578">
        <v>2</v>
      </c>
      <c r="B578" t="s">
        <v>31</v>
      </c>
      <c r="C578">
        <v>2013</v>
      </c>
      <c r="D578" t="s">
        <v>12</v>
      </c>
      <c r="E578" t="s">
        <v>115</v>
      </c>
      <c r="F578" t="s">
        <v>13</v>
      </c>
      <c r="G578" t="str">
        <f>VLOOKUP(A578,[1]Kreise!$A$1:$C$53,3,FALSE)</f>
        <v>K032</v>
      </c>
      <c r="H578">
        <v>7.3041947785274273</v>
      </c>
    </row>
    <row r="579" spans="1:8">
      <c r="A579">
        <v>3</v>
      </c>
      <c r="B579" t="s">
        <v>32</v>
      </c>
      <c r="C579">
        <v>2013</v>
      </c>
      <c r="D579" t="s">
        <v>12</v>
      </c>
      <c r="E579" t="s">
        <v>115</v>
      </c>
      <c r="F579" t="s">
        <v>13</v>
      </c>
      <c r="G579" t="str">
        <f>VLOOKUP(A579,[1]Kreise!$A$1:$C$53,3,FALSE)</f>
        <v>K033</v>
      </c>
      <c r="H579">
        <v>1.6969696969696972</v>
      </c>
    </row>
    <row r="580" spans="1:8">
      <c r="A580">
        <v>4</v>
      </c>
      <c r="B580" t="s">
        <v>33</v>
      </c>
      <c r="C580">
        <v>2013</v>
      </c>
      <c r="D580" t="s">
        <v>12</v>
      </c>
      <c r="E580" t="s">
        <v>115</v>
      </c>
      <c r="F580" t="s">
        <v>13</v>
      </c>
      <c r="G580" t="str">
        <f>VLOOKUP(A580,[1]Kreise!$A$1:$C$53,3,FALSE)</f>
        <v>K034</v>
      </c>
      <c r="H580">
        <v>1.8032144257154059</v>
      </c>
    </row>
    <row r="581" spans="1:8">
      <c r="A581">
        <v>0</v>
      </c>
      <c r="B581" t="s">
        <v>34</v>
      </c>
      <c r="C581">
        <v>2013</v>
      </c>
      <c r="D581" t="s">
        <v>12</v>
      </c>
      <c r="E581" t="s">
        <v>115</v>
      </c>
      <c r="F581" t="s">
        <v>13</v>
      </c>
      <c r="G581" t="str">
        <f>VLOOKUP(A581,[1]Kreise!$A$1:$C$53,3,FALSE)</f>
        <v>K030</v>
      </c>
      <c r="H581">
        <v>4.1711344627921942</v>
      </c>
    </row>
    <row r="582" spans="1:8">
      <c r="A582">
        <v>1</v>
      </c>
      <c r="B582" t="s">
        <v>145</v>
      </c>
      <c r="C582">
        <v>2012</v>
      </c>
      <c r="D582" t="s">
        <v>12</v>
      </c>
      <c r="E582" t="s">
        <v>115</v>
      </c>
      <c r="F582" t="s">
        <v>13</v>
      </c>
      <c r="G582" t="str">
        <f>VLOOKUP(A582,[1]Kreise!$A$1:$C$53,3,FALSE)</f>
        <v>K031</v>
      </c>
      <c r="H582">
        <v>5.3885422575155983</v>
      </c>
    </row>
    <row r="583" spans="1:8">
      <c r="A583">
        <v>2</v>
      </c>
      <c r="B583" t="s">
        <v>146</v>
      </c>
      <c r="C583">
        <v>2012</v>
      </c>
      <c r="D583" t="s">
        <v>12</v>
      </c>
      <c r="E583" t="s">
        <v>115</v>
      </c>
      <c r="F583" t="s">
        <v>13</v>
      </c>
      <c r="G583" t="str">
        <f>VLOOKUP(A583,[1]Kreise!$A$1:$C$53,3,FALSE)</f>
        <v>K032</v>
      </c>
      <c r="H583">
        <v>8.4928646014618874</v>
      </c>
    </row>
    <row r="584" spans="1:8">
      <c r="A584">
        <v>3</v>
      </c>
      <c r="B584" t="s">
        <v>147</v>
      </c>
      <c r="C584">
        <v>2012</v>
      </c>
      <c r="D584" t="s">
        <v>12</v>
      </c>
      <c r="E584" t="s">
        <v>115</v>
      </c>
      <c r="F584" t="s">
        <v>13</v>
      </c>
      <c r="G584" t="str">
        <f>VLOOKUP(A584,[1]Kreise!$A$1:$C$53,3,FALSE)</f>
        <v>K033</v>
      </c>
      <c r="H584">
        <v>1.2797074954296161</v>
      </c>
    </row>
    <row r="585" spans="1:8">
      <c r="A585">
        <v>4</v>
      </c>
      <c r="B585" t="s">
        <v>148</v>
      </c>
      <c r="C585">
        <v>2012</v>
      </c>
      <c r="D585" t="s">
        <v>12</v>
      </c>
      <c r="E585" t="s">
        <v>115</v>
      </c>
      <c r="F585" t="s">
        <v>13</v>
      </c>
      <c r="G585" t="str">
        <f>VLOOKUP(A585,[1]Kreise!$A$1:$C$53,3,FALSE)</f>
        <v>K034</v>
      </c>
      <c r="H585">
        <v>1.4541387024608501</v>
      </c>
    </row>
    <row r="586" spans="1:8">
      <c r="A586">
        <v>0</v>
      </c>
      <c r="B586" t="s">
        <v>34</v>
      </c>
      <c r="C586">
        <v>2012</v>
      </c>
      <c r="D586" t="s">
        <v>12</v>
      </c>
      <c r="E586" t="s">
        <v>115</v>
      </c>
      <c r="F586" t="s">
        <v>13</v>
      </c>
      <c r="G586" t="str">
        <f>VLOOKUP(A586,[1]Kreise!$A$1:$C$53,3,FALSE)</f>
        <v>K030</v>
      </c>
      <c r="H586">
        <v>5.3363936307559889</v>
      </c>
    </row>
    <row r="587" spans="1:8">
      <c r="A587">
        <v>1</v>
      </c>
      <c r="B587" t="s">
        <v>30</v>
      </c>
      <c r="C587">
        <v>2011</v>
      </c>
      <c r="D587" t="s">
        <v>12</v>
      </c>
      <c r="E587" t="s">
        <v>115</v>
      </c>
      <c r="F587" t="s">
        <v>13</v>
      </c>
      <c r="G587" t="str">
        <f>VLOOKUP(A587,[1]Kreise!$A$1:$C$53,3,FALSE)</f>
        <v>K031</v>
      </c>
      <c r="H587">
        <v>5.1927616050354048</v>
      </c>
    </row>
    <row r="588" spans="1:8">
      <c r="A588">
        <v>2</v>
      </c>
      <c r="B588" t="s">
        <v>31</v>
      </c>
      <c r="C588">
        <v>2011</v>
      </c>
      <c r="D588" t="s">
        <v>12</v>
      </c>
      <c r="E588" t="s">
        <v>115</v>
      </c>
      <c r="F588" t="s">
        <v>13</v>
      </c>
      <c r="G588" t="str">
        <f>VLOOKUP(A588,[1]Kreise!$A$1:$C$53,3,FALSE)</f>
        <v>K032</v>
      </c>
      <c r="H588">
        <v>10.037981551817689</v>
      </c>
    </row>
    <row r="589" spans="1:8">
      <c r="A589">
        <v>3</v>
      </c>
      <c r="B589" t="s">
        <v>32</v>
      </c>
      <c r="C589">
        <v>2011</v>
      </c>
      <c r="D589" t="s">
        <v>12</v>
      </c>
      <c r="E589" t="s">
        <v>115</v>
      </c>
      <c r="F589" t="s">
        <v>13</v>
      </c>
      <c r="G589" t="str">
        <f>VLOOKUP(A589,[1]Kreise!$A$1:$C$53,3,FALSE)</f>
        <v>K033</v>
      </c>
      <c r="H589">
        <v>0.26041666666666663</v>
      </c>
    </row>
    <row r="590" spans="1:8">
      <c r="A590">
        <v>4</v>
      </c>
      <c r="B590" t="s">
        <v>33</v>
      </c>
      <c r="C590">
        <v>2011</v>
      </c>
      <c r="D590" t="s">
        <v>12</v>
      </c>
      <c r="E590" t="s">
        <v>115</v>
      </c>
      <c r="F590" t="s">
        <v>13</v>
      </c>
      <c r="G590" t="str">
        <f>VLOOKUP(A590,[1]Kreise!$A$1:$C$53,3,FALSE)</f>
        <v>K034</v>
      </c>
      <c r="H590">
        <v>1.4423076923076923</v>
      </c>
    </row>
    <row r="591" spans="1:8">
      <c r="A591">
        <v>0</v>
      </c>
      <c r="B591" t="s">
        <v>34</v>
      </c>
      <c r="C591">
        <v>2011</v>
      </c>
      <c r="D591" t="s">
        <v>12</v>
      </c>
      <c r="E591" t="s">
        <v>115</v>
      </c>
      <c r="F591" t="s">
        <v>13</v>
      </c>
      <c r="G591" t="str">
        <f>VLOOKUP(A591,[1]Kreise!$A$1:$C$53,3,FALSE)</f>
        <v>K030</v>
      </c>
      <c r="H591">
        <v>5.5106984255147351</v>
      </c>
    </row>
    <row r="592" spans="1:8">
      <c r="A592">
        <v>1</v>
      </c>
      <c r="B592" t="s">
        <v>145</v>
      </c>
      <c r="C592">
        <v>2010</v>
      </c>
      <c r="D592" t="s">
        <v>12</v>
      </c>
      <c r="E592" t="s">
        <v>115</v>
      </c>
      <c r="F592" t="s">
        <v>13</v>
      </c>
      <c r="G592" t="str">
        <f>VLOOKUP(A592,[1]Kreise!$A$1:$C$53,3,FALSE)</f>
        <v>K031</v>
      </c>
      <c r="H592">
        <v>4.8956661316211871</v>
      </c>
    </row>
    <row r="593" spans="1:8">
      <c r="A593">
        <v>2</v>
      </c>
      <c r="B593" t="s">
        <v>146</v>
      </c>
      <c r="C593">
        <v>2010</v>
      </c>
      <c r="D593" t="s">
        <v>12</v>
      </c>
      <c r="E593" t="s">
        <v>115</v>
      </c>
      <c r="F593" t="s">
        <v>13</v>
      </c>
      <c r="G593" t="str">
        <f>VLOOKUP(A593,[1]Kreise!$A$1:$C$53,3,FALSE)</f>
        <v>K032</v>
      </c>
      <c r="H593">
        <v>8.2122905027932962</v>
      </c>
    </row>
    <row r="594" spans="1:8">
      <c r="A594">
        <v>3</v>
      </c>
      <c r="B594" t="s">
        <v>147</v>
      </c>
      <c r="C594">
        <v>2010</v>
      </c>
      <c r="D594" t="s">
        <v>12</v>
      </c>
      <c r="E594" t="s">
        <v>115</v>
      </c>
      <c r="F594" t="s">
        <v>13</v>
      </c>
      <c r="G594" t="str">
        <f>VLOOKUP(A594,[1]Kreise!$A$1:$C$53,3,FALSE)</f>
        <v>K033</v>
      </c>
      <c r="H594">
        <v>0.56980056980056981</v>
      </c>
    </row>
    <row r="595" spans="1:8">
      <c r="A595">
        <v>4</v>
      </c>
      <c r="B595" t="s">
        <v>148</v>
      </c>
      <c r="C595">
        <v>2010</v>
      </c>
      <c r="D595" t="s">
        <v>12</v>
      </c>
      <c r="E595" t="s">
        <v>115</v>
      </c>
      <c r="F595" t="s">
        <v>13</v>
      </c>
      <c r="G595" t="str">
        <f>VLOOKUP(A595,[1]Kreise!$A$1:$C$53,3,FALSE)</f>
        <v>K034</v>
      </c>
      <c r="H595">
        <v>1.6454749439042633</v>
      </c>
    </row>
    <row r="596" spans="1:8">
      <c r="A596">
        <v>0</v>
      </c>
      <c r="B596" t="s">
        <v>34</v>
      </c>
      <c r="C596">
        <v>2010</v>
      </c>
      <c r="D596" t="s">
        <v>12</v>
      </c>
      <c r="E596" t="s">
        <v>115</v>
      </c>
      <c r="F596" t="s">
        <v>13</v>
      </c>
      <c r="G596" t="str">
        <f>VLOOKUP(A596,[1]Kreise!$A$1:$C$53,3,FALSE)</f>
        <v>K030</v>
      </c>
      <c r="H596">
        <v>4.9110922946655373</v>
      </c>
    </row>
    <row r="597" spans="1:8">
      <c r="A597">
        <v>1</v>
      </c>
      <c r="B597" t="s">
        <v>145</v>
      </c>
      <c r="C597">
        <v>2005</v>
      </c>
      <c r="D597" t="s">
        <v>12</v>
      </c>
      <c r="E597" t="s">
        <v>115</v>
      </c>
      <c r="F597" t="s">
        <v>13</v>
      </c>
      <c r="G597" t="str">
        <f>VLOOKUP(A597,[1]Kreise!$A$1:$C$53,3,FALSE)</f>
        <v>K031</v>
      </c>
      <c r="H597">
        <v>6.0251798561151082</v>
      </c>
    </row>
    <row r="598" spans="1:8">
      <c r="A598">
        <v>2</v>
      </c>
      <c r="B598" t="s">
        <v>146</v>
      </c>
      <c r="C598">
        <v>2005</v>
      </c>
      <c r="D598" t="s">
        <v>12</v>
      </c>
      <c r="E598" t="s">
        <v>115</v>
      </c>
      <c r="F598" t="s">
        <v>13</v>
      </c>
      <c r="G598" t="str">
        <f>VLOOKUP(A598,[1]Kreise!$A$1:$C$53,3,FALSE)</f>
        <v>K032</v>
      </c>
      <c r="H598">
        <v>8.5351089588377729</v>
      </c>
    </row>
    <row r="599" spans="1:8">
      <c r="A599">
        <v>3</v>
      </c>
      <c r="B599" t="s">
        <v>147</v>
      </c>
      <c r="C599">
        <v>2005</v>
      </c>
      <c r="D599" t="s">
        <v>12</v>
      </c>
      <c r="E599" t="s">
        <v>115</v>
      </c>
      <c r="F599" t="s">
        <v>13</v>
      </c>
      <c r="G599" t="str">
        <f>VLOOKUP(A599,[1]Kreise!$A$1:$C$53,3,FALSE)</f>
        <v>K033</v>
      </c>
      <c r="H599">
        <v>0</v>
      </c>
    </row>
    <row r="600" spans="1:8">
      <c r="A600">
        <v>4</v>
      </c>
      <c r="B600" t="s">
        <v>148</v>
      </c>
      <c r="C600">
        <v>2005</v>
      </c>
      <c r="D600" t="s">
        <v>12</v>
      </c>
      <c r="E600" t="s">
        <v>115</v>
      </c>
      <c r="F600" t="s">
        <v>13</v>
      </c>
      <c r="G600" t="str">
        <f>VLOOKUP(A600,[1]Kreise!$A$1:$C$53,3,FALSE)</f>
        <v>K034</v>
      </c>
      <c r="H600">
        <v>3.3227848101265818</v>
      </c>
    </row>
    <row r="601" spans="1:8">
      <c r="A601">
        <v>0</v>
      </c>
      <c r="B601" t="s">
        <v>34</v>
      </c>
      <c r="C601">
        <v>2005</v>
      </c>
      <c r="D601" t="s">
        <v>12</v>
      </c>
      <c r="E601" t="s">
        <v>115</v>
      </c>
      <c r="F601" t="s">
        <v>13</v>
      </c>
      <c r="G601" t="str">
        <f>VLOOKUP(A601,[1]Kreise!$A$1:$C$53,3,FALSE)</f>
        <v>K030</v>
      </c>
      <c r="H601">
        <v>5.7550644567219154</v>
      </c>
    </row>
    <row r="602" spans="1:8">
      <c r="A602">
        <v>1</v>
      </c>
      <c r="B602" t="s">
        <v>30</v>
      </c>
      <c r="C602">
        <v>2020</v>
      </c>
      <c r="D602" t="s">
        <v>11</v>
      </c>
      <c r="E602" t="s">
        <v>9</v>
      </c>
      <c r="F602" t="s">
        <v>13</v>
      </c>
      <c r="G602" t="str">
        <f>VLOOKUP(A602,[1]Kreise!$A$1:$C$53,3,FALSE)</f>
        <v>K031</v>
      </c>
      <c r="H602">
        <v>89.00709219858156</v>
      </c>
    </row>
    <row r="603" spans="1:8">
      <c r="A603">
        <v>2</v>
      </c>
      <c r="B603" t="s">
        <v>31</v>
      </c>
      <c r="C603">
        <v>2020</v>
      </c>
      <c r="D603" t="s">
        <v>11</v>
      </c>
      <c r="E603" t="s">
        <v>9</v>
      </c>
      <c r="F603" t="s">
        <v>13</v>
      </c>
      <c r="G603" t="str">
        <f>VLOOKUP(A603,[1]Kreise!$A$1:$C$53,3,FALSE)</f>
        <v>K032</v>
      </c>
      <c r="H603">
        <v>86.196319018404907</v>
      </c>
    </row>
    <row r="604" spans="1:8">
      <c r="A604">
        <v>3</v>
      </c>
      <c r="B604" t="s">
        <v>32</v>
      </c>
      <c r="C604">
        <v>2020</v>
      </c>
      <c r="D604" t="s">
        <v>11</v>
      </c>
      <c r="E604" t="s">
        <v>9</v>
      </c>
      <c r="F604" t="s">
        <v>13</v>
      </c>
      <c r="G604" t="str">
        <f>VLOOKUP(A604,[1]Kreise!$A$1:$C$53,3,FALSE)</f>
        <v>K033</v>
      </c>
      <c r="H604">
        <v>96.739130434782609</v>
      </c>
    </row>
    <row r="605" spans="1:8">
      <c r="A605">
        <v>4</v>
      </c>
      <c r="B605" t="s">
        <v>33</v>
      </c>
      <c r="C605">
        <v>2020</v>
      </c>
      <c r="D605" t="s">
        <v>11</v>
      </c>
      <c r="E605" t="s">
        <v>9</v>
      </c>
      <c r="F605" t="s">
        <v>13</v>
      </c>
      <c r="G605" t="str">
        <f>VLOOKUP(A605,[1]Kreise!$A$1:$C$53,3,FALSE)</f>
        <v>K034</v>
      </c>
      <c r="H605">
        <v>88.888888888888886</v>
      </c>
    </row>
    <row r="606" spans="1:8">
      <c r="A606">
        <v>0</v>
      </c>
      <c r="B606" t="s">
        <v>34</v>
      </c>
      <c r="C606">
        <v>2020</v>
      </c>
      <c r="D606" t="s">
        <v>11</v>
      </c>
      <c r="E606" t="s">
        <v>9</v>
      </c>
      <c r="F606" t="s">
        <v>13</v>
      </c>
      <c r="G606" t="str">
        <f>VLOOKUP(A606,[1]Kreise!$A$1:$C$53,3,FALSE)</f>
        <v>K030</v>
      </c>
      <c r="H606">
        <v>89.321789321789325</v>
      </c>
    </row>
    <row r="607" spans="1:8">
      <c r="A607">
        <v>1</v>
      </c>
      <c r="B607" t="s">
        <v>30</v>
      </c>
      <c r="C607">
        <v>2019</v>
      </c>
      <c r="D607" t="s">
        <v>11</v>
      </c>
      <c r="E607" t="s">
        <v>9</v>
      </c>
      <c r="F607" t="s">
        <v>13</v>
      </c>
      <c r="G607" t="str">
        <f>VLOOKUP(A607,[1]Kreise!$A$1:$C$53,3,FALSE)</f>
        <v>K031</v>
      </c>
      <c r="H607">
        <v>89.743589743589752</v>
      </c>
    </row>
    <row r="608" spans="1:8">
      <c r="A608">
        <v>2</v>
      </c>
      <c r="B608" t="s">
        <v>31</v>
      </c>
      <c r="C608">
        <v>2019</v>
      </c>
      <c r="D608" t="s">
        <v>11</v>
      </c>
      <c r="E608" t="s">
        <v>9</v>
      </c>
      <c r="F608" t="s">
        <v>13</v>
      </c>
      <c r="G608" t="str">
        <f>VLOOKUP(A608,[1]Kreise!$A$1:$C$53,3,FALSE)</f>
        <v>K032</v>
      </c>
      <c r="H608">
        <v>93.430656934306569</v>
      </c>
    </row>
    <row r="609" spans="1:8">
      <c r="A609">
        <v>3</v>
      </c>
      <c r="B609" t="s">
        <v>32</v>
      </c>
      <c r="C609">
        <v>2019</v>
      </c>
      <c r="D609" t="s">
        <v>11</v>
      </c>
      <c r="E609" t="s">
        <v>9</v>
      </c>
      <c r="F609" t="s">
        <v>13</v>
      </c>
      <c r="G609" t="str">
        <f>VLOOKUP(A609,[1]Kreise!$A$1:$C$53,3,FALSE)</f>
        <v>K033</v>
      </c>
      <c r="H609">
        <v>91.807909604519779</v>
      </c>
    </row>
    <row r="610" spans="1:8">
      <c r="A610">
        <v>4</v>
      </c>
      <c r="B610" t="s">
        <v>33</v>
      </c>
      <c r="C610">
        <v>2019</v>
      </c>
      <c r="D610" t="s">
        <v>11</v>
      </c>
      <c r="E610" t="s">
        <v>9</v>
      </c>
      <c r="F610" t="s">
        <v>13</v>
      </c>
      <c r="G610" t="str">
        <f>VLOOKUP(A610,[1]Kreise!$A$1:$C$53,3,FALSE)</f>
        <v>K034</v>
      </c>
      <c r="H610">
        <v>92.620624408703875</v>
      </c>
    </row>
    <row r="611" spans="1:8">
      <c r="A611">
        <v>0</v>
      </c>
      <c r="B611" t="s">
        <v>34</v>
      </c>
      <c r="C611">
        <v>2019</v>
      </c>
      <c r="D611" t="s">
        <v>11</v>
      </c>
      <c r="E611" t="s">
        <v>9</v>
      </c>
      <c r="F611" t="s">
        <v>13</v>
      </c>
      <c r="G611" t="str">
        <f>VLOOKUP(A611,[1]Kreise!$A$1:$C$53,3,FALSE)</f>
        <v>K030</v>
      </c>
      <c r="H611">
        <v>92.169179229480733</v>
      </c>
    </row>
    <row r="612" spans="1:8">
      <c r="A612">
        <v>1</v>
      </c>
      <c r="B612" t="s">
        <v>30</v>
      </c>
      <c r="C612">
        <v>2018</v>
      </c>
      <c r="D612" t="s">
        <v>11</v>
      </c>
      <c r="E612" t="s">
        <v>9</v>
      </c>
      <c r="F612" t="s">
        <v>13</v>
      </c>
      <c r="G612" t="str">
        <f>VLOOKUP(A612,[1]Kreise!$A$1:$C$53,3,FALSE)</f>
        <v>K031</v>
      </c>
      <c r="H612">
        <v>88.603988603988597</v>
      </c>
    </row>
    <row r="613" spans="1:8">
      <c r="A613">
        <v>2</v>
      </c>
      <c r="B613" t="s">
        <v>31</v>
      </c>
      <c r="C613">
        <v>2018</v>
      </c>
      <c r="D613" t="s">
        <v>11</v>
      </c>
      <c r="E613" t="s">
        <v>9</v>
      </c>
      <c r="F613" t="s">
        <v>13</v>
      </c>
      <c r="G613" t="str">
        <f>VLOOKUP(A613,[1]Kreise!$A$1:$C$53,3,FALSE)</f>
        <v>K032</v>
      </c>
      <c r="H613">
        <v>92.05175600739372</v>
      </c>
    </row>
    <row r="614" spans="1:8">
      <c r="A614">
        <v>3</v>
      </c>
      <c r="B614" t="s">
        <v>32</v>
      </c>
      <c r="C614">
        <v>2018</v>
      </c>
      <c r="D614" t="s">
        <v>11</v>
      </c>
      <c r="E614" t="s">
        <v>9</v>
      </c>
      <c r="F614" t="s">
        <v>13</v>
      </c>
      <c r="G614" t="str">
        <f>VLOOKUP(A614,[1]Kreise!$A$1:$C$53,3,FALSE)</f>
        <v>K033</v>
      </c>
      <c r="H614">
        <v>90.965732087227408</v>
      </c>
    </row>
    <row r="615" spans="1:8">
      <c r="A615">
        <v>4</v>
      </c>
      <c r="B615" t="s">
        <v>33</v>
      </c>
      <c r="C615">
        <v>2018</v>
      </c>
      <c r="D615" t="s">
        <v>11</v>
      </c>
      <c r="E615" t="s">
        <v>9</v>
      </c>
      <c r="F615" t="s">
        <v>13</v>
      </c>
      <c r="G615" t="str">
        <f>VLOOKUP(A615,[1]Kreise!$A$1:$C$53,3,FALSE)</f>
        <v>K034</v>
      </c>
      <c r="H615">
        <v>91.062801932367151</v>
      </c>
    </row>
    <row r="616" spans="1:8">
      <c r="A616">
        <v>0</v>
      </c>
      <c r="B616" t="s">
        <v>34</v>
      </c>
      <c r="C616">
        <v>2018</v>
      </c>
      <c r="D616" t="s">
        <v>11</v>
      </c>
      <c r="E616" t="s">
        <v>9</v>
      </c>
      <c r="F616" t="s">
        <v>13</v>
      </c>
      <c r="G616" t="str">
        <f>VLOOKUP(A616,[1]Kreise!$A$1:$C$53,3,FALSE)</f>
        <v>K030</v>
      </c>
      <c r="H616">
        <v>90.886820186183243</v>
      </c>
    </row>
    <row r="617" spans="1:8">
      <c r="A617">
        <v>1</v>
      </c>
      <c r="B617" t="s">
        <v>30</v>
      </c>
      <c r="C617">
        <v>2017</v>
      </c>
      <c r="D617" t="s">
        <v>11</v>
      </c>
      <c r="E617" t="s">
        <v>9</v>
      </c>
      <c r="F617" t="s">
        <v>13</v>
      </c>
      <c r="G617" t="str">
        <f>VLOOKUP(A617,[1]Kreise!$A$1:$C$53,3,FALSE)</f>
        <v>K031</v>
      </c>
      <c r="H617">
        <v>89.075630252100851</v>
      </c>
    </row>
    <row r="618" spans="1:8">
      <c r="A618">
        <v>2</v>
      </c>
      <c r="B618" t="s">
        <v>31</v>
      </c>
      <c r="C618">
        <v>2017</v>
      </c>
      <c r="D618" t="s">
        <v>11</v>
      </c>
      <c r="E618" t="s">
        <v>9</v>
      </c>
      <c r="F618" t="s">
        <v>13</v>
      </c>
      <c r="G618" t="str">
        <f>VLOOKUP(A618,[1]Kreise!$A$1:$C$53,3,FALSE)</f>
        <v>K032</v>
      </c>
      <c r="H618">
        <v>91.187739463601531</v>
      </c>
    </row>
    <row r="619" spans="1:8">
      <c r="A619">
        <v>3</v>
      </c>
      <c r="B619" t="s">
        <v>32</v>
      </c>
      <c r="C619">
        <v>2017</v>
      </c>
      <c r="D619" t="s">
        <v>11</v>
      </c>
      <c r="E619" t="s">
        <v>9</v>
      </c>
      <c r="F619" t="s">
        <v>13</v>
      </c>
      <c r="G619" t="str">
        <f>VLOOKUP(A619,[1]Kreise!$A$1:$C$53,3,FALSE)</f>
        <v>K033</v>
      </c>
      <c r="H619">
        <v>93.527508090614887</v>
      </c>
    </row>
    <row r="620" spans="1:8">
      <c r="A620">
        <v>4</v>
      </c>
      <c r="B620" t="s">
        <v>33</v>
      </c>
      <c r="C620">
        <v>2017</v>
      </c>
      <c r="D620" t="s">
        <v>11</v>
      </c>
      <c r="E620" t="s">
        <v>9</v>
      </c>
      <c r="F620" t="s">
        <v>13</v>
      </c>
      <c r="G620" t="str">
        <f>VLOOKUP(A620,[1]Kreise!$A$1:$C$53,3,FALSE)</f>
        <v>K034</v>
      </c>
      <c r="H620">
        <v>92.167381974248926</v>
      </c>
    </row>
    <row r="621" spans="1:8">
      <c r="A621">
        <v>0</v>
      </c>
      <c r="B621" t="s">
        <v>34</v>
      </c>
      <c r="C621">
        <v>2017</v>
      </c>
      <c r="D621" t="s">
        <v>11</v>
      </c>
      <c r="E621" t="s">
        <v>9</v>
      </c>
      <c r="F621" t="s">
        <v>13</v>
      </c>
      <c r="G621" t="str">
        <f>VLOOKUP(A621,[1]Kreise!$A$1:$C$53,3,FALSE)</f>
        <v>K030</v>
      </c>
      <c r="H621">
        <v>91.603773584905653</v>
      </c>
    </row>
    <row r="622" spans="1:8">
      <c r="A622">
        <v>1</v>
      </c>
      <c r="B622" t="s">
        <v>30</v>
      </c>
      <c r="C622">
        <v>2016</v>
      </c>
      <c r="D622" t="s">
        <v>11</v>
      </c>
      <c r="E622" t="s">
        <v>9</v>
      </c>
      <c r="F622" t="s">
        <v>13</v>
      </c>
      <c r="G622" t="str">
        <f>VLOOKUP(A622,[1]Kreise!$A$1:$C$53,3,FALSE)</f>
        <v>K031</v>
      </c>
      <c r="H622">
        <v>90.196078431372555</v>
      </c>
    </row>
    <row r="623" spans="1:8">
      <c r="A623">
        <v>2</v>
      </c>
      <c r="B623" t="s">
        <v>31</v>
      </c>
      <c r="C623">
        <v>2016</v>
      </c>
      <c r="D623" t="s">
        <v>11</v>
      </c>
      <c r="E623" t="s">
        <v>9</v>
      </c>
      <c r="F623" t="s">
        <v>13</v>
      </c>
      <c r="G623" t="str">
        <f>VLOOKUP(A623,[1]Kreise!$A$1:$C$53,3,FALSE)</f>
        <v>K032</v>
      </c>
      <c r="H623">
        <v>92.199687987519496</v>
      </c>
    </row>
    <row r="624" spans="1:8">
      <c r="A624">
        <v>3</v>
      </c>
      <c r="B624" t="s">
        <v>32</v>
      </c>
      <c r="C624">
        <v>2016</v>
      </c>
      <c r="D624" t="s">
        <v>11</v>
      </c>
      <c r="E624" t="s">
        <v>9</v>
      </c>
      <c r="F624" t="s">
        <v>13</v>
      </c>
      <c r="G624" t="str">
        <f>VLOOKUP(A624,[1]Kreise!$A$1:$C$53,3,FALSE)</f>
        <v>K033</v>
      </c>
      <c r="H624">
        <v>92.957746478873233</v>
      </c>
    </row>
    <row r="625" spans="1:8">
      <c r="A625">
        <v>4</v>
      </c>
      <c r="B625" t="s">
        <v>33</v>
      </c>
      <c r="C625">
        <v>2016</v>
      </c>
      <c r="D625" t="s">
        <v>11</v>
      </c>
      <c r="E625" t="s">
        <v>9</v>
      </c>
      <c r="F625" t="s">
        <v>13</v>
      </c>
      <c r="G625" t="str">
        <f>VLOOKUP(A625,[1]Kreise!$A$1:$C$53,3,FALSE)</f>
        <v>K034</v>
      </c>
      <c r="H625">
        <v>93.1640625</v>
      </c>
    </row>
    <row r="626" spans="1:8">
      <c r="A626">
        <v>0</v>
      </c>
      <c r="B626" t="s">
        <v>34</v>
      </c>
      <c r="C626">
        <v>2016</v>
      </c>
      <c r="D626" t="s">
        <v>11</v>
      </c>
      <c r="E626" t="s">
        <v>9</v>
      </c>
      <c r="F626" t="s">
        <v>13</v>
      </c>
      <c r="G626" t="str">
        <f>VLOOKUP(A626,[1]Kreise!$A$1:$C$53,3,FALSE)</f>
        <v>K030</v>
      </c>
      <c r="H626">
        <v>92.380560131795718</v>
      </c>
    </row>
    <row r="627" spans="1:8">
      <c r="A627">
        <v>1</v>
      </c>
      <c r="B627" t="s">
        <v>30</v>
      </c>
      <c r="C627">
        <v>2015</v>
      </c>
      <c r="D627" t="s">
        <v>11</v>
      </c>
      <c r="E627" t="s">
        <v>9</v>
      </c>
      <c r="F627" t="s">
        <v>13</v>
      </c>
      <c r="G627" t="str">
        <f>VLOOKUP(A627,[1]Kreise!$A$1:$C$53,3,FALSE)</f>
        <v>K031</v>
      </c>
      <c r="H627">
        <v>89.555125725338485</v>
      </c>
    </row>
    <row r="628" spans="1:8">
      <c r="A628">
        <v>2</v>
      </c>
      <c r="B628" t="s">
        <v>31</v>
      </c>
      <c r="C628">
        <v>2015</v>
      </c>
      <c r="D628" t="s">
        <v>11</v>
      </c>
      <c r="E628" t="s">
        <v>9</v>
      </c>
      <c r="F628" t="s">
        <v>13</v>
      </c>
      <c r="G628" t="str">
        <f>VLOOKUP(A628,[1]Kreise!$A$1:$C$53,3,FALSE)</f>
        <v>K032</v>
      </c>
      <c r="H628">
        <v>90.701219512195124</v>
      </c>
    </row>
    <row r="629" spans="1:8">
      <c r="A629">
        <v>3</v>
      </c>
      <c r="B629" t="s">
        <v>32</v>
      </c>
      <c r="C629">
        <v>2015</v>
      </c>
      <c r="D629" t="s">
        <v>11</v>
      </c>
      <c r="E629" t="s">
        <v>9</v>
      </c>
      <c r="F629" t="s">
        <v>13</v>
      </c>
      <c r="G629" t="str">
        <f>VLOOKUP(A629,[1]Kreise!$A$1:$C$53,3,FALSE)</f>
        <v>K033</v>
      </c>
      <c r="H629">
        <v>92.688172043010752</v>
      </c>
    </row>
    <row r="630" spans="1:8">
      <c r="A630">
        <v>4</v>
      </c>
      <c r="B630" t="s">
        <v>33</v>
      </c>
      <c r="C630">
        <v>2015</v>
      </c>
      <c r="D630" t="s">
        <v>11</v>
      </c>
      <c r="E630" t="s">
        <v>9</v>
      </c>
      <c r="F630" t="s">
        <v>13</v>
      </c>
      <c r="G630" t="str">
        <f>VLOOKUP(A630,[1]Kreise!$A$1:$C$53,3,FALSE)</f>
        <v>K034</v>
      </c>
      <c r="H630">
        <v>93.224699828473405</v>
      </c>
    </row>
    <row r="631" spans="1:8">
      <c r="A631">
        <v>0</v>
      </c>
      <c r="B631" t="s">
        <v>34</v>
      </c>
      <c r="C631">
        <v>2015</v>
      </c>
      <c r="D631" t="s">
        <v>11</v>
      </c>
      <c r="E631" t="s">
        <v>9</v>
      </c>
      <c r="F631" t="s">
        <v>13</v>
      </c>
      <c r="G631" t="str">
        <f>VLOOKUP(A631,[1]Kreise!$A$1:$C$53,3,FALSE)</f>
        <v>K030</v>
      </c>
      <c r="H631">
        <v>91.868758915834519</v>
      </c>
    </row>
    <row r="632" spans="1:8">
      <c r="A632">
        <v>1</v>
      </c>
      <c r="B632" t="s">
        <v>145</v>
      </c>
      <c r="C632">
        <v>2014</v>
      </c>
      <c r="D632" t="s">
        <v>11</v>
      </c>
      <c r="E632" t="s">
        <v>9</v>
      </c>
      <c r="F632" t="s">
        <v>13</v>
      </c>
      <c r="G632" t="str">
        <f>VLOOKUP(A632,[1]Kreise!$A$1:$C$53,3,FALSE)</f>
        <v>K031</v>
      </c>
      <c r="H632">
        <v>91.840607210626189</v>
      </c>
    </row>
    <row r="633" spans="1:8">
      <c r="A633">
        <v>2</v>
      </c>
      <c r="B633" t="s">
        <v>146</v>
      </c>
      <c r="C633">
        <v>2014</v>
      </c>
      <c r="D633" t="s">
        <v>11</v>
      </c>
      <c r="E633" t="s">
        <v>9</v>
      </c>
      <c r="F633" t="s">
        <v>13</v>
      </c>
      <c r="G633" t="str">
        <f>VLOOKUP(A633,[1]Kreise!$A$1:$C$53,3,FALSE)</f>
        <v>K032</v>
      </c>
      <c r="H633">
        <v>86.526576019777508</v>
      </c>
    </row>
    <row r="634" spans="1:8">
      <c r="A634">
        <v>3</v>
      </c>
      <c r="B634" t="s">
        <v>147</v>
      </c>
      <c r="C634">
        <v>2014</v>
      </c>
      <c r="D634" t="s">
        <v>11</v>
      </c>
      <c r="E634" t="s">
        <v>9</v>
      </c>
      <c r="F634" t="s">
        <v>13</v>
      </c>
      <c r="G634" t="str">
        <f>VLOOKUP(A634,[1]Kreise!$A$1:$C$53,3,FALSE)</f>
        <v>K033</v>
      </c>
      <c r="H634">
        <v>90.121317157712298</v>
      </c>
    </row>
    <row r="635" spans="1:8">
      <c r="A635">
        <v>4</v>
      </c>
      <c r="B635" t="s">
        <v>148</v>
      </c>
      <c r="C635">
        <v>2014</v>
      </c>
      <c r="D635" t="s">
        <v>11</v>
      </c>
      <c r="E635" t="s">
        <v>9</v>
      </c>
      <c r="F635" t="s">
        <v>13</v>
      </c>
      <c r="G635" t="str">
        <f>VLOOKUP(A635,[1]Kreise!$A$1:$C$53,3,FALSE)</f>
        <v>K034</v>
      </c>
      <c r="H635">
        <v>91.816816816816811</v>
      </c>
    </row>
    <row r="636" spans="1:8">
      <c r="A636">
        <v>0</v>
      </c>
      <c r="B636" t="s">
        <v>34</v>
      </c>
      <c r="C636">
        <v>2014</v>
      </c>
      <c r="D636" t="s">
        <v>11</v>
      </c>
      <c r="E636" t="s">
        <v>9</v>
      </c>
      <c r="F636" t="s">
        <v>13</v>
      </c>
      <c r="G636" t="str">
        <f>VLOOKUP(A636,[1]Kreise!$A$1:$C$53,3,FALSE)</f>
        <v>K030</v>
      </c>
      <c r="H636">
        <v>90.200308166409854</v>
      </c>
    </row>
    <row r="637" spans="1:8">
      <c r="A637">
        <v>1</v>
      </c>
      <c r="B637" t="s">
        <v>30</v>
      </c>
      <c r="C637">
        <v>2013</v>
      </c>
      <c r="D637" t="s">
        <v>11</v>
      </c>
      <c r="E637" t="s">
        <v>9</v>
      </c>
      <c r="F637" t="s">
        <v>13</v>
      </c>
      <c r="G637" t="str">
        <f>VLOOKUP(A637,[1]Kreise!$A$1:$C$53,3,FALSE)</f>
        <v>K031</v>
      </c>
      <c r="H637">
        <v>88.047138047138048</v>
      </c>
    </row>
    <row r="638" spans="1:8">
      <c r="A638">
        <v>2</v>
      </c>
      <c r="B638" t="s">
        <v>31</v>
      </c>
      <c r="C638">
        <v>2013</v>
      </c>
      <c r="D638" t="s">
        <v>11</v>
      </c>
      <c r="E638" t="s">
        <v>9</v>
      </c>
      <c r="F638" t="s">
        <v>13</v>
      </c>
      <c r="G638" t="str">
        <f>VLOOKUP(A638,[1]Kreise!$A$1:$C$53,3,FALSE)</f>
        <v>K032</v>
      </c>
      <c r="H638">
        <v>86.771844660194176</v>
      </c>
    </row>
    <row r="639" spans="1:8">
      <c r="A639">
        <v>3</v>
      </c>
      <c r="B639" t="s">
        <v>32</v>
      </c>
      <c r="C639">
        <v>2013</v>
      </c>
      <c r="D639" t="s">
        <v>11</v>
      </c>
      <c r="E639" t="s">
        <v>9</v>
      </c>
      <c r="F639" t="s">
        <v>13</v>
      </c>
      <c r="G639" t="str">
        <f>VLOOKUP(A639,[1]Kreise!$A$1:$C$53,3,FALSE)</f>
        <v>K033</v>
      </c>
      <c r="H639">
        <v>91.256830601092901</v>
      </c>
    </row>
    <row r="640" spans="1:8">
      <c r="A640">
        <v>4</v>
      </c>
      <c r="B640" t="s">
        <v>33</v>
      </c>
      <c r="C640">
        <v>2013</v>
      </c>
      <c r="D640" t="s">
        <v>11</v>
      </c>
      <c r="E640" t="s">
        <v>9</v>
      </c>
      <c r="F640" t="s">
        <v>13</v>
      </c>
      <c r="G640" t="str">
        <f>VLOOKUP(A640,[1]Kreise!$A$1:$C$53,3,FALSE)</f>
        <v>K034</v>
      </c>
      <c r="H640">
        <v>91.390728476821195</v>
      </c>
    </row>
    <row r="641" spans="1:8">
      <c r="A641">
        <v>0</v>
      </c>
      <c r="B641" t="s">
        <v>34</v>
      </c>
      <c r="C641">
        <v>2013</v>
      </c>
      <c r="D641" t="s">
        <v>11</v>
      </c>
      <c r="E641" t="s">
        <v>9</v>
      </c>
      <c r="F641" t="s">
        <v>13</v>
      </c>
      <c r="G641" t="str">
        <f>VLOOKUP(A641,[1]Kreise!$A$1:$C$53,3,FALSE)</f>
        <v>K030</v>
      </c>
      <c r="H641">
        <v>89.627179795550219</v>
      </c>
    </row>
    <row r="642" spans="1:8">
      <c r="A642">
        <v>1</v>
      </c>
      <c r="B642" t="s">
        <v>145</v>
      </c>
      <c r="C642">
        <v>2012</v>
      </c>
      <c r="D642" t="s">
        <v>11</v>
      </c>
      <c r="E642" t="s">
        <v>9</v>
      </c>
      <c r="F642" t="s">
        <v>13</v>
      </c>
      <c r="G642" t="str">
        <f>VLOOKUP(A642,[1]Kreise!$A$1:$C$53,3,FALSE)</f>
        <v>K031</v>
      </c>
      <c r="H642">
        <v>87.220447284345042</v>
      </c>
    </row>
    <row r="643" spans="1:8">
      <c r="A643">
        <v>2</v>
      </c>
      <c r="B643" t="s">
        <v>146</v>
      </c>
      <c r="C643">
        <v>2012</v>
      </c>
      <c r="D643" t="s">
        <v>11</v>
      </c>
      <c r="E643" t="s">
        <v>9</v>
      </c>
      <c r="F643" t="s">
        <v>13</v>
      </c>
      <c r="G643" t="str">
        <f>VLOOKUP(A643,[1]Kreise!$A$1:$C$53,3,FALSE)</f>
        <v>K032</v>
      </c>
      <c r="H643">
        <v>83.146067415730343</v>
      </c>
    </row>
    <row r="644" spans="1:8">
      <c r="A644">
        <v>3</v>
      </c>
      <c r="B644" t="s">
        <v>147</v>
      </c>
      <c r="C644">
        <v>2012</v>
      </c>
      <c r="D644" t="s">
        <v>11</v>
      </c>
      <c r="E644" t="s">
        <v>9</v>
      </c>
      <c r="F644" t="s">
        <v>13</v>
      </c>
      <c r="G644" t="str">
        <f>VLOOKUP(A644,[1]Kreise!$A$1:$C$53,3,FALSE)</f>
        <v>K033</v>
      </c>
      <c r="H644">
        <v>89.905362776025228</v>
      </c>
    </row>
    <row r="645" spans="1:8">
      <c r="A645">
        <v>4</v>
      </c>
      <c r="B645" t="s">
        <v>148</v>
      </c>
      <c r="C645">
        <v>2012</v>
      </c>
      <c r="D645" t="s">
        <v>11</v>
      </c>
      <c r="E645" t="s">
        <v>9</v>
      </c>
      <c r="F645" t="s">
        <v>13</v>
      </c>
      <c r="G645" t="str">
        <f>VLOOKUP(A645,[1]Kreise!$A$1:$C$53,3,FALSE)</f>
        <v>K034</v>
      </c>
      <c r="H645">
        <v>89.977728285077944</v>
      </c>
    </row>
    <row r="646" spans="1:8">
      <c r="A646">
        <v>0</v>
      </c>
      <c r="B646" t="s">
        <v>34</v>
      </c>
      <c r="C646">
        <v>2012</v>
      </c>
      <c r="D646" t="s">
        <v>11</v>
      </c>
      <c r="E646" t="s">
        <v>9</v>
      </c>
      <c r="F646" t="s">
        <v>13</v>
      </c>
      <c r="G646" t="str">
        <f>VLOOKUP(A646,[1]Kreise!$A$1:$C$53,3,FALSE)</f>
        <v>K030</v>
      </c>
      <c r="H646">
        <v>87.618516452872285</v>
      </c>
    </row>
    <row r="647" spans="1:8">
      <c r="A647">
        <v>1</v>
      </c>
      <c r="B647" t="s">
        <v>30</v>
      </c>
      <c r="C647">
        <v>2011</v>
      </c>
      <c r="D647" t="s">
        <v>11</v>
      </c>
      <c r="E647" t="s">
        <v>9</v>
      </c>
      <c r="F647" t="s">
        <v>13</v>
      </c>
      <c r="G647" t="str">
        <f>VLOOKUP(A647,[1]Kreise!$A$1:$C$53,3,FALSE)</f>
        <v>K031</v>
      </c>
      <c r="H647">
        <v>83.2</v>
      </c>
    </row>
    <row r="648" spans="1:8">
      <c r="A648">
        <v>2</v>
      </c>
      <c r="B648" t="s">
        <v>31</v>
      </c>
      <c r="C648">
        <v>2011</v>
      </c>
      <c r="D648" t="s">
        <v>11</v>
      </c>
      <c r="E648" t="s">
        <v>9</v>
      </c>
      <c r="F648" t="s">
        <v>13</v>
      </c>
      <c r="G648" t="str">
        <f>VLOOKUP(A648,[1]Kreise!$A$1:$C$53,3,FALSE)</f>
        <v>K032</v>
      </c>
      <c r="H648">
        <v>81.226053639846739</v>
      </c>
    </row>
    <row r="649" spans="1:8">
      <c r="A649">
        <v>3</v>
      </c>
      <c r="B649" t="s">
        <v>32</v>
      </c>
      <c r="C649">
        <v>2011</v>
      </c>
      <c r="D649" t="s">
        <v>11</v>
      </c>
      <c r="E649" t="s">
        <v>9</v>
      </c>
      <c r="F649" t="s">
        <v>13</v>
      </c>
      <c r="G649" t="str">
        <f>VLOOKUP(A649,[1]Kreise!$A$1:$C$53,3,FALSE)</f>
        <v>K033</v>
      </c>
      <c r="H649">
        <v>87.878787878787875</v>
      </c>
    </row>
    <row r="650" spans="1:8">
      <c r="A650">
        <v>4</v>
      </c>
      <c r="B650" t="s">
        <v>33</v>
      </c>
      <c r="C650">
        <v>2011</v>
      </c>
      <c r="D650" t="s">
        <v>11</v>
      </c>
      <c r="E650" t="s">
        <v>9</v>
      </c>
      <c r="F650" t="s">
        <v>13</v>
      </c>
      <c r="G650" t="str">
        <f>VLOOKUP(A650,[1]Kreise!$A$1:$C$53,3,FALSE)</f>
        <v>K034</v>
      </c>
      <c r="H650">
        <v>89.026162790697668</v>
      </c>
    </row>
    <row r="651" spans="1:8">
      <c r="A651">
        <v>0</v>
      </c>
      <c r="B651" t="s">
        <v>34</v>
      </c>
      <c r="C651">
        <v>2011</v>
      </c>
      <c r="D651" t="s">
        <v>11</v>
      </c>
      <c r="E651" t="s">
        <v>9</v>
      </c>
      <c r="F651" t="s">
        <v>13</v>
      </c>
      <c r="G651" t="str">
        <f>VLOOKUP(A651,[1]Kreise!$A$1:$C$53,3,FALSE)</f>
        <v>K030</v>
      </c>
      <c r="H651">
        <v>85.660781166399147</v>
      </c>
    </row>
    <row r="652" spans="1:8">
      <c r="A652">
        <v>1</v>
      </c>
      <c r="B652" t="s">
        <v>145</v>
      </c>
      <c r="C652">
        <v>2010</v>
      </c>
      <c r="D652" t="s">
        <v>11</v>
      </c>
      <c r="E652" t="s">
        <v>9</v>
      </c>
      <c r="F652" t="s">
        <v>13</v>
      </c>
      <c r="G652" t="str">
        <f>VLOOKUP(A652,[1]Kreise!$A$1:$C$53,3,FALSE)</f>
        <v>K031</v>
      </c>
      <c r="H652">
        <v>83.228840125391841</v>
      </c>
    </row>
    <row r="653" spans="1:8">
      <c r="A653">
        <v>2</v>
      </c>
      <c r="B653" t="s">
        <v>146</v>
      </c>
      <c r="C653">
        <v>2010</v>
      </c>
      <c r="D653" t="s">
        <v>11</v>
      </c>
      <c r="E653" t="s">
        <v>9</v>
      </c>
      <c r="F653" t="s">
        <v>13</v>
      </c>
      <c r="G653" t="str">
        <f>VLOOKUP(A653,[1]Kreise!$A$1:$C$53,3,FALSE)</f>
        <v>K032</v>
      </c>
      <c r="H653">
        <v>80.323193916349808</v>
      </c>
    </row>
    <row r="654" spans="1:8">
      <c r="A654">
        <v>3</v>
      </c>
      <c r="B654" t="s">
        <v>147</v>
      </c>
      <c r="C654">
        <v>2010</v>
      </c>
      <c r="D654" t="s">
        <v>11</v>
      </c>
      <c r="E654" t="s">
        <v>9</v>
      </c>
      <c r="F654" t="s">
        <v>13</v>
      </c>
      <c r="G654" t="str">
        <f>VLOOKUP(A654,[1]Kreise!$A$1:$C$53,3,FALSE)</f>
        <v>K033</v>
      </c>
      <c r="H654">
        <v>91.290824261275276</v>
      </c>
    </row>
    <row r="655" spans="1:8">
      <c r="A655">
        <v>4</v>
      </c>
      <c r="B655" t="s">
        <v>148</v>
      </c>
      <c r="C655">
        <v>2010</v>
      </c>
      <c r="D655" t="s">
        <v>11</v>
      </c>
      <c r="E655" t="s">
        <v>9</v>
      </c>
      <c r="F655" t="s">
        <v>13</v>
      </c>
      <c r="G655" t="str">
        <f>VLOOKUP(A655,[1]Kreise!$A$1:$C$53,3,FALSE)</f>
        <v>K034</v>
      </c>
      <c r="H655">
        <v>90.104166666666657</v>
      </c>
    </row>
    <row r="656" spans="1:8">
      <c r="A656">
        <v>0</v>
      </c>
      <c r="B656" t="s">
        <v>34</v>
      </c>
      <c r="C656">
        <v>2010</v>
      </c>
      <c r="D656" t="s">
        <v>11</v>
      </c>
      <c r="E656" t="s">
        <v>9</v>
      </c>
      <c r="F656" t="s">
        <v>13</v>
      </c>
      <c r="G656" t="str">
        <f>VLOOKUP(A656,[1]Kreise!$A$1:$C$53,3,FALSE)</f>
        <v>K030</v>
      </c>
      <c r="H656">
        <v>86.320369866739185</v>
      </c>
    </row>
    <row r="657" spans="1:8">
      <c r="A657">
        <v>1</v>
      </c>
      <c r="B657" t="s">
        <v>145</v>
      </c>
      <c r="C657">
        <v>2005</v>
      </c>
      <c r="D657" t="s">
        <v>11</v>
      </c>
      <c r="E657" t="s">
        <v>9</v>
      </c>
      <c r="F657" t="s">
        <v>13</v>
      </c>
      <c r="G657" t="str">
        <f>VLOOKUP(A657,[1]Kreise!$A$1:$C$53,3,FALSE)</f>
        <v>K031</v>
      </c>
      <c r="H657">
        <v>82.465462274176403</v>
      </c>
    </row>
    <row r="658" spans="1:8">
      <c r="A658">
        <v>2</v>
      </c>
      <c r="B658" t="s">
        <v>146</v>
      </c>
      <c r="C658">
        <v>2005</v>
      </c>
      <c r="D658" t="s">
        <v>11</v>
      </c>
      <c r="E658" t="s">
        <v>9</v>
      </c>
      <c r="F658" t="s">
        <v>13</v>
      </c>
      <c r="G658" t="str">
        <f>VLOOKUP(A658,[1]Kreise!$A$1:$C$53,3,FALSE)</f>
        <v>K032</v>
      </c>
      <c r="H658">
        <v>77.061469265367322</v>
      </c>
    </row>
    <row r="659" spans="1:8">
      <c r="A659">
        <v>3</v>
      </c>
      <c r="B659" t="s">
        <v>147</v>
      </c>
      <c r="C659">
        <v>2005</v>
      </c>
      <c r="D659" t="s">
        <v>11</v>
      </c>
      <c r="E659" t="s">
        <v>9</v>
      </c>
      <c r="F659" t="s">
        <v>13</v>
      </c>
      <c r="G659" t="str">
        <f>VLOOKUP(A659,[1]Kreise!$A$1:$C$53,3,FALSE)</f>
        <v>K033</v>
      </c>
      <c r="H659">
        <v>85.654450261780099</v>
      </c>
    </row>
    <row r="660" spans="1:8">
      <c r="A660">
        <v>4</v>
      </c>
      <c r="B660" t="s">
        <v>148</v>
      </c>
      <c r="C660">
        <v>2005</v>
      </c>
      <c r="D660" t="s">
        <v>11</v>
      </c>
      <c r="E660" t="s">
        <v>9</v>
      </c>
      <c r="F660" t="s">
        <v>13</v>
      </c>
      <c r="G660" t="str">
        <f>VLOOKUP(A660,[1]Kreise!$A$1:$C$53,3,FALSE)</f>
        <v>K034</v>
      </c>
      <c r="H660">
        <v>86.965699208443269</v>
      </c>
    </row>
    <row r="661" spans="1:8">
      <c r="A661">
        <v>0</v>
      </c>
      <c r="B661" t="s">
        <v>34</v>
      </c>
      <c r="C661">
        <v>2005</v>
      </c>
      <c r="D661" t="s">
        <v>11</v>
      </c>
      <c r="E661" t="s">
        <v>9</v>
      </c>
      <c r="F661" t="s">
        <v>13</v>
      </c>
      <c r="G661" t="str">
        <f>VLOOKUP(A661,[1]Kreise!$A$1:$C$53,3,FALSE)</f>
        <v>K030</v>
      </c>
      <c r="H661">
        <v>83.317073170731703</v>
      </c>
    </row>
    <row r="662" spans="1:8">
      <c r="A662">
        <v>1</v>
      </c>
      <c r="B662" t="s">
        <v>30</v>
      </c>
      <c r="C662">
        <v>2020</v>
      </c>
      <c r="D662" t="s">
        <v>12</v>
      </c>
      <c r="E662" t="s">
        <v>9</v>
      </c>
      <c r="F662" t="s">
        <v>13</v>
      </c>
      <c r="G662" t="str">
        <f>VLOOKUP(A662,[1]Kreise!$A$1:$C$53,3,FALSE)</f>
        <v>K031</v>
      </c>
      <c r="H662">
        <v>10.99290780141844</v>
      </c>
    </row>
    <row r="663" spans="1:8">
      <c r="A663">
        <v>2</v>
      </c>
      <c r="B663" t="s">
        <v>31</v>
      </c>
      <c r="C663">
        <v>2020</v>
      </c>
      <c r="D663" t="s">
        <v>12</v>
      </c>
      <c r="E663" t="s">
        <v>9</v>
      </c>
      <c r="F663" t="s">
        <v>13</v>
      </c>
      <c r="G663" t="str">
        <f>VLOOKUP(A663,[1]Kreise!$A$1:$C$53,3,FALSE)</f>
        <v>K032</v>
      </c>
      <c r="H663">
        <v>13.803680981595093</v>
      </c>
    </row>
    <row r="664" spans="1:8">
      <c r="A664">
        <v>3</v>
      </c>
      <c r="B664" t="s">
        <v>32</v>
      </c>
      <c r="C664">
        <v>2020</v>
      </c>
      <c r="D664" t="s">
        <v>12</v>
      </c>
      <c r="E664" t="s">
        <v>9</v>
      </c>
      <c r="F664" t="s">
        <v>13</v>
      </c>
      <c r="G664" t="str">
        <f>VLOOKUP(A664,[1]Kreise!$A$1:$C$53,3,FALSE)</f>
        <v>K033</v>
      </c>
      <c r="H664">
        <v>3.2608695652173911</v>
      </c>
    </row>
    <row r="665" spans="1:8">
      <c r="A665">
        <v>4</v>
      </c>
      <c r="B665" t="s">
        <v>33</v>
      </c>
      <c r="C665">
        <v>2020</v>
      </c>
      <c r="D665" t="s">
        <v>12</v>
      </c>
      <c r="E665" t="s">
        <v>9</v>
      </c>
      <c r="F665" t="s">
        <v>13</v>
      </c>
      <c r="G665" t="str">
        <f>VLOOKUP(A665,[1]Kreise!$A$1:$C$53,3,FALSE)</f>
        <v>K034</v>
      </c>
      <c r="H665">
        <v>11.111111111111111</v>
      </c>
    </row>
    <row r="666" spans="1:8">
      <c r="A666">
        <v>0</v>
      </c>
      <c r="B666" t="s">
        <v>34</v>
      </c>
      <c r="C666">
        <v>2020</v>
      </c>
      <c r="D666" t="s">
        <v>12</v>
      </c>
      <c r="E666" t="s">
        <v>9</v>
      </c>
      <c r="F666" t="s">
        <v>13</v>
      </c>
      <c r="G666" t="str">
        <f>VLOOKUP(A666,[1]Kreise!$A$1:$C$53,3,FALSE)</f>
        <v>K030</v>
      </c>
      <c r="H666">
        <v>10.678210678210679</v>
      </c>
    </row>
    <row r="667" spans="1:8">
      <c r="A667">
        <v>1</v>
      </c>
      <c r="B667" t="s">
        <v>30</v>
      </c>
      <c r="C667">
        <v>2019</v>
      </c>
      <c r="D667" t="s">
        <v>12</v>
      </c>
      <c r="E667" t="s">
        <v>9</v>
      </c>
      <c r="F667" t="s">
        <v>13</v>
      </c>
      <c r="G667" t="str">
        <f>VLOOKUP(A667,[1]Kreise!$A$1:$C$53,3,FALSE)</f>
        <v>K031</v>
      </c>
      <c r="H667">
        <v>10.256410256410255</v>
      </c>
    </row>
    <row r="668" spans="1:8">
      <c r="A668">
        <v>2</v>
      </c>
      <c r="B668" t="s">
        <v>31</v>
      </c>
      <c r="C668">
        <v>2019</v>
      </c>
      <c r="D668" t="s">
        <v>12</v>
      </c>
      <c r="E668" t="s">
        <v>9</v>
      </c>
      <c r="F668" t="s">
        <v>13</v>
      </c>
      <c r="G668" t="str">
        <f>VLOOKUP(A668,[1]Kreise!$A$1:$C$53,3,FALSE)</f>
        <v>K032</v>
      </c>
      <c r="H668">
        <v>6.5693430656934311</v>
      </c>
    </row>
    <row r="669" spans="1:8">
      <c r="A669">
        <v>3</v>
      </c>
      <c r="B669" t="s">
        <v>32</v>
      </c>
      <c r="C669">
        <v>2019</v>
      </c>
      <c r="D669" t="s">
        <v>12</v>
      </c>
      <c r="E669" t="s">
        <v>9</v>
      </c>
      <c r="F669" t="s">
        <v>13</v>
      </c>
      <c r="G669" t="str">
        <f>VLOOKUP(A669,[1]Kreise!$A$1:$C$53,3,FALSE)</f>
        <v>K033</v>
      </c>
      <c r="H669">
        <v>8.1920903954802249</v>
      </c>
    </row>
    <row r="670" spans="1:8">
      <c r="A670">
        <v>4</v>
      </c>
      <c r="B670" t="s">
        <v>33</v>
      </c>
      <c r="C670">
        <v>2019</v>
      </c>
      <c r="D670" t="s">
        <v>12</v>
      </c>
      <c r="E670" t="s">
        <v>9</v>
      </c>
      <c r="F670" t="s">
        <v>13</v>
      </c>
      <c r="G670" t="str">
        <f>VLOOKUP(A670,[1]Kreise!$A$1:$C$53,3,FALSE)</f>
        <v>K034</v>
      </c>
      <c r="H670">
        <v>7.379375591296121</v>
      </c>
    </row>
    <row r="671" spans="1:8">
      <c r="A671">
        <v>0</v>
      </c>
      <c r="B671" t="s">
        <v>34</v>
      </c>
      <c r="C671">
        <v>2019</v>
      </c>
      <c r="D671" t="s">
        <v>12</v>
      </c>
      <c r="E671" t="s">
        <v>9</v>
      </c>
      <c r="F671" t="s">
        <v>13</v>
      </c>
      <c r="G671" t="str">
        <f>VLOOKUP(A671,[1]Kreise!$A$1:$C$53,3,FALSE)</f>
        <v>K030</v>
      </c>
      <c r="H671">
        <v>7.8308207705192627</v>
      </c>
    </row>
    <row r="672" spans="1:8">
      <c r="A672">
        <v>1</v>
      </c>
      <c r="B672" t="s">
        <v>30</v>
      </c>
      <c r="C672">
        <v>2018</v>
      </c>
      <c r="D672" t="s">
        <v>12</v>
      </c>
      <c r="E672" t="s">
        <v>9</v>
      </c>
      <c r="F672" t="s">
        <v>13</v>
      </c>
      <c r="G672" t="str">
        <f>VLOOKUP(A672,[1]Kreise!$A$1:$C$53,3,FALSE)</f>
        <v>K031</v>
      </c>
      <c r="H672">
        <v>11.396011396011396</v>
      </c>
    </row>
    <row r="673" spans="1:8">
      <c r="A673">
        <v>2</v>
      </c>
      <c r="B673" t="s">
        <v>31</v>
      </c>
      <c r="C673">
        <v>2018</v>
      </c>
      <c r="D673" t="s">
        <v>12</v>
      </c>
      <c r="E673" t="s">
        <v>9</v>
      </c>
      <c r="F673" t="s">
        <v>13</v>
      </c>
      <c r="G673" t="str">
        <f>VLOOKUP(A673,[1]Kreise!$A$1:$C$53,3,FALSE)</f>
        <v>K032</v>
      </c>
      <c r="H673">
        <v>7.9482439926062849</v>
      </c>
    </row>
    <row r="674" spans="1:8">
      <c r="A674">
        <v>3</v>
      </c>
      <c r="B674" t="s">
        <v>32</v>
      </c>
      <c r="C674">
        <v>2018</v>
      </c>
      <c r="D674" t="s">
        <v>12</v>
      </c>
      <c r="E674" t="s">
        <v>9</v>
      </c>
      <c r="F674" t="s">
        <v>13</v>
      </c>
      <c r="G674" t="str">
        <f>VLOOKUP(A674,[1]Kreise!$A$1:$C$53,3,FALSE)</f>
        <v>K033</v>
      </c>
      <c r="H674">
        <v>9.0342679127725845</v>
      </c>
    </row>
    <row r="675" spans="1:8">
      <c r="A675">
        <v>4</v>
      </c>
      <c r="B675" t="s">
        <v>33</v>
      </c>
      <c r="C675">
        <v>2018</v>
      </c>
      <c r="D675" t="s">
        <v>12</v>
      </c>
      <c r="E675" t="s">
        <v>9</v>
      </c>
      <c r="F675" t="s">
        <v>13</v>
      </c>
      <c r="G675" t="str">
        <f>VLOOKUP(A675,[1]Kreise!$A$1:$C$53,3,FALSE)</f>
        <v>K034</v>
      </c>
      <c r="H675">
        <v>8.9371980676328491</v>
      </c>
    </row>
    <row r="676" spans="1:8">
      <c r="A676">
        <v>0</v>
      </c>
      <c r="B676" t="s">
        <v>34</v>
      </c>
      <c r="C676">
        <v>2018</v>
      </c>
      <c r="D676" t="s">
        <v>12</v>
      </c>
      <c r="E676" t="s">
        <v>9</v>
      </c>
      <c r="F676" t="s">
        <v>13</v>
      </c>
      <c r="G676" t="str">
        <f>VLOOKUP(A676,[1]Kreise!$A$1:$C$53,3,FALSE)</f>
        <v>K030</v>
      </c>
      <c r="H676">
        <v>9.1131798138167568</v>
      </c>
    </row>
    <row r="677" spans="1:8">
      <c r="A677">
        <v>1</v>
      </c>
      <c r="B677" t="s">
        <v>30</v>
      </c>
      <c r="C677">
        <v>2017</v>
      </c>
      <c r="D677" t="s">
        <v>12</v>
      </c>
      <c r="E677" t="s">
        <v>9</v>
      </c>
      <c r="F677" t="s">
        <v>13</v>
      </c>
      <c r="G677" t="str">
        <f>VLOOKUP(A677,[1]Kreise!$A$1:$C$53,3,FALSE)</f>
        <v>K031</v>
      </c>
      <c r="H677">
        <v>10.92436974789916</v>
      </c>
    </row>
    <row r="678" spans="1:8">
      <c r="A678">
        <v>2</v>
      </c>
      <c r="B678" t="s">
        <v>31</v>
      </c>
      <c r="C678">
        <v>2017</v>
      </c>
      <c r="D678" t="s">
        <v>12</v>
      </c>
      <c r="E678" t="s">
        <v>9</v>
      </c>
      <c r="F678" t="s">
        <v>13</v>
      </c>
      <c r="G678" t="str">
        <f>VLOOKUP(A678,[1]Kreise!$A$1:$C$53,3,FALSE)</f>
        <v>K032</v>
      </c>
      <c r="H678">
        <v>8.8122605363984672</v>
      </c>
    </row>
    <row r="679" spans="1:8">
      <c r="A679">
        <v>3</v>
      </c>
      <c r="B679" t="s">
        <v>32</v>
      </c>
      <c r="C679">
        <v>2017</v>
      </c>
      <c r="D679" t="s">
        <v>12</v>
      </c>
      <c r="E679" t="s">
        <v>9</v>
      </c>
      <c r="F679" t="s">
        <v>13</v>
      </c>
      <c r="G679" t="str">
        <f>VLOOKUP(A679,[1]Kreise!$A$1:$C$53,3,FALSE)</f>
        <v>K033</v>
      </c>
      <c r="H679">
        <v>6.4724919093851128</v>
      </c>
    </row>
    <row r="680" spans="1:8">
      <c r="A680">
        <v>4</v>
      </c>
      <c r="B680" t="s">
        <v>33</v>
      </c>
      <c r="C680">
        <v>2017</v>
      </c>
      <c r="D680" t="s">
        <v>12</v>
      </c>
      <c r="E680" t="s">
        <v>9</v>
      </c>
      <c r="F680" t="s">
        <v>13</v>
      </c>
      <c r="G680" t="str">
        <f>VLOOKUP(A680,[1]Kreise!$A$1:$C$53,3,FALSE)</f>
        <v>K034</v>
      </c>
      <c r="H680">
        <v>7.8326180257510734</v>
      </c>
    </row>
    <row r="681" spans="1:8">
      <c r="A681">
        <v>0</v>
      </c>
      <c r="B681" t="s">
        <v>34</v>
      </c>
      <c r="C681">
        <v>2017</v>
      </c>
      <c r="D681" t="s">
        <v>12</v>
      </c>
      <c r="E681" t="s">
        <v>9</v>
      </c>
      <c r="F681" t="s">
        <v>13</v>
      </c>
      <c r="G681" t="str">
        <f>VLOOKUP(A681,[1]Kreise!$A$1:$C$53,3,FALSE)</f>
        <v>K030</v>
      </c>
      <c r="H681">
        <v>8.3962264150943398</v>
      </c>
    </row>
    <row r="682" spans="1:8">
      <c r="A682">
        <v>1</v>
      </c>
      <c r="B682" t="s">
        <v>30</v>
      </c>
      <c r="C682">
        <v>2016</v>
      </c>
      <c r="D682" t="s">
        <v>12</v>
      </c>
      <c r="E682" t="s">
        <v>9</v>
      </c>
      <c r="F682" t="s">
        <v>13</v>
      </c>
      <c r="G682" t="str">
        <f>VLOOKUP(A682,[1]Kreise!$A$1:$C$53,3,FALSE)</f>
        <v>K031</v>
      </c>
      <c r="H682">
        <v>9.8039215686274517</v>
      </c>
    </row>
    <row r="683" spans="1:8">
      <c r="A683">
        <v>2</v>
      </c>
      <c r="B683" t="s">
        <v>31</v>
      </c>
      <c r="C683">
        <v>2016</v>
      </c>
      <c r="D683" t="s">
        <v>12</v>
      </c>
      <c r="E683" t="s">
        <v>9</v>
      </c>
      <c r="F683" t="s">
        <v>13</v>
      </c>
      <c r="G683" t="str">
        <f>VLOOKUP(A683,[1]Kreise!$A$1:$C$53,3,FALSE)</f>
        <v>K032</v>
      </c>
      <c r="H683">
        <v>7.8003120124804992</v>
      </c>
    </row>
    <row r="684" spans="1:8">
      <c r="A684">
        <v>3</v>
      </c>
      <c r="B684" t="s">
        <v>32</v>
      </c>
      <c r="C684">
        <v>2016</v>
      </c>
      <c r="D684" t="s">
        <v>12</v>
      </c>
      <c r="E684" t="s">
        <v>9</v>
      </c>
      <c r="F684" t="s">
        <v>13</v>
      </c>
      <c r="G684" t="str">
        <f>VLOOKUP(A684,[1]Kreise!$A$1:$C$53,3,FALSE)</f>
        <v>K033</v>
      </c>
      <c r="H684">
        <v>7.042253521126761</v>
      </c>
    </row>
    <row r="685" spans="1:8">
      <c r="A685">
        <v>4</v>
      </c>
      <c r="B685" t="s">
        <v>33</v>
      </c>
      <c r="C685">
        <v>2016</v>
      </c>
      <c r="D685" t="s">
        <v>12</v>
      </c>
      <c r="E685" t="s">
        <v>9</v>
      </c>
      <c r="F685" t="s">
        <v>13</v>
      </c>
      <c r="G685" t="str">
        <f>VLOOKUP(A685,[1]Kreise!$A$1:$C$53,3,FALSE)</f>
        <v>K034</v>
      </c>
      <c r="H685">
        <v>6.8359375</v>
      </c>
    </row>
    <row r="686" spans="1:8">
      <c r="A686">
        <v>0</v>
      </c>
      <c r="B686" t="s">
        <v>34</v>
      </c>
      <c r="C686">
        <v>2016</v>
      </c>
      <c r="D686" t="s">
        <v>12</v>
      </c>
      <c r="E686" t="s">
        <v>9</v>
      </c>
      <c r="F686" t="s">
        <v>13</v>
      </c>
      <c r="G686" t="str">
        <f>VLOOKUP(A686,[1]Kreise!$A$1:$C$53,3,FALSE)</f>
        <v>K030</v>
      </c>
      <c r="H686">
        <v>7.6194398682042834</v>
      </c>
    </row>
    <row r="687" spans="1:8">
      <c r="A687">
        <v>1</v>
      </c>
      <c r="B687" t="s">
        <v>30</v>
      </c>
      <c r="C687">
        <v>2015</v>
      </c>
      <c r="D687" t="s">
        <v>12</v>
      </c>
      <c r="E687" t="s">
        <v>9</v>
      </c>
      <c r="F687" t="s">
        <v>13</v>
      </c>
      <c r="G687" t="str">
        <f>VLOOKUP(A687,[1]Kreise!$A$1:$C$53,3,FALSE)</f>
        <v>K031</v>
      </c>
      <c r="H687">
        <v>10.444874274661508</v>
      </c>
    </row>
    <row r="688" spans="1:8">
      <c r="A688">
        <v>2</v>
      </c>
      <c r="B688" t="s">
        <v>31</v>
      </c>
      <c r="C688">
        <v>2015</v>
      </c>
      <c r="D688" t="s">
        <v>12</v>
      </c>
      <c r="E688" t="s">
        <v>9</v>
      </c>
      <c r="F688" t="s">
        <v>13</v>
      </c>
      <c r="G688" t="str">
        <f>VLOOKUP(A688,[1]Kreise!$A$1:$C$53,3,FALSE)</f>
        <v>K032</v>
      </c>
      <c r="H688">
        <v>9.2987804878048781</v>
      </c>
    </row>
    <row r="689" spans="1:8">
      <c r="A689">
        <v>3</v>
      </c>
      <c r="B689" t="s">
        <v>32</v>
      </c>
      <c r="C689">
        <v>2015</v>
      </c>
      <c r="D689" t="s">
        <v>12</v>
      </c>
      <c r="E689" t="s">
        <v>9</v>
      </c>
      <c r="F689" t="s">
        <v>13</v>
      </c>
      <c r="G689" t="str">
        <f>VLOOKUP(A689,[1]Kreise!$A$1:$C$53,3,FALSE)</f>
        <v>K033</v>
      </c>
      <c r="H689">
        <v>7.3118279569892479</v>
      </c>
    </row>
    <row r="690" spans="1:8">
      <c r="A690">
        <v>4</v>
      </c>
      <c r="B690" t="s">
        <v>33</v>
      </c>
      <c r="C690">
        <v>2015</v>
      </c>
      <c r="D690" t="s">
        <v>12</v>
      </c>
      <c r="E690" t="s">
        <v>9</v>
      </c>
      <c r="F690" t="s">
        <v>13</v>
      </c>
      <c r="G690" t="str">
        <f>VLOOKUP(A690,[1]Kreise!$A$1:$C$53,3,FALSE)</f>
        <v>K034</v>
      </c>
      <c r="H690">
        <v>6.7753001715265864</v>
      </c>
    </row>
    <row r="691" spans="1:8">
      <c r="A691">
        <v>0</v>
      </c>
      <c r="B691" t="s">
        <v>34</v>
      </c>
      <c r="C691">
        <v>2015</v>
      </c>
      <c r="D691" t="s">
        <v>12</v>
      </c>
      <c r="E691" t="s">
        <v>9</v>
      </c>
      <c r="F691" t="s">
        <v>13</v>
      </c>
      <c r="G691" t="str">
        <f>VLOOKUP(A691,[1]Kreise!$A$1:$C$53,3,FALSE)</f>
        <v>K030</v>
      </c>
      <c r="H691">
        <v>8.1312410841654774</v>
      </c>
    </row>
    <row r="692" spans="1:8">
      <c r="A692">
        <v>1</v>
      </c>
      <c r="B692" t="s">
        <v>145</v>
      </c>
      <c r="C692">
        <v>2014</v>
      </c>
      <c r="D692" t="s">
        <v>12</v>
      </c>
      <c r="E692" t="s">
        <v>9</v>
      </c>
      <c r="F692" t="s">
        <v>13</v>
      </c>
      <c r="G692" t="str">
        <f>VLOOKUP(A692,[1]Kreise!$A$1:$C$53,3,FALSE)</f>
        <v>K031</v>
      </c>
      <c r="H692">
        <v>8.159392789373813</v>
      </c>
    </row>
    <row r="693" spans="1:8">
      <c r="A693">
        <v>2</v>
      </c>
      <c r="B693" t="s">
        <v>146</v>
      </c>
      <c r="C693">
        <v>2014</v>
      </c>
      <c r="D693" t="s">
        <v>12</v>
      </c>
      <c r="E693" t="s">
        <v>9</v>
      </c>
      <c r="F693" t="s">
        <v>13</v>
      </c>
      <c r="G693" t="str">
        <f>VLOOKUP(A693,[1]Kreise!$A$1:$C$53,3,FALSE)</f>
        <v>K032</v>
      </c>
      <c r="H693">
        <v>13.473423980222496</v>
      </c>
    </row>
    <row r="694" spans="1:8">
      <c r="A694">
        <v>3</v>
      </c>
      <c r="B694" t="s">
        <v>147</v>
      </c>
      <c r="C694">
        <v>2014</v>
      </c>
      <c r="D694" t="s">
        <v>12</v>
      </c>
      <c r="E694" t="s">
        <v>9</v>
      </c>
      <c r="F694" t="s">
        <v>13</v>
      </c>
      <c r="G694" t="str">
        <f>VLOOKUP(A694,[1]Kreise!$A$1:$C$53,3,FALSE)</f>
        <v>K033</v>
      </c>
      <c r="H694">
        <v>9.8786828422876951</v>
      </c>
    </row>
    <row r="695" spans="1:8">
      <c r="A695">
        <v>4</v>
      </c>
      <c r="B695" t="s">
        <v>148</v>
      </c>
      <c r="C695">
        <v>2014</v>
      </c>
      <c r="D695" t="s">
        <v>12</v>
      </c>
      <c r="E695" t="s">
        <v>9</v>
      </c>
      <c r="F695" t="s">
        <v>13</v>
      </c>
      <c r="G695" t="str">
        <f>VLOOKUP(A695,[1]Kreise!$A$1:$C$53,3,FALSE)</f>
        <v>K034</v>
      </c>
      <c r="H695">
        <v>8.1831831831831838</v>
      </c>
    </row>
    <row r="696" spans="1:8">
      <c r="A696">
        <v>0</v>
      </c>
      <c r="B696" t="s">
        <v>34</v>
      </c>
      <c r="C696">
        <v>2014</v>
      </c>
      <c r="D696" t="s">
        <v>12</v>
      </c>
      <c r="E696" t="s">
        <v>9</v>
      </c>
      <c r="F696" t="s">
        <v>13</v>
      </c>
      <c r="G696" t="str">
        <f>VLOOKUP(A696,[1]Kreise!$A$1:$C$53,3,FALSE)</f>
        <v>K030</v>
      </c>
      <c r="H696">
        <v>9.7996918335901384</v>
      </c>
    </row>
    <row r="697" spans="1:8">
      <c r="A697">
        <v>1</v>
      </c>
      <c r="B697" t="s">
        <v>30</v>
      </c>
      <c r="C697">
        <v>2013</v>
      </c>
      <c r="D697" t="s">
        <v>12</v>
      </c>
      <c r="E697" t="s">
        <v>9</v>
      </c>
      <c r="F697" t="s">
        <v>13</v>
      </c>
      <c r="G697" t="str">
        <f>VLOOKUP(A697,[1]Kreise!$A$1:$C$53,3,FALSE)</f>
        <v>K031</v>
      </c>
      <c r="H697">
        <v>11.952861952861953</v>
      </c>
    </row>
    <row r="698" spans="1:8">
      <c r="A698">
        <v>2</v>
      </c>
      <c r="B698" t="s">
        <v>31</v>
      </c>
      <c r="C698">
        <v>2013</v>
      </c>
      <c r="D698" t="s">
        <v>12</v>
      </c>
      <c r="E698" t="s">
        <v>9</v>
      </c>
      <c r="F698" t="s">
        <v>13</v>
      </c>
      <c r="G698" t="str">
        <f>VLOOKUP(A698,[1]Kreise!$A$1:$C$53,3,FALSE)</f>
        <v>K032</v>
      </c>
      <c r="H698">
        <v>13.228155339805825</v>
      </c>
    </row>
    <row r="699" spans="1:8">
      <c r="A699">
        <v>3</v>
      </c>
      <c r="B699" t="s">
        <v>32</v>
      </c>
      <c r="C699">
        <v>2013</v>
      </c>
      <c r="D699" t="s">
        <v>12</v>
      </c>
      <c r="E699" t="s">
        <v>9</v>
      </c>
      <c r="F699" t="s">
        <v>13</v>
      </c>
      <c r="G699" t="str">
        <f>VLOOKUP(A699,[1]Kreise!$A$1:$C$53,3,FALSE)</f>
        <v>K033</v>
      </c>
      <c r="H699">
        <v>8.7431693989071047</v>
      </c>
    </row>
    <row r="700" spans="1:8">
      <c r="A700">
        <v>4</v>
      </c>
      <c r="B700" t="s">
        <v>33</v>
      </c>
      <c r="C700">
        <v>2013</v>
      </c>
      <c r="D700" t="s">
        <v>12</v>
      </c>
      <c r="E700" t="s">
        <v>9</v>
      </c>
      <c r="F700" t="s">
        <v>13</v>
      </c>
      <c r="G700" t="str">
        <f>VLOOKUP(A700,[1]Kreise!$A$1:$C$53,3,FALSE)</f>
        <v>K034</v>
      </c>
      <c r="H700">
        <v>8.6092715231788084</v>
      </c>
    </row>
    <row r="701" spans="1:8">
      <c r="A701">
        <v>0</v>
      </c>
      <c r="B701" t="s">
        <v>34</v>
      </c>
      <c r="C701">
        <v>2013</v>
      </c>
      <c r="D701" t="s">
        <v>12</v>
      </c>
      <c r="E701" t="s">
        <v>9</v>
      </c>
      <c r="F701" t="s">
        <v>13</v>
      </c>
      <c r="G701" t="str">
        <f>VLOOKUP(A701,[1]Kreise!$A$1:$C$53,3,FALSE)</f>
        <v>K030</v>
      </c>
      <c r="H701">
        <v>10.372820204449789</v>
      </c>
    </row>
    <row r="702" spans="1:8">
      <c r="A702">
        <v>1</v>
      </c>
      <c r="B702" t="s">
        <v>145</v>
      </c>
      <c r="C702">
        <v>2012</v>
      </c>
      <c r="D702" t="s">
        <v>12</v>
      </c>
      <c r="E702" t="s">
        <v>9</v>
      </c>
      <c r="F702" t="s">
        <v>13</v>
      </c>
      <c r="G702" t="str">
        <f>VLOOKUP(A702,[1]Kreise!$A$1:$C$53,3,FALSE)</f>
        <v>K031</v>
      </c>
      <c r="H702">
        <v>12.779552715654951</v>
      </c>
    </row>
    <row r="703" spans="1:8">
      <c r="A703">
        <v>2</v>
      </c>
      <c r="B703" t="s">
        <v>146</v>
      </c>
      <c r="C703">
        <v>2012</v>
      </c>
      <c r="D703" t="s">
        <v>12</v>
      </c>
      <c r="E703" t="s">
        <v>9</v>
      </c>
      <c r="F703" t="s">
        <v>13</v>
      </c>
      <c r="G703" t="str">
        <f>VLOOKUP(A703,[1]Kreise!$A$1:$C$53,3,FALSE)</f>
        <v>K032</v>
      </c>
      <c r="H703">
        <v>16.853932584269664</v>
      </c>
    </row>
    <row r="704" spans="1:8">
      <c r="A704">
        <v>3</v>
      </c>
      <c r="B704" t="s">
        <v>147</v>
      </c>
      <c r="C704">
        <v>2012</v>
      </c>
      <c r="D704" t="s">
        <v>12</v>
      </c>
      <c r="E704" t="s">
        <v>9</v>
      </c>
      <c r="F704" t="s">
        <v>13</v>
      </c>
      <c r="G704" t="str">
        <f>VLOOKUP(A704,[1]Kreise!$A$1:$C$53,3,FALSE)</f>
        <v>K033</v>
      </c>
      <c r="H704">
        <v>10.094637223974763</v>
      </c>
    </row>
    <row r="705" spans="1:8">
      <c r="A705">
        <v>4</v>
      </c>
      <c r="B705" t="s">
        <v>148</v>
      </c>
      <c r="C705">
        <v>2012</v>
      </c>
      <c r="D705" t="s">
        <v>12</v>
      </c>
      <c r="E705" t="s">
        <v>9</v>
      </c>
      <c r="F705" t="s">
        <v>13</v>
      </c>
      <c r="G705" t="str">
        <f>VLOOKUP(A705,[1]Kreise!$A$1:$C$53,3,FALSE)</f>
        <v>K034</v>
      </c>
      <c r="H705">
        <v>10.022271714922049</v>
      </c>
    </row>
    <row r="706" spans="1:8">
      <c r="A706">
        <v>0</v>
      </c>
      <c r="B706" t="s">
        <v>34</v>
      </c>
      <c r="C706">
        <v>2012</v>
      </c>
      <c r="D706" t="s">
        <v>12</v>
      </c>
      <c r="E706" t="s">
        <v>9</v>
      </c>
      <c r="F706" t="s">
        <v>13</v>
      </c>
      <c r="G706" t="str">
        <f>VLOOKUP(A706,[1]Kreise!$A$1:$C$53,3,FALSE)</f>
        <v>K030</v>
      </c>
      <c r="H706">
        <v>12.38148354712772</v>
      </c>
    </row>
    <row r="707" spans="1:8">
      <c r="A707">
        <v>1</v>
      </c>
      <c r="B707" t="s">
        <v>30</v>
      </c>
      <c r="C707">
        <v>2011</v>
      </c>
      <c r="D707" t="s">
        <v>12</v>
      </c>
      <c r="E707" t="s">
        <v>9</v>
      </c>
      <c r="F707" t="s">
        <v>13</v>
      </c>
      <c r="G707" t="str">
        <f>VLOOKUP(A707,[1]Kreise!$A$1:$C$53,3,FALSE)</f>
        <v>K031</v>
      </c>
      <c r="H707">
        <v>16.8</v>
      </c>
    </row>
    <row r="708" spans="1:8">
      <c r="A708">
        <v>2</v>
      </c>
      <c r="B708" t="s">
        <v>31</v>
      </c>
      <c r="C708">
        <v>2011</v>
      </c>
      <c r="D708" t="s">
        <v>12</v>
      </c>
      <c r="E708" t="s">
        <v>9</v>
      </c>
      <c r="F708" t="s">
        <v>13</v>
      </c>
      <c r="G708" t="str">
        <f>VLOOKUP(A708,[1]Kreise!$A$1:$C$53,3,FALSE)</f>
        <v>K032</v>
      </c>
      <c r="H708">
        <v>18.773946360153257</v>
      </c>
    </row>
    <row r="709" spans="1:8">
      <c r="A709">
        <v>3</v>
      </c>
      <c r="B709" t="s">
        <v>32</v>
      </c>
      <c r="C709">
        <v>2011</v>
      </c>
      <c r="D709" t="s">
        <v>12</v>
      </c>
      <c r="E709" t="s">
        <v>9</v>
      </c>
      <c r="F709" t="s">
        <v>13</v>
      </c>
      <c r="G709" t="str">
        <f>VLOOKUP(A709,[1]Kreise!$A$1:$C$53,3,FALSE)</f>
        <v>K033</v>
      </c>
      <c r="H709">
        <v>12.121212121212121</v>
      </c>
    </row>
    <row r="710" spans="1:8">
      <c r="A710">
        <v>4</v>
      </c>
      <c r="B710" t="s">
        <v>33</v>
      </c>
      <c r="C710">
        <v>2011</v>
      </c>
      <c r="D710" t="s">
        <v>12</v>
      </c>
      <c r="E710" t="s">
        <v>9</v>
      </c>
      <c r="F710" t="s">
        <v>13</v>
      </c>
      <c r="G710" t="str">
        <f>VLOOKUP(A710,[1]Kreise!$A$1:$C$53,3,FALSE)</f>
        <v>K034</v>
      </c>
      <c r="H710">
        <v>10.973837209302326</v>
      </c>
    </row>
    <row r="711" spans="1:8">
      <c r="A711">
        <v>0</v>
      </c>
      <c r="B711" t="s">
        <v>34</v>
      </c>
      <c r="C711">
        <v>2011</v>
      </c>
      <c r="D711" t="s">
        <v>12</v>
      </c>
      <c r="E711" t="s">
        <v>9</v>
      </c>
      <c r="F711" t="s">
        <v>13</v>
      </c>
      <c r="G711" t="str">
        <f>VLOOKUP(A711,[1]Kreise!$A$1:$C$53,3,FALSE)</f>
        <v>K030</v>
      </c>
      <c r="H711">
        <v>14.339218833600857</v>
      </c>
    </row>
    <row r="712" spans="1:8">
      <c r="A712">
        <v>1</v>
      </c>
      <c r="B712" t="s">
        <v>145</v>
      </c>
      <c r="C712">
        <v>2010</v>
      </c>
      <c r="D712" t="s">
        <v>12</v>
      </c>
      <c r="E712" t="s">
        <v>9</v>
      </c>
      <c r="F712" t="s">
        <v>13</v>
      </c>
      <c r="G712" t="str">
        <f>VLOOKUP(A712,[1]Kreise!$A$1:$C$53,3,FALSE)</f>
        <v>K031</v>
      </c>
      <c r="H712">
        <v>16.771159874608148</v>
      </c>
    </row>
    <row r="713" spans="1:8">
      <c r="A713">
        <v>2</v>
      </c>
      <c r="B713" t="s">
        <v>146</v>
      </c>
      <c r="C713">
        <v>2010</v>
      </c>
      <c r="D713" t="s">
        <v>12</v>
      </c>
      <c r="E713" t="s">
        <v>9</v>
      </c>
      <c r="F713" t="s">
        <v>13</v>
      </c>
      <c r="G713" t="str">
        <f>VLOOKUP(A713,[1]Kreise!$A$1:$C$53,3,FALSE)</f>
        <v>K032</v>
      </c>
      <c r="H713">
        <v>19.676806083650188</v>
      </c>
    </row>
    <row r="714" spans="1:8">
      <c r="A714">
        <v>3</v>
      </c>
      <c r="B714" t="s">
        <v>147</v>
      </c>
      <c r="C714">
        <v>2010</v>
      </c>
      <c r="D714" t="s">
        <v>12</v>
      </c>
      <c r="E714" t="s">
        <v>9</v>
      </c>
      <c r="F714" t="s">
        <v>13</v>
      </c>
      <c r="G714" t="str">
        <f>VLOOKUP(A714,[1]Kreise!$A$1:$C$53,3,FALSE)</f>
        <v>K033</v>
      </c>
      <c r="H714">
        <v>8.7091757387247277</v>
      </c>
    </row>
    <row r="715" spans="1:8">
      <c r="A715">
        <v>4</v>
      </c>
      <c r="B715" t="s">
        <v>148</v>
      </c>
      <c r="C715">
        <v>2010</v>
      </c>
      <c r="D715" t="s">
        <v>12</v>
      </c>
      <c r="E715" t="s">
        <v>9</v>
      </c>
      <c r="F715" t="s">
        <v>13</v>
      </c>
      <c r="G715" t="str">
        <f>VLOOKUP(A715,[1]Kreise!$A$1:$C$53,3,FALSE)</f>
        <v>K034</v>
      </c>
      <c r="H715">
        <v>9.8958333333333321</v>
      </c>
    </row>
    <row r="716" spans="1:8">
      <c r="A716">
        <v>0</v>
      </c>
      <c r="B716" t="s">
        <v>34</v>
      </c>
      <c r="C716">
        <v>2010</v>
      </c>
      <c r="D716" t="s">
        <v>12</v>
      </c>
      <c r="E716" t="s">
        <v>9</v>
      </c>
      <c r="F716" t="s">
        <v>13</v>
      </c>
      <c r="G716" t="str">
        <f>VLOOKUP(A716,[1]Kreise!$A$1:$C$53,3,FALSE)</f>
        <v>K030</v>
      </c>
      <c r="H716">
        <v>13.679630133260812</v>
      </c>
    </row>
    <row r="717" spans="1:8">
      <c r="A717">
        <v>1</v>
      </c>
      <c r="B717" t="s">
        <v>145</v>
      </c>
      <c r="C717">
        <v>2005</v>
      </c>
      <c r="D717" t="s">
        <v>12</v>
      </c>
      <c r="E717" t="s">
        <v>9</v>
      </c>
      <c r="F717" t="s">
        <v>13</v>
      </c>
      <c r="G717" t="str">
        <f>VLOOKUP(A717,[1]Kreise!$A$1:$C$53,3,FALSE)</f>
        <v>K031</v>
      </c>
      <c r="H717">
        <v>17.534537725823593</v>
      </c>
    </row>
    <row r="718" spans="1:8">
      <c r="A718">
        <v>2</v>
      </c>
      <c r="B718" t="s">
        <v>146</v>
      </c>
      <c r="C718">
        <v>2005</v>
      </c>
      <c r="D718" t="s">
        <v>12</v>
      </c>
      <c r="E718" t="s">
        <v>9</v>
      </c>
      <c r="F718" t="s">
        <v>13</v>
      </c>
      <c r="G718" t="str">
        <f>VLOOKUP(A718,[1]Kreise!$A$1:$C$53,3,FALSE)</f>
        <v>K032</v>
      </c>
      <c r="H718">
        <v>22.938530734632685</v>
      </c>
    </row>
    <row r="719" spans="1:8">
      <c r="A719">
        <v>3</v>
      </c>
      <c r="B719" t="s">
        <v>147</v>
      </c>
      <c r="C719">
        <v>2005</v>
      </c>
      <c r="D719" t="s">
        <v>12</v>
      </c>
      <c r="E719" t="s">
        <v>9</v>
      </c>
      <c r="F719" t="s">
        <v>13</v>
      </c>
      <c r="G719" t="str">
        <f>VLOOKUP(A719,[1]Kreise!$A$1:$C$53,3,FALSE)</f>
        <v>K033</v>
      </c>
      <c r="H719">
        <v>14.345549738219896</v>
      </c>
    </row>
    <row r="720" spans="1:8">
      <c r="A720">
        <v>4</v>
      </c>
      <c r="B720" t="s">
        <v>148</v>
      </c>
      <c r="C720">
        <v>2005</v>
      </c>
      <c r="D720" t="s">
        <v>12</v>
      </c>
      <c r="E720" t="s">
        <v>9</v>
      </c>
      <c r="F720" t="s">
        <v>13</v>
      </c>
      <c r="G720" t="str">
        <f>VLOOKUP(A720,[1]Kreise!$A$1:$C$53,3,FALSE)</f>
        <v>K034</v>
      </c>
      <c r="H720">
        <v>13.034300791556728</v>
      </c>
    </row>
    <row r="721" spans="1:8">
      <c r="A721">
        <v>0</v>
      </c>
      <c r="B721" t="s">
        <v>34</v>
      </c>
      <c r="C721">
        <v>2005</v>
      </c>
      <c r="D721" t="s">
        <v>12</v>
      </c>
      <c r="E721" t="s">
        <v>9</v>
      </c>
      <c r="F721" t="s">
        <v>13</v>
      </c>
      <c r="G721" t="str">
        <f>VLOOKUP(A721,[1]Kreise!$A$1:$C$53,3,FALSE)</f>
        <v>K030</v>
      </c>
      <c r="H721">
        <v>16.682926829268293</v>
      </c>
    </row>
    <row r="722" spans="1:8">
      <c r="A722">
        <v>1</v>
      </c>
      <c r="B722" t="s">
        <v>30</v>
      </c>
      <c r="C722">
        <v>2020</v>
      </c>
      <c r="D722" t="s">
        <v>11</v>
      </c>
      <c r="E722" t="s">
        <v>10</v>
      </c>
      <c r="F722" t="s">
        <v>13</v>
      </c>
      <c r="G722" t="str">
        <f>VLOOKUP(A722,[1]Kreise!$A$1:$C$53,3,FALSE)</f>
        <v>K031</v>
      </c>
      <c r="H722">
        <v>89.781123658162556</v>
      </c>
    </row>
    <row r="723" spans="1:8">
      <c r="A723">
        <v>2</v>
      </c>
      <c r="B723" t="s">
        <v>31</v>
      </c>
      <c r="C723">
        <v>2020</v>
      </c>
      <c r="D723" t="s">
        <v>11</v>
      </c>
      <c r="E723" t="s">
        <v>10</v>
      </c>
      <c r="F723" t="s">
        <v>13</v>
      </c>
      <c r="G723" t="str">
        <f>VLOOKUP(A723,[1]Kreise!$A$1:$C$53,3,FALSE)</f>
        <v>K032</v>
      </c>
      <c r="H723">
        <v>88.027993001749564</v>
      </c>
    </row>
    <row r="724" spans="1:8">
      <c r="A724">
        <v>3</v>
      </c>
      <c r="B724" t="s">
        <v>32</v>
      </c>
      <c r="C724">
        <v>2020</v>
      </c>
      <c r="D724" t="s">
        <v>11</v>
      </c>
      <c r="E724" t="s">
        <v>10</v>
      </c>
      <c r="F724" t="s">
        <v>13</v>
      </c>
      <c r="G724" t="str">
        <f>VLOOKUP(A724,[1]Kreise!$A$1:$C$53,3,FALSE)</f>
        <v>K033</v>
      </c>
      <c r="H724">
        <v>91.816626349637147</v>
      </c>
    </row>
    <row r="725" spans="1:8">
      <c r="A725">
        <v>4</v>
      </c>
      <c r="B725" t="s">
        <v>33</v>
      </c>
      <c r="C725">
        <v>2020</v>
      </c>
      <c r="D725" t="s">
        <v>11</v>
      </c>
      <c r="E725" t="s">
        <v>10</v>
      </c>
      <c r="F725" t="s">
        <v>13</v>
      </c>
      <c r="G725" t="str">
        <f>VLOOKUP(A725,[1]Kreise!$A$1:$C$53,3,FALSE)</f>
        <v>K034</v>
      </c>
      <c r="H725">
        <v>89.30634670544984</v>
      </c>
    </row>
    <row r="726" spans="1:8">
      <c r="A726">
        <v>0</v>
      </c>
      <c r="B726" t="s">
        <v>34</v>
      </c>
      <c r="C726">
        <v>2020</v>
      </c>
      <c r="D726" t="s">
        <v>11</v>
      </c>
      <c r="E726" t="s">
        <v>10</v>
      </c>
      <c r="F726" t="s">
        <v>13</v>
      </c>
      <c r="G726" t="str">
        <f>VLOOKUP(A726,[1]Kreise!$A$1:$C$53,3,FALSE)</f>
        <v>K030</v>
      </c>
      <c r="H726">
        <v>89.61908143005536</v>
      </c>
    </row>
    <row r="727" spans="1:8">
      <c r="A727">
        <v>1</v>
      </c>
      <c r="B727" t="s">
        <v>30</v>
      </c>
      <c r="C727">
        <v>2019</v>
      </c>
      <c r="D727" t="s">
        <v>11</v>
      </c>
      <c r="E727" t="s">
        <v>10</v>
      </c>
      <c r="F727" t="s">
        <v>13</v>
      </c>
      <c r="G727" t="str">
        <f>VLOOKUP(A727,[1]Kreise!$A$1:$C$53,3,FALSE)</f>
        <v>K031</v>
      </c>
      <c r="H727">
        <v>90.731344293349565</v>
      </c>
    </row>
    <row r="728" spans="1:8">
      <c r="A728">
        <v>2</v>
      </c>
      <c r="B728" t="s">
        <v>31</v>
      </c>
      <c r="C728">
        <v>2019</v>
      </c>
      <c r="D728" t="s">
        <v>11</v>
      </c>
      <c r="E728" t="s">
        <v>10</v>
      </c>
      <c r="F728" t="s">
        <v>13</v>
      </c>
      <c r="G728" t="str">
        <f>VLOOKUP(A728,[1]Kreise!$A$1:$C$53,3,FALSE)</f>
        <v>K032</v>
      </c>
      <c r="H728">
        <v>88.945827232796475</v>
      </c>
    </row>
    <row r="729" spans="1:8">
      <c r="A729">
        <v>3</v>
      </c>
      <c r="B729" t="s">
        <v>32</v>
      </c>
      <c r="C729">
        <v>2019</v>
      </c>
      <c r="D729" t="s">
        <v>11</v>
      </c>
      <c r="E729" t="s">
        <v>10</v>
      </c>
      <c r="F729" t="s">
        <v>13</v>
      </c>
      <c r="G729" t="str">
        <f>VLOOKUP(A729,[1]Kreise!$A$1:$C$53,3,FALSE)</f>
        <v>K033</v>
      </c>
      <c r="H729">
        <v>92.85591422510177</v>
      </c>
    </row>
    <row r="730" spans="1:8">
      <c r="A730">
        <v>4</v>
      </c>
      <c r="B730" t="s">
        <v>33</v>
      </c>
      <c r="C730">
        <v>2019</v>
      </c>
      <c r="D730" t="s">
        <v>11</v>
      </c>
      <c r="E730" t="s">
        <v>10</v>
      </c>
      <c r="F730" t="s">
        <v>13</v>
      </c>
      <c r="G730" t="str">
        <f>VLOOKUP(A730,[1]Kreise!$A$1:$C$53,3,FALSE)</f>
        <v>K034</v>
      </c>
      <c r="H730">
        <v>90.678195082410156</v>
      </c>
    </row>
    <row r="731" spans="1:8">
      <c r="A731">
        <v>0</v>
      </c>
      <c r="B731" t="s">
        <v>34</v>
      </c>
      <c r="C731">
        <v>2019</v>
      </c>
      <c r="D731" t="s">
        <v>11</v>
      </c>
      <c r="E731" t="s">
        <v>10</v>
      </c>
      <c r="F731" t="s">
        <v>13</v>
      </c>
      <c r="G731" t="str">
        <f>VLOOKUP(A731,[1]Kreise!$A$1:$C$53,3,FALSE)</f>
        <v>K030</v>
      </c>
      <c r="H731">
        <v>90.719800557117239</v>
      </c>
    </row>
    <row r="732" spans="1:8">
      <c r="A732">
        <v>1</v>
      </c>
      <c r="B732" t="s">
        <v>30</v>
      </c>
      <c r="C732">
        <v>2018</v>
      </c>
      <c r="D732" t="s">
        <v>11</v>
      </c>
      <c r="E732" t="s">
        <v>10</v>
      </c>
      <c r="F732" t="s">
        <v>13</v>
      </c>
      <c r="G732" t="str">
        <f>VLOOKUP(A732,[1]Kreise!$A$1:$C$53,3,FALSE)</f>
        <v>K031</v>
      </c>
      <c r="H732">
        <v>91.40630341149928</v>
      </c>
    </row>
    <row r="733" spans="1:8">
      <c r="A733">
        <v>2</v>
      </c>
      <c r="B733" t="s">
        <v>31</v>
      </c>
      <c r="C733">
        <v>2018</v>
      </c>
      <c r="D733" t="s">
        <v>11</v>
      </c>
      <c r="E733" t="s">
        <v>10</v>
      </c>
      <c r="F733" t="s">
        <v>13</v>
      </c>
      <c r="G733" t="str">
        <f>VLOOKUP(A733,[1]Kreise!$A$1:$C$53,3,FALSE)</f>
        <v>K032</v>
      </c>
      <c r="H733">
        <v>89.893076588127158</v>
      </c>
    </row>
    <row r="734" spans="1:8">
      <c r="A734">
        <v>3</v>
      </c>
      <c r="B734" t="s">
        <v>32</v>
      </c>
      <c r="C734">
        <v>2018</v>
      </c>
      <c r="D734" t="s">
        <v>11</v>
      </c>
      <c r="E734" t="s">
        <v>10</v>
      </c>
      <c r="F734" t="s">
        <v>13</v>
      </c>
      <c r="G734" t="str">
        <f>VLOOKUP(A734,[1]Kreise!$A$1:$C$53,3,FALSE)</f>
        <v>K033</v>
      </c>
      <c r="H734">
        <v>93.327342170298806</v>
      </c>
    </row>
    <row r="735" spans="1:8">
      <c r="A735">
        <v>4</v>
      </c>
      <c r="B735" t="s">
        <v>33</v>
      </c>
      <c r="C735">
        <v>2018</v>
      </c>
      <c r="D735" t="s">
        <v>11</v>
      </c>
      <c r="E735" t="s">
        <v>10</v>
      </c>
      <c r="F735" t="s">
        <v>13</v>
      </c>
      <c r="G735" t="str">
        <f>VLOOKUP(A735,[1]Kreise!$A$1:$C$53,3,FALSE)</f>
        <v>K034</v>
      </c>
      <c r="H735">
        <v>91.775299525280687</v>
      </c>
    </row>
    <row r="736" spans="1:8">
      <c r="A736">
        <v>0</v>
      </c>
      <c r="B736" t="s">
        <v>34</v>
      </c>
      <c r="C736">
        <v>2018</v>
      </c>
      <c r="D736" t="s">
        <v>11</v>
      </c>
      <c r="E736" t="s">
        <v>10</v>
      </c>
      <c r="F736" t="s">
        <v>13</v>
      </c>
      <c r="G736" t="str">
        <f>VLOOKUP(A736,[1]Kreise!$A$1:$C$53,3,FALSE)</f>
        <v>K030</v>
      </c>
      <c r="H736">
        <v>91.566007885286666</v>
      </c>
    </row>
    <row r="737" spans="1:8">
      <c r="A737">
        <v>1</v>
      </c>
      <c r="B737" t="s">
        <v>30</v>
      </c>
      <c r="C737">
        <v>2017</v>
      </c>
      <c r="D737" t="s">
        <v>11</v>
      </c>
      <c r="E737" t="s">
        <v>10</v>
      </c>
      <c r="F737" t="s">
        <v>13</v>
      </c>
      <c r="G737" t="str">
        <f>VLOOKUP(A737,[1]Kreise!$A$1:$C$53,3,FALSE)</f>
        <v>K031</v>
      </c>
      <c r="H737">
        <v>92.095289658906339</v>
      </c>
    </row>
    <row r="738" spans="1:8">
      <c r="A738">
        <v>2</v>
      </c>
      <c r="B738" t="s">
        <v>31</v>
      </c>
      <c r="C738">
        <v>2017</v>
      </c>
      <c r="D738" t="s">
        <v>11</v>
      </c>
      <c r="E738" t="s">
        <v>10</v>
      </c>
      <c r="F738" t="s">
        <v>13</v>
      </c>
      <c r="G738" t="str">
        <f>VLOOKUP(A738,[1]Kreise!$A$1:$C$53,3,FALSE)</f>
        <v>K032</v>
      </c>
      <c r="H738">
        <v>90.536139600447186</v>
      </c>
    </row>
    <row r="739" spans="1:8">
      <c r="A739">
        <v>3</v>
      </c>
      <c r="B739" t="s">
        <v>32</v>
      </c>
      <c r="C739">
        <v>2017</v>
      </c>
      <c r="D739" t="s">
        <v>11</v>
      </c>
      <c r="E739" t="s">
        <v>10</v>
      </c>
      <c r="F739" t="s">
        <v>13</v>
      </c>
      <c r="G739" t="str">
        <f>VLOOKUP(A739,[1]Kreise!$A$1:$C$53,3,FALSE)</f>
        <v>K033</v>
      </c>
      <c r="H739">
        <v>94.226353810830489</v>
      </c>
    </row>
    <row r="740" spans="1:8">
      <c r="A740">
        <v>4</v>
      </c>
      <c r="B740" t="s">
        <v>33</v>
      </c>
      <c r="C740">
        <v>2017</v>
      </c>
      <c r="D740" t="s">
        <v>11</v>
      </c>
      <c r="E740" t="s">
        <v>10</v>
      </c>
      <c r="F740" t="s">
        <v>13</v>
      </c>
      <c r="G740" t="str">
        <f>VLOOKUP(A740,[1]Kreise!$A$1:$C$53,3,FALSE)</f>
        <v>K034</v>
      </c>
      <c r="H740">
        <v>92.599925289503176</v>
      </c>
    </row>
    <row r="741" spans="1:8">
      <c r="A741">
        <v>0</v>
      </c>
      <c r="B741" t="s">
        <v>34</v>
      </c>
      <c r="C741">
        <v>2017</v>
      </c>
      <c r="D741" t="s">
        <v>11</v>
      </c>
      <c r="E741" t="s">
        <v>10</v>
      </c>
      <c r="F741" t="s">
        <v>13</v>
      </c>
      <c r="G741" t="str">
        <f>VLOOKUP(A741,[1]Kreise!$A$1:$C$53,3,FALSE)</f>
        <v>K030</v>
      </c>
      <c r="H741">
        <v>92.338951685505648</v>
      </c>
    </row>
    <row r="742" spans="1:8">
      <c r="A742">
        <v>1</v>
      </c>
      <c r="B742" t="s">
        <v>30</v>
      </c>
      <c r="C742">
        <v>2016</v>
      </c>
      <c r="D742" t="s">
        <v>11</v>
      </c>
      <c r="E742" t="s">
        <v>10</v>
      </c>
      <c r="F742" t="s">
        <v>13</v>
      </c>
      <c r="G742" t="str">
        <f>VLOOKUP(A742,[1]Kreise!$A$1:$C$53,3,FALSE)</f>
        <v>K031</v>
      </c>
      <c r="H742">
        <v>92.946483493951206</v>
      </c>
    </row>
    <row r="743" spans="1:8">
      <c r="A743">
        <v>2</v>
      </c>
      <c r="B743" t="s">
        <v>31</v>
      </c>
      <c r="C743">
        <v>2016</v>
      </c>
      <c r="D743" t="s">
        <v>11</v>
      </c>
      <c r="E743" t="s">
        <v>10</v>
      </c>
      <c r="F743" t="s">
        <v>13</v>
      </c>
      <c r="G743" t="str">
        <f>VLOOKUP(A743,[1]Kreise!$A$1:$C$53,3,FALSE)</f>
        <v>K032</v>
      </c>
      <c r="H743">
        <v>92.188819875776389</v>
      </c>
    </row>
    <row r="744" spans="1:8">
      <c r="A744">
        <v>3</v>
      </c>
      <c r="B744" t="s">
        <v>32</v>
      </c>
      <c r="C744">
        <v>2016</v>
      </c>
      <c r="D744" t="s">
        <v>11</v>
      </c>
      <c r="E744" t="s">
        <v>10</v>
      </c>
      <c r="F744" t="s">
        <v>13</v>
      </c>
      <c r="G744" t="str">
        <f>VLOOKUP(A744,[1]Kreise!$A$1:$C$53,3,FALSE)</f>
        <v>K033</v>
      </c>
      <c r="H744">
        <v>94.808525188055611</v>
      </c>
    </row>
    <row r="745" spans="1:8">
      <c r="A745">
        <v>4</v>
      </c>
      <c r="B745" t="s">
        <v>33</v>
      </c>
      <c r="C745">
        <v>2016</v>
      </c>
      <c r="D745" t="s">
        <v>11</v>
      </c>
      <c r="E745" t="s">
        <v>10</v>
      </c>
      <c r="F745" t="s">
        <v>13</v>
      </c>
      <c r="G745" t="str">
        <f>VLOOKUP(A745,[1]Kreise!$A$1:$C$53,3,FALSE)</f>
        <v>K034</v>
      </c>
      <c r="H745">
        <v>93.596601039414281</v>
      </c>
    </row>
    <row r="746" spans="1:8">
      <c r="A746">
        <v>0</v>
      </c>
      <c r="B746" t="s">
        <v>34</v>
      </c>
      <c r="C746">
        <v>2016</v>
      </c>
      <c r="D746" t="s">
        <v>11</v>
      </c>
      <c r="E746" t="s">
        <v>10</v>
      </c>
      <c r="F746" t="s">
        <v>13</v>
      </c>
      <c r="G746" t="str">
        <f>VLOOKUP(A746,[1]Kreise!$A$1:$C$53,3,FALSE)</f>
        <v>K030</v>
      </c>
      <c r="H746">
        <v>93.385876819424141</v>
      </c>
    </row>
    <row r="747" spans="1:8">
      <c r="A747">
        <v>1</v>
      </c>
      <c r="B747" t="s">
        <v>30</v>
      </c>
      <c r="C747">
        <v>2015</v>
      </c>
      <c r="D747" t="s">
        <v>11</v>
      </c>
      <c r="E747" t="s">
        <v>10</v>
      </c>
      <c r="F747" t="s">
        <v>13</v>
      </c>
      <c r="G747" t="str">
        <f>VLOOKUP(A747,[1]Kreise!$A$1:$C$53,3,FALSE)</f>
        <v>K031</v>
      </c>
      <c r="H747">
        <v>94.408050246505027</v>
      </c>
    </row>
    <row r="748" spans="1:8">
      <c r="A748">
        <v>2</v>
      </c>
      <c r="B748" t="s">
        <v>31</v>
      </c>
      <c r="C748">
        <v>2015</v>
      </c>
      <c r="D748" t="s">
        <v>11</v>
      </c>
      <c r="E748" t="s">
        <v>10</v>
      </c>
      <c r="F748" t="s">
        <v>13</v>
      </c>
      <c r="G748" t="str">
        <f>VLOOKUP(A748,[1]Kreise!$A$1:$C$53,3,FALSE)</f>
        <v>K032</v>
      </c>
      <c r="H748">
        <v>92.489048580006894</v>
      </c>
    </row>
    <row r="749" spans="1:8">
      <c r="A749">
        <v>3</v>
      </c>
      <c r="B749" t="s">
        <v>32</v>
      </c>
      <c r="C749">
        <v>2015</v>
      </c>
      <c r="D749" t="s">
        <v>11</v>
      </c>
      <c r="E749" t="s">
        <v>10</v>
      </c>
      <c r="F749" t="s">
        <v>13</v>
      </c>
      <c r="G749" t="str">
        <f>VLOOKUP(A749,[1]Kreise!$A$1:$C$53,3,FALSE)</f>
        <v>K033</v>
      </c>
      <c r="H749">
        <v>95.931107519090347</v>
      </c>
    </row>
    <row r="750" spans="1:8">
      <c r="A750">
        <v>4</v>
      </c>
      <c r="B750" t="s">
        <v>33</v>
      </c>
      <c r="C750">
        <v>2015</v>
      </c>
      <c r="D750" t="s">
        <v>11</v>
      </c>
      <c r="E750" t="s">
        <v>10</v>
      </c>
      <c r="F750" t="s">
        <v>13</v>
      </c>
      <c r="G750" t="str">
        <f>VLOOKUP(A750,[1]Kreise!$A$1:$C$53,3,FALSE)</f>
        <v>K034</v>
      </c>
      <c r="H750">
        <v>94.85562562230335</v>
      </c>
    </row>
    <row r="751" spans="1:8">
      <c r="A751">
        <v>0</v>
      </c>
      <c r="B751" t="s">
        <v>34</v>
      </c>
      <c r="C751">
        <v>2015</v>
      </c>
      <c r="D751" t="s">
        <v>11</v>
      </c>
      <c r="E751" t="s">
        <v>10</v>
      </c>
      <c r="F751" t="s">
        <v>13</v>
      </c>
      <c r="G751" t="str">
        <f>VLOOKUP(A751,[1]Kreise!$A$1:$C$53,3,FALSE)</f>
        <v>K030</v>
      </c>
      <c r="H751">
        <v>94.413958244992642</v>
      </c>
    </row>
    <row r="752" spans="1:8">
      <c r="A752">
        <v>1</v>
      </c>
      <c r="B752" t="s">
        <v>145</v>
      </c>
      <c r="C752">
        <v>2014</v>
      </c>
      <c r="D752" t="s">
        <v>11</v>
      </c>
      <c r="E752" t="s">
        <v>10</v>
      </c>
      <c r="F752" t="s">
        <v>13</v>
      </c>
      <c r="G752" t="str">
        <f>VLOOKUP(A752,[1]Kreise!$A$1:$C$53,3,FALSE)</f>
        <v>K031</v>
      </c>
      <c r="H752">
        <v>94.776360929509991</v>
      </c>
    </row>
    <row r="753" spans="1:8">
      <c r="A753">
        <v>2</v>
      </c>
      <c r="B753" t="s">
        <v>146</v>
      </c>
      <c r="C753">
        <v>2014</v>
      </c>
      <c r="D753" t="s">
        <v>11</v>
      </c>
      <c r="E753" t="s">
        <v>10</v>
      </c>
      <c r="F753" t="s">
        <v>13</v>
      </c>
      <c r="G753" t="str">
        <f>VLOOKUP(A753,[1]Kreise!$A$1:$C$53,3,FALSE)</f>
        <v>K032</v>
      </c>
      <c r="H753">
        <v>92.92623069149704</v>
      </c>
    </row>
    <row r="754" spans="1:8">
      <c r="A754">
        <v>3</v>
      </c>
      <c r="B754" t="s">
        <v>147</v>
      </c>
      <c r="C754">
        <v>2014</v>
      </c>
      <c r="D754" t="s">
        <v>11</v>
      </c>
      <c r="E754" t="s">
        <v>10</v>
      </c>
      <c r="F754" t="s">
        <v>13</v>
      </c>
      <c r="G754" t="str">
        <f>VLOOKUP(A754,[1]Kreise!$A$1:$C$53,3,FALSE)</f>
        <v>K033</v>
      </c>
      <c r="H754">
        <v>96.123989506932915</v>
      </c>
    </row>
    <row r="755" spans="1:8">
      <c r="A755">
        <v>4</v>
      </c>
      <c r="B755" t="s">
        <v>148</v>
      </c>
      <c r="C755">
        <v>2014</v>
      </c>
      <c r="D755" t="s">
        <v>11</v>
      </c>
      <c r="E755" t="s">
        <v>10</v>
      </c>
      <c r="F755" t="s">
        <v>13</v>
      </c>
      <c r="G755" t="str">
        <f>VLOOKUP(A755,[1]Kreise!$A$1:$C$53,3,FALSE)</f>
        <v>K034</v>
      </c>
      <c r="H755">
        <v>95.018142235123378</v>
      </c>
    </row>
    <row r="756" spans="1:8">
      <c r="A756">
        <v>0</v>
      </c>
      <c r="B756" t="s">
        <v>34</v>
      </c>
      <c r="C756">
        <v>2014</v>
      </c>
      <c r="D756" t="s">
        <v>11</v>
      </c>
      <c r="E756" t="s">
        <v>10</v>
      </c>
      <c r="F756" t="s">
        <v>13</v>
      </c>
      <c r="G756" t="str">
        <f>VLOOKUP(A756,[1]Kreise!$A$1:$C$53,3,FALSE)</f>
        <v>K030</v>
      </c>
      <c r="H756">
        <v>94.696188870969706</v>
      </c>
    </row>
    <row r="757" spans="1:8">
      <c r="A757">
        <v>1</v>
      </c>
      <c r="B757" t="s">
        <v>30</v>
      </c>
      <c r="C757">
        <v>2013</v>
      </c>
      <c r="D757" t="s">
        <v>11</v>
      </c>
      <c r="E757" t="s">
        <v>10</v>
      </c>
      <c r="F757" t="s">
        <v>13</v>
      </c>
      <c r="G757" t="str">
        <f>VLOOKUP(A757,[1]Kreise!$A$1:$C$53,3,FALSE)</f>
        <v>K031</v>
      </c>
      <c r="H757">
        <v>94.167852062588906</v>
      </c>
    </row>
    <row r="758" spans="1:8">
      <c r="A758">
        <v>2</v>
      </c>
      <c r="B758" t="s">
        <v>31</v>
      </c>
      <c r="C758">
        <v>2013</v>
      </c>
      <c r="D758" t="s">
        <v>11</v>
      </c>
      <c r="E758" t="s">
        <v>10</v>
      </c>
      <c r="F758" t="s">
        <v>13</v>
      </c>
      <c r="G758" t="str">
        <f>VLOOKUP(A758,[1]Kreise!$A$1:$C$53,3,FALSE)</f>
        <v>K032</v>
      </c>
      <c r="H758">
        <v>92.291378515444904</v>
      </c>
    </row>
    <row r="759" spans="1:8">
      <c r="A759">
        <v>3</v>
      </c>
      <c r="B759" t="s">
        <v>32</v>
      </c>
      <c r="C759">
        <v>2013</v>
      </c>
      <c r="D759" t="s">
        <v>11</v>
      </c>
      <c r="E759" t="s">
        <v>10</v>
      </c>
      <c r="F759" t="s">
        <v>13</v>
      </c>
      <c r="G759" t="str">
        <f>VLOOKUP(A759,[1]Kreise!$A$1:$C$53,3,FALSE)</f>
        <v>K033</v>
      </c>
      <c r="H759">
        <v>96.519638083487564</v>
      </c>
    </row>
    <row r="760" spans="1:8">
      <c r="A760">
        <v>4</v>
      </c>
      <c r="B760" t="s">
        <v>33</v>
      </c>
      <c r="C760">
        <v>2013</v>
      </c>
      <c r="D760" t="s">
        <v>11</v>
      </c>
      <c r="E760" t="s">
        <v>10</v>
      </c>
      <c r="F760" t="s">
        <v>13</v>
      </c>
      <c r="G760" t="str">
        <f>VLOOKUP(A760,[1]Kreise!$A$1:$C$53,3,FALSE)</f>
        <v>K034</v>
      </c>
      <c r="H760">
        <v>95.384192061635829</v>
      </c>
    </row>
    <row r="761" spans="1:8">
      <c r="A761">
        <v>0</v>
      </c>
      <c r="B761" t="s">
        <v>34</v>
      </c>
      <c r="C761">
        <v>2013</v>
      </c>
      <c r="D761" t="s">
        <v>11</v>
      </c>
      <c r="E761" t="s">
        <v>10</v>
      </c>
      <c r="F761" t="s">
        <v>13</v>
      </c>
      <c r="G761" t="str">
        <f>VLOOKUP(A761,[1]Kreise!$A$1:$C$53,3,FALSE)</f>
        <v>K030</v>
      </c>
      <c r="H761">
        <v>94.635642762053592</v>
      </c>
    </row>
    <row r="762" spans="1:8">
      <c r="A762">
        <v>1</v>
      </c>
      <c r="B762" t="s">
        <v>145</v>
      </c>
      <c r="C762">
        <v>2012</v>
      </c>
      <c r="D762" t="s">
        <v>11</v>
      </c>
      <c r="E762" t="s">
        <v>10</v>
      </c>
      <c r="F762" t="s">
        <v>13</v>
      </c>
      <c r="G762" t="str">
        <f>VLOOKUP(A762,[1]Kreise!$A$1:$C$53,3,FALSE)</f>
        <v>K031</v>
      </c>
      <c r="H762">
        <v>93.695958790703386</v>
      </c>
    </row>
    <row r="763" spans="1:8">
      <c r="A763">
        <v>2</v>
      </c>
      <c r="B763" t="s">
        <v>146</v>
      </c>
      <c r="C763">
        <v>2012</v>
      </c>
      <c r="D763" t="s">
        <v>11</v>
      </c>
      <c r="E763" t="s">
        <v>10</v>
      </c>
      <c r="F763" t="s">
        <v>13</v>
      </c>
      <c r="G763" t="str">
        <f>VLOOKUP(A763,[1]Kreise!$A$1:$C$53,3,FALSE)</f>
        <v>K032</v>
      </c>
      <c r="H763">
        <v>91.531611754229743</v>
      </c>
    </row>
    <row r="764" spans="1:8">
      <c r="A764">
        <v>3</v>
      </c>
      <c r="B764" t="s">
        <v>147</v>
      </c>
      <c r="C764">
        <v>2012</v>
      </c>
      <c r="D764" t="s">
        <v>11</v>
      </c>
      <c r="E764" t="s">
        <v>10</v>
      </c>
      <c r="F764" t="s">
        <v>13</v>
      </c>
      <c r="G764" t="str">
        <f>VLOOKUP(A764,[1]Kreise!$A$1:$C$53,3,FALSE)</f>
        <v>K033</v>
      </c>
      <c r="H764">
        <v>96.078829744006498</v>
      </c>
    </row>
    <row r="765" spans="1:8">
      <c r="A765">
        <v>4</v>
      </c>
      <c r="B765" t="s">
        <v>148</v>
      </c>
      <c r="C765">
        <v>2012</v>
      </c>
      <c r="D765" t="s">
        <v>11</v>
      </c>
      <c r="E765" t="s">
        <v>10</v>
      </c>
      <c r="F765" t="s">
        <v>13</v>
      </c>
      <c r="G765" t="str">
        <f>VLOOKUP(A765,[1]Kreise!$A$1:$C$53,3,FALSE)</f>
        <v>K034</v>
      </c>
      <c r="H765">
        <v>95.143517888722613</v>
      </c>
    </row>
    <row r="766" spans="1:8">
      <c r="A766">
        <v>0</v>
      </c>
      <c r="B766" t="s">
        <v>34</v>
      </c>
      <c r="C766">
        <v>2012</v>
      </c>
      <c r="D766" t="s">
        <v>11</v>
      </c>
      <c r="E766" t="s">
        <v>10</v>
      </c>
      <c r="F766" t="s">
        <v>13</v>
      </c>
      <c r="G766" t="str">
        <f>VLOOKUP(A766,[1]Kreise!$A$1:$C$53,3,FALSE)</f>
        <v>K030</v>
      </c>
      <c r="H766">
        <v>94.161099033678965</v>
      </c>
    </row>
    <row r="767" spans="1:8">
      <c r="A767">
        <v>1</v>
      </c>
      <c r="B767" t="s">
        <v>30</v>
      </c>
      <c r="C767">
        <v>2011</v>
      </c>
      <c r="D767" t="s">
        <v>11</v>
      </c>
      <c r="E767" t="s">
        <v>10</v>
      </c>
      <c r="F767" t="s">
        <v>13</v>
      </c>
      <c r="G767" t="str">
        <f>VLOOKUP(A767,[1]Kreise!$A$1:$C$53,3,FALSE)</f>
        <v>K031</v>
      </c>
      <c r="H767">
        <v>93.619019665394774</v>
      </c>
    </row>
    <row r="768" spans="1:8">
      <c r="A768">
        <v>2</v>
      </c>
      <c r="B768" t="s">
        <v>31</v>
      </c>
      <c r="C768">
        <v>2011</v>
      </c>
      <c r="D768" t="s">
        <v>11</v>
      </c>
      <c r="E768" t="s">
        <v>10</v>
      </c>
      <c r="F768" t="s">
        <v>13</v>
      </c>
      <c r="G768" t="str">
        <f>VLOOKUP(A768,[1]Kreise!$A$1:$C$53,3,FALSE)</f>
        <v>K032</v>
      </c>
      <c r="H768">
        <v>91.406959152798791</v>
      </c>
    </row>
    <row r="769" spans="1:8">
      <c r="A769">
        <v>3</v>
      </c>
      <c r="B769" t="s">
        <v>32</v>
      </c>
      <c r="C769">
        <v>2011</v>
      </c>
      <c r="D769" t="s">
        <v>11</v>
      </c>
      <c r="E769" t="s">
        <v>10</v>
      </c>
      <c r="F769" t="s">
        <v>13</v>
      </c>
      <c r="G769" t="str">
        <f>VLOOKUP(A769,[1]Kreise!$A$1:$C$53,3,FALSE)</f>
        <v>K033</v>
      </c>
      <c r="H769">
        <v>95.844781875150645</v>
      </c>
    </row>
    <row r="770" spans="1:8">
      <c r="A770">
        <v>4</v>
      </c>
      <c r="B770" t="s">
        <v>33</v>
      </c>
      <c r="C770">
        <v>2011</v>
      </c>
      <c r="D770" t="s">
        <v>11</v>
      </c>
      <c r="E770" t="s">
        <v>10</v>
      </c>
      <c r="F770" t="s">
        <v>13</v>
      </c>
      <c r="G770" t="str">
        <f>VLOOKUP(A770,[1]Kreise!$A$1:$C$53,3,FALSE)</f>
        <v>K034</v>
      </c>
      <c r="H770">
        <v>94.909410272257105</v>
      </c>
    </row>
    <row r="771" spans="1:8">
      <c r="A771">
        <v>0</v>
      </c>
      <c r="B771" t="s">
        <v>34</v>
      </c>
      <c r="C771">
        <v>2011</v>
      </c>
      <c r="D771" t="s">
        <v>11</v>
      </c>
      <c r="E771" t="s">
        <v>10</v>
      </c>
      <c r="F771" t="s">
        <v>13</v>
      </c>
      <c r="G771" t="str">
        <f>VLOOKUP(A771,[1]Kreise!$A$1:$C$53,3,FALSE)</f>
        <v>K030</v>
      </c>
      <c r="H771">
        <v>93.997250649152292</v>
      </c>
    </row>
    <row r="772" spans="1:8">
      <c r="A772">
        <v>1</v>
      </c>
      <c r="B772" t="s">
        <v>145</v>
      </c>
      <c r="C772">
        <v>2010</v>
      </c>
      <c r="D772" t="s">
        <v>11</v>
      </c>
      <c r="E772" t="s">
        <v>10</v>
      </c>
      <c r="F772" t="s">
        <v>13</v>
      </c>
      <c r="G772" t="str">
        <f>VLOOKUP(A772,[1]Kreise!$A$1:$C$53,3,FALSE)</f>
        <v>K031</v>
      </c>
      <c r="H772">
        <v>93.407288194045293</v>
      </c>
    </row>
    <row r="773" spans="1:8">
      <c r="A773">
        <v>2</v>
      </c>
      <c r="B773" t="s">
        <v>146</v>
      </c>
      <c r="C773">
        <v>2010</v>
      </c>
      <c r="D773" t="s">
        <v>11</v>
      </c>
      <c r="E773" t="s">
        <v>10</v>
      </c>
      <c r="F773" t="s">
        <v>13</v>
      </c>
      <c r="G773" t="str">
        <f>VLOOKUP(A773,[1]Kreise!$A$1:$C$53,3,FALSE)</f>
        <v>K032</v>
      </c>
      <c r="H773">
        <v>91.404594021715624</v>
      </c>
    </row>
    <row r="774" spans="1:8">
      <c r="A774">
        <v>3</v>
      </c>
      <c r="B774" t="s">
        <v>147</v>
      </c>
      <c r="C774">
        <v>2010</v>
      </c>
      <c r="D774" t="s">
        <v>11</v>
      </c>
      <c r="E774" t="s">
        <v>10</v>
      </c>
      <c r="F774" t="s">
        <v>13</v>
      </c>
      <c r="G774" t="str">
        <f>VLOOKUP(A774,[1]Kreise!$A$1:$C$53,3,FALSE)</f>
        <v>K033</v>
      </c>
      <c r="H774">
        <v>96.07439992349623</v>
      </c>
    </row>
    <row r="775" spans="1:8">
      <c r="A775">
        <v>4</v>
      </c>
      <c r="B775" t="s">
        <v>148</v>
      </c>
      <c r="C775">
        <v>2010</v>
      </c>
      <c r="D775" t="s">
        <v>11</v>
      </c>
      <c r="E775" t="s">
        <v>10</v>
      </c>
      <c r="F775" t="s">
        <v>13</v>
      </c>
      <c r="G775" t="str">
        <f>VLOOKUP(A775,[1]Kreise!$A$1:$C$53,3,FALSE)</f>
        <v>K034</v>
      </c>
      <c r="H775">
        <v>95.375369584779534</v>
      </c>
    </row>
    <row r="776" spans="1:8">
      <c r="A776">
        <v>0</v>
      </c>
      <c r="B776" t="s">
        <v>34</v>
      </c>
      <c r="C776">
        <v>2010</v>
      </c>
      <c r="D776" t="s">
        <v>11</v>
      </c>
      <c r="E776" t="s">
        <v>10</v>
      </c>
      <c r="F776" t="s">
        <v>13</v>
      </c>
      <c r="G776" t="str">
        <f>VLOOKUP(A776,[1]Kreise!$A$1:$C$53,3,FALSE)</f>
        <v>K030</v>
      </c>
      <c r="H776">
        <v>94.171484142849422</v>
      </c>
    </row>
    <row r="777" spans="1:8">
      <c r="A777">
        <v>1</v>
      </c>
      <c r="B777" t="s">
        <v>145</v>
      </c>
      <c r="C777">
        <v>2005</v>
      </c>
      <c r="D777" t="s">
        <v>11</v>
      </c>
      <c r="E777" t="s">
        <v>10</v>
      </c>
      <c r="F777" t="s">
        <v>13</v>
      </c>
      <c r="G777" t="str">
        <f>VLOOKUP(A777,[1]Kreise!$A$1:$C$53,3,FALSE)</f>
        <v>K031</v>
      </c>
      <c r="H777">
        <v>92.663769178404991</v>
      </c>
    </row>
    <row r="778" spans="1:8">
      <c r="A778">
        <v>2</v>
      </c>
      <c r="B778" t="s">
        <v>146</v>
      </c>
      <c r="C778">
        <v>2005</v>
      </c>
      <c r="D778" t="s">
        <v>11</v>
      </c>
      <c r="E778" t="s">
        <v>10</v>
      </c>
      <c r="F778" t="s">
        <v>13</v>
      </c>
      <c r="G778" t="str">
        <f>VLOOKUP(A778,[1]Kreise!$A$1:$C$53,3,FALSE)</f>
        <v>K032</v>
      </c>
      <c r="H778">
        <v>90.123712193305465</v>
      </c>
    </row>
    <row r="779" spans="1:8">
      <c r="A779">
        <v>3</v>
      </c>
      <c r="B779" t="s">
        <v>147</v>
      </c>
      <c r="C779">
        <v>2005</v>
      </c>
      <c r="D779" t="s">
        <v>11</v>
      </c>
      <c r="E779" t="s">
        <v>10</v>
      </c>
      <c r="F779" t="s">
        <v>13</v>
      </c>
      <c r="G779" t="str">
        <f>VLOOKUP(A779,[1]Kreise!$A$1:$C$53,3,FALSE)</f>
        <v>K033</v>
      </c>
      <c r="H779">
        <v>95.095870206489678</v>
      </c>
    </row>
    <row r="780" spans="1:8">
      <c r="A780">
        <v>4</v>
      </c>
      <c r="B780" t="s">
        <v>148</v>
      </c>
      <c r="C780">
        <v>2005</v>
      </c>
      <c r="D780" t="s">
        <v>11</v>
      </c>
      <c r="E780" t="s">
        <v>10</v>
      </c>
      <c r="F780" t="s">
        <v>13</v>
      </c>
      <c r="G780" t="str">
        <f>VLOOKUP(A780,[1]Kreise!$A$1:$C$53,3,FALSE)</f>
        <v>K034</v>
      </c>
      <c r="H780">
        <v>94.842767295597483</v>
      </c>
    </row>
    <row r="781" spans="1:8">
      <c r="A781">
        <v>0</v>
      </c>
      <c r="B781" t="s">
        <v>34</v>
      </c>
      <c r="C781">
        <v>2005</v>
      </c>
      <c r="D781" t="s">
        <v>11</v>
      </c>
      <c r="E781" t="s">
        <v>10</v>
      </c>
      <c r="F781" t="s">
        <v>13</v>
      </c>
      <c r="G781" t="str">
        <f>VLOOKUP(A781,[1]Kreise!$A$1:$C$53,3,FALSE)</f>
        <v>K030</v>
      </c>
      <c r="H781">
        <v>93.303402113636139</v>
      </c>
    </row>
    <row r="782" spans="1:8">
      <c r="A782">
        <v>1</v>
      </c>
      <c r="B782" t="s">
        <v>30</v>
      </c>
      <c r="C782">
        <v>2020</v>
      </c>
      <c r="D782" t="s">
        <v>12</v>
      </c>
      <c r="E782" t="s">
        <v>10</v>
      </c>
      <c r="F782" t="s">
        <v>13</v>
      </c>
      <c r="G782" t="str">
        <f>VLOOKUP(A782,[1]Kreise!$A$1:$C$53,3,FALSE)</f>
        <v>K031</v>
      </c>
      <c r="H782">
        <v>10.218876341837447</v>
      </c>
    </row>
    <row r="783" spans="1:8">
      <c r="A783">
        <v>2</v>
      </c>
      <c r="B783" t="s">
        <v>31</v>
      </c>
      <c r="C783">
        <v>2020</v>
      </c>
      <c r="D783" t="s">
        <v>12</v>
      </c>
      <c r="E783" t="s">
        <v>10</v>
      </c>
      <c r="F783" t="s">
        <v>13</v>
      </c>
      <c r="G783" t="str">
        <f>VLOOKUP(A783,[1]Kreise!$A$1:$C$53,3,FALSE)</f>
        <v>K032</v>
      </c>
      <c r="H783">
        <v>11.972006998250437</v>
      </c>
    </row>
    <row r="784" spans="1:8">
      <c r="A784">
        <v>3</v>
      </c>
      <c r="B784" t="s">
        <v>32</v>
      </c>
      <c r="C784">
        <v>2020</v>
      </c>
      <c r="D784" t="s">
        <v>12</v>
      </c>
      <c r="E784" t="s">
        <v>10</v>
      </c>
      <c r="F784" t="s">
        <v>13</v>
      </c>
      <c r="G784" t="str">
        <f>VLOOKUP(A784,[1]Kreise!$A$1:$C$53,3,FALSE)</f>
        <v>K033</v>
      </c>
      <c r="H784">
        <v>8.1833736503628529</v>
      </c>
    </row>
    <row r="785" spans="1:8">
      <c r="A785">
        <v>4</v>
      </c>
      <c r="B785" t="s">
        <v>33</v>
      </c>
      <c r="C785">
        <v>2020</v>
      </c>
      <c r="D785" t="s">
        <v>12</v>
      </c>
      <c r="E785" t="s">
        <v>10</v>
      </c>
      <c r="F785" t="s">
        <v>13</v>
      </c>
      <c r="G785" t="str">
        <f>VLOOKUP(A785,[1]Kreise!$A$1:$C$53,3,FALSE)</f>
        <v>K034</v>
      </c>
      <c r="H785">
        <v>10.693653294550156</v>
      </c>
    </row>
    <row r="786" spans="1:8">
      <c r="A786">
        <v>0</v>
      </c>
      <c r="B786" t="s">
        <v>34</v>
      </c>
      <c r="C786">
        <v>2020</v>
      </c>
      <c r="D786" t="s">
        <v>12</v>
      </c>
      <c r="E786" t="s">
        <v>10</v>
      </c>
      <c r="F786" t="s">
        <v>13</v>
      </c>
      <c r="G786" t="str">
        <f>VLOOKUP(A786,[1]Kreise!$A$1:$C$53,3,FALSE)</f>
        <v>K030</v>
      </c>
      <c r="H786">
        <v>10.380918569944644</v>
      </c>
    </row>
    <row r="787" spans="1:8">
      <c r="A787">
        <v>1</v>
      </c>
      <c r="B787" t="s">
        <v>30</v>
      </c>
      <c r="C787">
        <v>2019</v>
      </c>
      <c r="D787" t="s">
        <v>12</v>
      </c>
      <c r="E787" t="s">
        <v>10</v>
      </c>
      <c r="F787" t="s">
        <v>13</v>
      </c>
      <c r="G787" t="str">
        <f>VLOOKUP(A787,[1]Kreise!$A$1:$C$53,3,FALSE)</f>
        <v>K031</v>
      </c>
      <c r="H787">
        <v>9.2686557066504296</v>
      </c>
    </row>
    <row r="788" spans="1:8">
      <c r="A788">
        <v>2</v>
      </c>
      <c r="B788" t="s">
        <v>31</v>
      </c>
      <c r="C788">
        <v>2019</v>
      </c>
      <c r="D788" t="s">
        <v>12</v>
      </c>
      <c r="E788" t="s">
        <v>10</v>
      </c>
      <c r="F788" t="s">
        <v>13</v>
      </c>
      <c r="G788" t="str">
        <f>VLOOKUP(A788,[1]Kreise!$A$1:$C$53,3,FALSE)</f>
        <v>K032</v>
      </c>
      <c r="H788">
        <v>11.054172767203514</v>
      </c>
    </row>
    <row r="789" spans="1:8">
      <c r="A789">
        <v>3</v>
      </c>
      <c r="B789" t="s">
        <v>32</v>
      </c>
      <c r="C789">
        <v>2019</v>
      </c>
      <c r="D789" t="s">
        <v>12</v>
      </c>
      <c r="E789" t="s">
        <v>10</v>
      </c>
      <c r="F789" t="s">
        <v>13</v>
      </c>
      <c r="G789" t="str">
        <f>VLOOKUP(A789,[1]Kreise!$A$1:$C$53,3,FALSE)</f>
        <v>K033</v>
      </c>
      <c r="H789">
        <v>7.1440857748982287</v>
      </c>
    </row>
    <row r="790" spans="1:8">
      <c r="A790">
        <v>4</v>
      </c>
      <c r="B790" t="s">
        <v>33</v>
      </c>
      <c r="C790">
        <v>2019</v>
      </c>
      <c r="D790" t="s">
        <v>12</v>
      </c>
      <c r="E790" t="s">
        <v>10</v>
      </c>
      <c r="F790" t="s">
        <v>13</v>
      </c>
      <c r="G790" t="str">
        <f>VLOOKUP(A790,[1]Kreise!$A$1:$C$53,3,FALSE)</f>
        <v>K034</v>
      </c>
      <c r="H790">
        <v>9.3218049175898408</v>
      </c>
    </row>
    <row r="791" spans="1:8">
      <c r="A791">
        <v>0</v>
      </c>
      <c r="B791" t="s">
        <v>34</v>
      </c>
      <c r="C791">
        <v>2019</v>
      </c>
      <c r="D791" t="s">
        <v>12</v>
      </c>
      <c r="E791" t="s">
        <v>10</v>
      </c>
      <c r="F791" t="s">
        <v>13</v>
      </c>
      <c r="G791" t="str">
        <f>VLOOKUP(A791,[1]Kreise!$A$1:$C$53,3,FALSE)</f>
        <v>K030</v>
      </c>
      <c r="H791">
        <v>9.2801994428827648</v>
      </c>
    </row>
    <row r="792" spans="1:8">
      <c r="A792">
        <v>1</v>
      </c>
      <c r="B792" t="s">
        <v>30</v>
      </c>
      <c r="C792">
        <v>2018</v>
      </c>
      <c r="D792" t="s">
        <v>12</v>
      </c>
      <c r="E792" t="s">
        <v>10</v>
      </c>
      <c r="F792" t="s">
        <v>13</v>
      </c>
      <c r="G792" t="str">
        <f>VLOOKUP(A792,[1]Kreise!$A$1:$C$53,3,FALSE)</f>
        <v>K031</v>
      </c>
      <c r="H792">
        <v>8.5936965885007179</v>
      </c>
    </row>
    <row r="793" spans="1:8">
      <c r="A793">
        <v>2</v>
      </c>
      <c r="B793" t="s">
        <v>31</v>
      </c>
      <c r="C793">
        <v>2018</v>
      </c>
      <c r="D793" t="s">
        <v>12</v>
      </c>
      <c r="E793" t="s">
        <v>10</v>
      </c>
      <c r="F793" t="s">
        <v>13</v>
      </c>
      <c r="G793" t="str">
        <f>VLOOKUP(A793,[1]Kreise!$A$1:$C$53,3,FALSE)</f>
        <v>K032</v>
      </c>
      <c r="H793">
        <v>10.106923411872854</v>
      </c>
    </row>
    <row r="794" spans="1:8">
      <c r="A794">
        <v>3</v>
      </c>
      <c r="B794" t="s">
        <v>32</v>
      </c>
      <c r="C794">
        <v>2018</v>
      </c>
      <c r="D794" t="s">
        <v>12</v>
      </c>
      <c r="E794" t="s">
        <v>10</v>
      </c>
      <c r="F794" t="s">
        <v>13</v>
      </c>
      <c r="G794" t="str">
        <f>VLOOKUP(A794,[1]Kreise!$A$1:$C$53,3,FALSE)</f>
        <v>K033</v>
      </c>
      <c r="H794">
        <v>6.6726578297011914</v>
      </c>
    </row>
    <row r="795" spans="1:8">
      <c r="A795">
        <v>4</v>
      </c>
      <c r="B795" t="s">
        <v>33</v>
      </c>
      <c r="C795">
        <v>2018</v>
      </c>
      <c r="D795" t="s">
        <v>12</v>
      </c>
      <c r="E795" t="s">
        <v>10</v>
      </c>
      <c r="F795" t="s">
        <v>13</v>
      </c>
      <c r="G795" t="str">
        <f>VLOOKUP(A795,[1]Kreise!$A$1:$C$53,3,FALSE)</f>
        <v>K034</v>
      </c>
      <c r="H795">
        <v>8.2247004747193131</v>
      </c>
    </row>
    <row r="796" spans="1:8">
      <c r="A796">
        <v>0</v>
      </c>
      <c r="B796" t="s">
        <v>34</v>
      </c>
      <c r="C796">
        <v>2018</v>
      </c>
      <c r="D796" t="s">
        <v>12</v>
      </c>
      <c r="E796" t="s">
        <v>10</v>
      </c>
      <c r="F796" t="s">
        <v>13</v>
      </c>
      <c r="G796" t="str">
        <f>VLOOKUP(A796,[1]Kreise!$A$1:$C$53,3,FALSE)</f>
        <v>K030</v>
      </c>
      <c r="H796">
        <v>8.4339921147133428</v>
      </c>
    </row>
    <row r="797" spans="1:8">
      <c r="A797">
        <v>1</v>
      </c>
      <c r="B797" t="s">
        <v>30</v>
      </c>
      <c r="C797">
        <v>2017</v>
      </c>
      <c r="D797" t="s">
        <v>12</v>
      </c>
      <c r="E797" t="s">
        <v>10</v>
      </c>
      <c r="F797" t="s">
        <v>13</v>
      </c>
      <c r="G797" t="str">
        <f>VLOOKUP(A797,[1]Kreise!$A$1:$C$53,3,FALSE)</f>
        <v>K031</v>
      </c>
      <c r="H797">
        <v>7.904710341093665</v>
      </c>
    </row>
    <row r="798" spans="1:8">
      <c r="A798">
        <v>2</v>
      </c>
      <c r="B798" t="s">
        <v>31</v>
      </c>
      <c r="C798">
        <v>2017</v>
      </c>
      <c r="D798" t="s">
        <v>12</v>
      </c>
      <c r="E798" t="s">
        <v>10</v>
      </c>
      <c r="F798" t="s">
        <v>13</v>
      </c>
      <c r="G798" t="str">
        <f>VLOOKUP(A798,[1]Kreise!$A$1:$C$53,3,FALSE)</f>
        <v>K032</v>
      </c>
      <c r="H798">
        <v>9.4638603995528126</v>
      </c>
    </row>
    <row r="799" spans="1:8">
      <c r="A799">
        <v>3</v>
      </c>
      <c r="B799" t="s">
        <v>32</v>
      </c>
      <c r="C799">
        <v>2017</v>
      </c>
      <c r="D799" t="s">
        <v>12</v>
      </c>
      <c r="E799" t="s">
        <v>10</v>
      </c>
      <c r="F799" t="s">
        <v>13</v>
      </c>
      <c r="G799" t="str">
        <f>VLOOKUP(A799,[1]Kreise!$A$1:$C$53,3,FALSE)</f>
        <v>K033</v>
      </c>
      <c r="H799">
        <v>5.7736461891695132</v>
      </c>
    </row>
    <row r="800" spans="1:8">
      <c r="A800">
        <v>4</v>
      </c>
      <c r="B800" t="s">
        <v>33</v>
      </c>
      <c r="C800">
        <v>2017</v>
      </c>
      <c r="D800" t="s">
        <v>12</v>
      </c>
      <c r="E800" t="s">
        <v>10</v>
      </c>
      <c r="F800" t="s">
        <v>13</v>
      </c>
      <c r="G800" t="str">
        <f>VLOOKUP(A800,[1]Kreise!$A$1:$C$53,3,FALSE)</f>
        <v>K034</v>
      </c>
      <c r="H800">
        <v>7.400074710496825</v>
      </c>
    </row>
    <row r="801" spans="1:8">
      <c r="A801">
        <v>0</v>
      </c>
      <c r="B801" t="s">
        <v>34</v>
      </c>
      <c r="C801">
        <v>2017</v>
      </c>
      <c r="D801" t="s">
        <v>12</v>
      </c>
      <c r="E801" t="s">
        <v>10</v>
      </c>
      <c r="F801" t="s">
        <v>13</v>
      </c>
      <c r="G801" t="str">
        <f>VLOOKUP(A801,[1]Kreise!$A$1:$C$53,3,FALSE)</f>
        <v>K030</v>
      </c>
      <c r="H801">
        <v>7.661048314494348</v>
      </c>
    </row>
    <row r="802" spans="1:8">
      <c r="A802">
        <v>1</v>
      </c>
      <c r="B802" t="s">
        <v>30</v>
      </c>
      <c r="C802">
        <v>2016</v>
      </c>
      <c r="D802" t="s">
        <v>12</v>
      </c>
      <c r="E802" t="s">
        <v>10</v>
      </c>
      <c r="F802" t="s">
        <v>13</v>
      </c>
      <c r="G802" t="str">
        <f>VLOOKUP(A802,[1]Kreise!$A$1:$C$53,3,FALSE)</f>
        <v>K031</v>
      </c>
      <c r="H802">
        <v>7.0535165060488003</v>
      </c>
    </row>
    <row r="803" spans="1:8">
      <c r="A803">
        <v>2</v>
      </c>
      <c r="B803" t="s">
        <v>31</v>
      </c>
      <c r="C803">
        <v>2016</v>
      </c>
      <c r="D803" t="s">
        <v>12</v>
      </c>
      <c r="E803" t="s">
        <v>10</v>
      </c>
      <c r="F803" t="s">
        <v>13</v>
      </c>
      <c r="G803" t="str">
        <f>VLOOKUP(A803,[1]Kreise!$A$1:$C$53,3,FALSE)</f>
        <v>K032</v>
      </c>
      <c r="H803">
        <v>7.8111801242236032</v>
      </c>
    </row>
    <row r="804" spans="1:8">
      <c r="A804">
        <v>3</v>
      </c>
      <c r="B804" t="s">
        <v>32</v>
      </c>
      <c r="C804">
        <v>2016</v>
      </c>
      <c r="D804" t="s">
        <v>12</v>
      </c>
      <c r="E804" t="s">
        <v>10</v>
      </c>
      <c r="F804" t="s">
        <v>13</v>
      </c>
      <c r="G804" t="str">
        <f>VLOOKUP(A804,[1]Kreise!$A$1:$C$53,3,FALSE)</f>
        <v>K033</v>
      </c>
      <c r="H804">
        <v>5.1914748119443814</v>
      </c>
    </row>
    <row r="805" spans="1:8">
      <c r="A805">
        <v>4</v>
      </c>
      <c r="B805" t="s">
        <v>33</v>
      </c>
      <c r="C805">
        <v>2016</v>
      </c>
      <c r="D805" t="s">
        <v>12</v>
      </c>
      <c r="E805" t="s">
        <v>10</v>
      </c>
      <c r="F805" t="s">
        <v>13</v>
      </c>
      <c r="G805" t="str">
        <f>VLOOKUP(A805,[1]Kreise!$A$1:$C$53,3,FALSE)</f>
        <v>K034</v>
      </c>
      <c r="H805">
        <v>6.4033989605857142</v>
      </c>
    </row>
    <row r="806" spans="1:8">
      <c r="A806">
        <v>0</v>
      </c>
      <c r="B806" t="s">
        <v>34</v>
      </c>
      <c r="C806">
        <v>2016</v>
      </c>
      <c r="D806" t="s">
        <v>12</v>
      </c>
      <c r="E806" t="s">
        <v>10</v>
      </c>
      <c r="F806" t="s">
        <v>13</v>
      </c>
      <c r="G806" t="str">
        <f>VLOOKUP(A806,[1]Kreise!$A$1:$C$53,3,FALSE)</f>
        <v>K030</v>
      </c>
      <c r="H806">
        <v>6.6141231805758594</v>
      </c>
    </row>
    <row r="807" spans="1:8">
      <c r="A807">
        <v>1</v>
      </c>
      <c r="B807" t="s">
        <v>30</v>
      </c>
      <c r="C807">
        <v>2015</v>
      </c>
      <c r="D807" t="s">
        <v>12</v>
      </c>
      <c r="E807" t="s">
        <v>10</v>
      </c>
      <c r="F807" t="s">
        <v>13</v>
      </c>
      <c r="G807" t="str">
        <f>VLOOKUP(A807,[1]Kreise!$A$1:$C$53,3,FALSE)</f>
        <v>K031</v>
      </c>
      <c r="H807">
        <v>5.5919497534949691</v>
      </c>
    </row>
    <row r="808" spans="1:8">
      <c r="A808">
        <v>2</v>
      </c>
      <c r="B808" t="s">
        <v>31</v>
      </c>
      <c r="C808">
        <v>2015</v>
      </c>
      <c r="D808" t="s">
        <v>12</v>
      </c>
      <c r="E808" t="s">
        <v>10</v>
      </c>
      <c r="F808" t="s">
        <v>13</v>
      </c>
      <c r="G808" t="str">
        <f>VLOOKUP(A808,[1]Kreise!$A$1:$C$53,3,FALSE)</f>
        <v>K032</v>
      </c>
      <c r="H808">
        <v>7.5109514199931091</v>
      </c>
    </row>
    <row r="809" spans="1:8">
      <c r="A809">
        <v>3</v>
      </c>
      <c r="B809" t="s">
        <v>32</v>
      </c>
      <c r="C809">
        <v>2015</v>
      </c>
      <c r="D809" t="s">
        <v>12</v>
      </c>
      <c r="E809" t="s">
        <v>10</v>
      </c>
      <c r="F809" t="s">
        <v>13</v>
      </c>
      <c r="G809" t="str">
        <f>VLOOKUP(A809,[1]Kreise!$A$1:$C$53,3,FALSE)</f>
        <v>K033</v>
      </c>
      <c r="H809">
        <v>4.0688924809096489</v>
      </c>
    </row>
    <row r="810" spans="1:8">
      <c r="A810">
        <v>4</v>
      </c>
      <c r="B810" t="s">
        <v>33</v>
      </c>
      <c r="C810">
        <v>2015</v>
      </c>
      <c r="D810" t="s">
        <v>12</v>
      </c>
      <c r="E810" t="s">
        <v>10</v>
      </c>
      <c r="F810" t="s">
        <v>13</v>
      </c>
      <c r="G810" t="str">
        <f>VLOOKUP(A810,[1]Kreise!$A$1:$C$53,3,FALSE)</f>
        <v>K034</v>
      </c>
      <c r="H810">
        <v>5.1443743776966482</v>
      </c>
    </row>
    <row r="811" spans="1:8">
      <c r="A811">
        <v>0</v>
      </c>
      <c r="B811" t="s">
        <v>34</v>
      </c>
      <c r="C811">
        <v>2015</v>
      </c>
      <c r="D811" t="s">
        <v>12</v>
      </c>
      <c r="E811" t="s">
        <v>10</v>
      </c>
      <c r="F811" t="s">
        <v>13</v>
      </c>
      <c r="G811" t="str">
        <f>VLOOKUP(A811,[1]Kreise!$A$1:$C$53,3,FALSE)</f>
        <v>K030</v>
      </c>
      <c r="H811">
        <v>5.5860417550073578</v>
      </c>
    </row>
    <row r="812" spans="1:8">
      <c r="A812">
        <v>1</v>
      </c>
      <c r="B812" t="s">
        <v>145</v>
      </c>
      <c r="C812">
        <v>2014</v>
      </c>
      <c r="D812" t="s">
        <v>12</v>
      </c>
      <c r="E812" t="s">
        <v>10</v>
      </c>
      <c r="F812" t="s">
        <v>13</v>
      </c>
      <c r="G812" t="str">
        <f>VLOOKUP(A812,[1]Kreise!$A$1:$C$53,3,FALSE)</f>
        <v>K031</v>
      </c>
      <c r="H812">
        <v>5.2236390704899991</v>
      </c>
    </row>
    <row r="813" spans="1:8">
      <c r="A813">
        <v>2</v>
      </c>
      <c r="B813" t="s">
        <v>146</v>
      </c>
      <c r="C813">
        <v>2014</v>
      </c>
      <c r="D813" t="s">
        <v>12</v>
      </c>
      <c r="E813" t="s">
        <v>10</v>
      </c>
      <c r="F813" t="s">
        <v>13</v>
      </c>
      <c r="G813" t="str">
        <f>VLOOKUP(A813,[1]Kreise!$A$1:$C$53,3,FALSE)</f>
        <v>K032</v>
      </c>
      <c r="H813">
        <v>7.0737693085029596</v>
      </c>
    </row>
    <row r="814" spans="1:8">
      <c r="A814">
        <v>3</v>
      </c>
      <c r="B814" t="s">
        <v>147</v>
      </c>
      <c r="C814">
        <v>2014</v>
      </c>
      <c r="D814" t="s">
        <v>12</v>
      </c>
      <c r="E814" t="s">
        <v>10</v>
      </c>
      <c r="F814" t="s">
        <v>13</v>
      </c>
      <c r="G814" t="str">
        <f>VLOOKUP(A814,[1]Kreise!$A$1:$C$53,3,FALSE)</f>
        <v>K033</v>
      </c>
      <c r="H814">
        <v>3.8760104930670809</v>
      </c>
    </row>
    <row r="815" spans="1:8">
      <c r="A815">
        <v>4</v>
      </c>
      <c r="B815" t="s">
        <v>148</v>
      </c>
      <c r="C815">
        <v>2014</v>
      </c>
      <c r="D815" t="s">
        <v>12</v>
      </c>
      <c r="E815" t="s">
        <v>10</v>
      </c>
      <c r="F815" t="s">
        <v>13</v>
      </c>
      <c r="G815" t="str">
        <f>VLOOKUP(A815,[1]Kreise!$A$1:$C$53,3,FALSE)</f>
        <v>K034</v>
      </c>
      <c r="H815">
        <v>4.9818577648766329</v>
      </c>
    </row>
    <row r="816" spans="1:8">
      <c r="A816">
        <v>0</v>
      </c>
      <c r="B816" t="s">
        <v>34</v>
      </c>
      <c r="C816">
        <v>2014</v>
      </c>
      <c r="D816" t="s">
        <v>12</v>
      </c>
      <c r="E816" t="s">
        <v>10</v>
      </c>
      <c r="F816" t="s">
        <v>13</v>
      </c>
      <c r="G816" t="str">
        <f>VLOOKUP(A816,[1]Kreise!$A$1:$C$53,3,FALSE)</f>
        <v>K030</v>
      </c>
      <c r="H816">
        <v>5.3038111290303025</v>
      </c>
    </row>
    <row r="817" spans="1:8">
      <c r="A817">
        <v>1</v>
      </c>
      <c r="B817" t="s">
        <v>30</v>
      </c>
      <c r="C817">
        <v>2013</v>
      </c>
      <c r="D817" t="s">
        <v>12</v>
      </c>
      <c r="E817" t="s">
        <v>10</v>
      </c>
      <c r="F817" t="s">
        <v>13</v>
      </c>
      <c r="G817" t="str">
        <f>VLOOKUP(A817,[1]Kreise!$A$1:$C$53,3,FALSE)</f>
        <v>K031</v>
      </c>
      <c r="H817">
        <v>5.8321479374110954</v>
      </c>
    </row>
    <row r="818" spans="1:8">
      <c r="A818">
        <v>2</v>
      </c>
      <c r="B818" t="s">
        <v>31</v>
      </c>
      <c r="C818">
        <v>2013</v>
      </c>
      <c r="D818" t="s">
        <v>12</v>
      </c>
      <c r="E818" t="s">
        <v>10</v>
      </c>
      <c r="F818" t="s">
        <v>13</v>
      </c>
      <c r="G818" t="str">
        <f>VLOOKUP(A818,[1]Kreise!$A$1:$C$53,3,FALSE)</f>
        <v>K032</v>
      </c>
      <c r="H818">
        <v>7.7086214845550947</v>
      </c>
    </row>
    <row r="819" spans="1:8">
      <c r="A819">
        <v>3</v>
      </c>
      <c r="B819" t="s">
        <v>32</v>
      </c>
      <c r="C819">
        <v>2013</v>
      </c>
      <c r="D819" t="s">
        <v>12</v>
      </c>
      <c r="E819" t="s">
        <v>10</v>
      </c>
      <c r="F819" t="s">
        <v>13</v>
      </c>
      <c r="G819" t="str">
        <f>VLOOKUP(A819,[1]Kreise!$A$1:$C$53,3,FALSE)</f>
        <v>K033</v>
      </c>
      <c r="H819">
        <v>3.4803619165124409</v>
      </c>
    </row>
    <row r="820" spans="1:8">
      <c r="A820">
        <v>4</v>
      </c>
      <c r="B820" t="s">
        <v>33</v>
      </c>
      <c r="C820">
        <v>2013</v>
      </c>
      <c r="D820" t="s">
        <v>12</v>
      </c>
      <c r="E820" t="s">
        <v>10</v>
      </c>
      <c r="F820" t="s">
        <v>13</v>
      </c>
      <c r="G820" t="str">
        <f>VLOOKUP(A820,[1]Kreise!$A$1:$C$53,3,FALSE)</f>
        <v>K034</v>
      </c>
      <c r="H820">
        <v>4.6158079383641741</v>
      </c>
    </row>
    <row r="821" spans="1:8">
      <c r="A821">
        <v>0</v>
      </c>
      <c r="B821" t="s">
        <v>34</v>
      </c>
      <c r="C821">
        <v>2013</v>
      </c>
      <c r="D821" t="s">
        <v>12</v>
      </c>
      <c r="E821" t="s">
        <v>10</v>
      </c>
      <c r="F821" t="s">
        <v>13</v>
      </c>
      <c r="G821" t="str">
        <f>VLOOKUP(A821,[1]Kreise!$A$1:$C$53,3,FALSE)</f>
        <v>K030</v>
      </c>
      <c r="H821">
        <v>5.3643572379464031</v>
      </c>
    </row>
    <row r="822" spans="1:8">
      <c r="A822">
        <v>1</v>
      </c>
      <c r="B822" t="s">
        <v>145</v>
      </c>
      <c r="C822">
        <v>2012</v>
      </c>
      <c r="D822" t="s">
        <v>12</v>
      </c>
      <c r="E822" t="s">
        <v>10</v>
      </c>
      <c r="F822" t="s">
        <v>13</v>
      </c>
      <c r="G822" t="str">
        <f>VLOOKUP(A822,[1]Kreise!$A$1:$C$53,3,FALSE)</f>
        <v>K031</v>
      </c>
      <c r="H822">
        <v>6.3040412092966207</v>
      </c>
    </row>
    <row r="823" spans="1:8">
      <c r="A823">
        <v>2</v>
      </c>
      <c r="B823" t="s">
        <v>146</v>
      </c>
      <c r="C823">
        <v>2012</v>
      </c>
      <c r="D823" t="s">
        <v>12</v>
      </c>
      <c r="E823" t="s">
        <v>10</v>
      </c>
      <c r="F823" t="s">
        <v>13</v>
      </c>
      <c r="G823" t="str">
        <f>VLOOKUP(A823,[1]Kreise!$A$1:$C$53,3,FALSE)</f>
        <v>K032</v>
      </c>
      <c r="H823">
        <v>8.4683882457702584</v>
      </c>
    </row>
    <row r="824" spans="1:8">
      <c r="A824">
        <v>3</v>
      </c>
      <c r="B824" t="s">
        <v>147</v>
      </c>
      <c r="C824">
        <v>2012</v>
      </c>
      <c r="D824" t="s">
        <v>12</v>
      </c>
      <c r="E824" t="s">
        <v>10</v>
      </c>
      <c r="F824" t="s">
        <v>13</v>
      </c>
      <c r="G824" t="str">
        <f>VLOOKUP(A824,[1]Kreise!$A$1:$C$53,3,FALSE)</f>
        <v>K033</v>
      </c>
      <c r="H824">
        <v>3.9211702559934989</v>
      </c>
    </row>
    <row r="825" spans="1:8">
      <c r="A825">
        <v>4</v>
      </c>
      <c r="B825" t="s">
        <v>148</v>
      </c>
      <c r="C825">
        <v>2012</v>
      </c>
      <c r="D825" t="s">
        <v>12</v>
      </c>
      <c r="E825" t="s">
        <v>10</v>
      </c>
      <c r="F825" t="s">
        <v>13</v>
      </c>
      <c r="G825" t="str">
        <f>VLOOKUP(A825,[1]Kreise!$A$1:$C$53,3,FALSE)</f>
        <v>K034</v>
      </c>
      <c r="H825">
        <v>4.8564821112773773</v>
      </c>
    </row>
    <row r="826" spans="1:8">
      <c r="A826">
        <v>0</v>
      </c>
      <c r="B826" t="s">
        <v>34</v>
      </c>
      <c r="C826">
        <v>2012</v>
      </c>
      <c r="D826" t="s">
        <v>12</v>
      </c>
      <c r="E826" t="s">
        <v>10</v>
      </c>
      <c r="F826" t="s">
        <v>13</v>
      </c>
      <c r="G826" t="str">
        <f>VLOOKUP(A826,[1]Kreise!$A$1:$C$53,3,FALSE)</f>
        <v>K030</v>
      </c>
      <c r="H826">
        <v>5.8389009663210372</v>
      </c>
    </row>
    <row r="827" spans="1:8">
      <c r="A827">
        <v>1</v>
      </c>
      <c r="B827" t="s">
        <v>30</v>
      </c>
      <c r="C827">
        <v>2011</v>
      </c>
      <c r="D827" t="s">
        <v>12</v>
      </c>
      <c r="E827" t="s">
        <v>10</v>
      </c>
      <c r="F827" t="s">
        <v>13</v>
      </c>
      <c r="G827" t="str">
        <f>VLOOKUP(A827,[1]Kreise!$A$1:$C$53,3,FALSE)</f>
        <v>K031</v>
      </c>
      <c r="H827">
        <v>6.3809803346052245</v>
      </c>
    </row>
    <row r="828" spans="1:8">
      <c r="A828">
        <v>2</v>
      </c>
      <c r="B828" t="s">
        <v>31</v>
      </c>
      <c r="C828">
        <v>2011</v>
      </c>
      <c r="D828" t="s">
        <v>12</v>
      </c>
      <c r="E828" t="s">
        <v>10</v>
      </c>
      <c r="F828" t="s">
        <v>13</v>
      </c>
      <c r="G828" t="str">
        <f>VLOOKUP(A828,[1]Kreise!$A$1:$C$53,3,FALSE)</f>
        <v>K032</v>
      </c>
      <c r="H828">
        <v>8.5930408472012108</v>
      </c>
    </row>
    <row r="829" spans="1:8">
      <c r="A829">
        <v>3</v>
      </c>
      <c r="B829" t="s">
        <v>32</v>
      </c>
      <c r="C829">
        <v>2011</v>
      </c>
      <c r="D829" t="s">
        <v>12</v>
      </c>
      <c r="E829" t="s">
        <v>10</v>
      </c>
      <c r="F829" t="s">
        <v>13</v>
      </c>
      <c r="G829" t="str">
        <f>VLOOKUP(A829,[1]Kreise!$A$1:$C$53,3,FALSE)</f>
        <v>K033</v>
      </c>
      <c r="H829">
        <v>4.1552181248493616</v>
      </c>
    </row>
    <row r="830" spans="1:8">
      <c r="A830">
        <v>4</v>
      </c>
      <c r="B830" t="s">
        <v>33</v>
      </c>
      <c r="C830">
        <v>2011</v>
      </c>
      <c r="D830" t="s">
        <v>12</v>
      </c>
      <c r="E830" t="s">
        <v>10</v>
      </c>
      <c r="F830" t="s">
        <v>13</v>
      </c>
      <c r="G830" t="str">
        <f>VLOOKUP(A830,[1]Kreise!$A$1:$C$53,3,FALSE)</f>
        <v>K034</v>
      </c>
      <c r="H830">
        <v>5.0905897277429011</v>
      </c>
    </row>
    <row r="831" spans="1:8">
      <c r="A831">
        <v>0</v>
      </c>
      <c r="B831" t="s">
        <v>34</v>
      </c>
      <c r="C831">
        <v>2011</v>
      </c>
      <c r="D831" t="s">
        <v>12</v>
      </c>
      <c r="E831" t="s">
        <v>10</v>
      </c>
      <c r="F831" t="s">
        <v>13</v>
      </c>
      <c r="G831" t="str">
        <f>VLOOKUP(A831,[1]Kreise!$A$1:$C$53,3,FALSE)</f>
        <v>K030</v>
      </c>
      <c r="H831">
        <v>6.0027493508477168</v>
      </c>
    </row>
    <row r="832" spans="1:8">
      <c r="A832">
        <v>1</v>
      </c>
      <c r="B832" t="s">
        <v>145</v>
      </c>
      <c r="C832">
        <v>2010</v>
      </c>
      <c r="D832" t="s">
        <v>12</v>
      </c>
      <c r="E832" t="s">
        <v>10</v>
      </c>
      <c r="F832" t="s">
        <v>13</v>
      </c>
      <c r="G832" t="str">
        <f>VLOOKUP(A832,[1]Kreise!$A$1:$C$53,3,FALSE)</f>
        <v>K031</v>
      </c>
      <c r="H832">
        <v>6.592711805954707</v>
      </c>
    </row>
    <row r="833" spans="1:8">
      <c r="A833">
        <v>2</v>
      </c>
      <c r="B833" t="s">
        <v>146</v>
      </c>
      <c r="C833">
        <v>2010</v>
      </c>
      <c r="D833" t="s">
        <v>12</v>
      </c>
      <c r="E833" t="s">
        <v>10</v>
      </c>
      <c r="F833" t="s">
        <v>13</v>
      </c>
      <c r="G833" t="str">
        <f>VLOOKUP(A833,[1]Kreise!$A$1:$C$53,3,FALSE)</f>
        <v>K032</v>
      </c>
      <c r="H833">
        <v>8.5954059782843792</v>
      </c>
    </row>
    <row r="834" spans="1:8">
      <c r="A834">
        <v>3</v>
      </c>
      <c r="B834" t="s">
        <v>147</v>
      </c>
      <c r="C834">
        <v>2010</v>
      </c>
      <c r="D834" t="s">
        <v>12</v>
      </c>
      <c r="E834" t="s">
        <v>10</v>
      </c>
      <c r="F834" t="s">
        <v>13</v>
      </c>
      <c r="G834" t="str">
        <f>VLOOKUP(A834,[1]Kreise!$A$1:$C$53,3,FALSE)</f>
        <v>K033</v>
      </c>
      <c r="H834">
        <v>3.9256000765037777</v>
      </c>
    </row>
    <row r="835" spans="1:8">
      <c r="A835">
        <v>4</v>
      </c>
      <c r="B835" t="s">
        <v>148</v>
      </c>
      <c r="C835">
        <v>2010</v>
      </c>
      <c r="D835" t="s">
        <v>12</v>
      </c>
      <c r="E835" t="s">
        <v>10</v>
      </c>
      <c r="F835" t="s">
        <v>13</v>
      </c>
      <c r="G835" t="str">
        <f>VLOOKUP(A835,[1]Kreise!$A$1:$C$53,3,FALSE)</f>
        <v>K034</v>
      </c>
      <c r="H835">
        <v>4.6246304152204658</v>
      </c>
    </row>
    <row r="836" spans="1:8">
      <c r="A836">
        <v>0</v>
      </c>
      <c r="B836" t="s">
        <v>34</v>
      </c>
      <c r="C836">
        <v>2010</v>
      </c>
      <c r="D836" t="s">
        <v>12</v>
      </c>
      <c r="E836" t="s">
        <v>10</v>
      </c>
      <c r="F836" t="s">
        <v>13</v>
      </c>
      <c r="G836" t="str">
        <f>VLOOKUP(A836,[1]Kreise!$A$1:$C$53,3,FALSE)</f>
        <v>K030</v>
      </c>
      <c r="H836">
        <v>5.8285158571505757</v>
      </c>
    </row>
    <row r="837" spans="1:8">
      <c r="A837">
        <v>1</v>
      </c>
      <c r="B837" t="s">
        <v>145</v>
      </c>
      <c r="C837">
        <v>2005</v>
      </c>
      <c r="D837" t="s">
        <v>12</v>
      </c>
      <c r="E837" t="s">
        <v>10</v>
      </c>
      <c r="F837" t="s">
        <v>13</v>
      </c>
      <c r="G837" t="str">
        <f>VLOOKUP(A837,[1]Kreise!$A$1:$C$53,3,FALSE)</f>
        <v>K031</v>
      </c>
      <c r="H837">
        <v>7.3362308215950147</v>
      </c>
    </row>
    <row r="838" spans="1:8">
      <c r="A838">
        <v>2</v>
      </c>
      <c r="B838" t="s">
        <v>146</v>
      </c>
      <c r="C838">
        <v>2005</v>
      </c>
      <c r="D838" t="s">
        <v>12</v>
      </c>
      <c r="E838" t="s">
        <v>10</v>
      </c>
      <c r="F838" t="s">
        <v>13</v>
      </c>
      <c r="G838" t="str">
        <f>VLOOKUP(A838,[1]Kreise!$A$1:$C$53,3,FALSE)</f>
        <v>K032</v>
      </c>
      <c r="H838">
        <v>9.8762878066945259</v>
      </c>
    </row>
    <row r="839" spans="1:8">
      <c r="A839">
        <v>3</v>
      </c>
      <c r="B839" t="s">
        <v>147</v>
      </c>
      <c r="C839">
        <v>2005</v>
      </c>
      <c r="D839" t="s">
        <v>12</v>
      </c>
      <c r="E839" t="s">
        <v>10</v>
      </c>
      <c r="F839" t="s">
        <v>13</v>
      </c>
      <c r="G839" t="str">
        <f>VLOOKUP(A839,[1]Kreise!$A$1:$C$53,3,FALSE)</f>
        <v>K033</v>
      </c>
      <c r="H839">
        <v>4.9041297935103243</v>
      </c>
    </row>
    <row r="840" spans="1:8">
      <c r="A840">
        <v>4</v>
      </c>
      <c r="B840" t="s">
        <v>148</v>
      </c>
      <c r="C840">
        <v>2005</v>
      </c>
      <c r="D840" t="s">
        <v>12</v>
      </c>
      <c r="E840" t="s">
        <v>10</v>
      </c>
      <c r="F840" t="s">
        <v>13</v>
      </c>
      <c r="G840" t="str">
        <f>VLOOKUP(A840,[1]Kreise!$A$1:$C$53,3,FALSE)</f>
        <v>K034</v>
      </c>
      <c r="H840">
        <v>5.1572327044025164</v>
      </c>
    </row>
    <row r="841" spans="1:8">
      <c r="A841">
        <v>0</v>
      </c>
      <c r="B841" t="s">
        <v>34</v>
      </c>
      <c r="C841">
        <v>2005</v>
      </c>
      <c r="D841" t="s">
        <v>12</v>
      </c>
      <c r="E841" t="s">
        <v>10</v>
      </c>
      <c r="F841" t="s">
        <v>13</v>
      </c>
      <c r="G841" t="str">
        <f>VLOOKUP(A841,[1]Kreise!$A$1:$C$53,3,FALSE)</f>
        <v>K030</v>
      </c>
      <c r="H841">
        <v>6.69659788636387</v>
      </c>
    </row>
    <row r="842" spans="1:8">
      <c r="A842">
        <v>1</v>
      </c>
      <c r="B842" t="s">
        <v>30</v>
      </c>
      <c r="C842">
        <v>2020</v>
      </c>
      <c r="D842" t="s">
        <v>11</v>
      </c>
      <c r="E842" t="s">
        <v>4</v>
      </c>
      <c r="F842" t="s">
        <v>38</v>
      </c>
      <c r="G842" t="str">
        <f>VLOOKUP(A842,[1]Kreise!$A$1:$C$53,3,FALSE)</f>
        <v>K031</v>
      </c>
      <c r="H842">
        <v>832</v>
      </c>
    </row>
    <row r="843" spans="1:8">
      <c r="A843">
        <v>2</v>
      </c>
      <c r="B843" t="s">
        <v>31</v>
      </c>
      <c r="C843">
        <v>2020</v>
      </c>
      <c r="D843" t="s">
        <v>11</v>
      </c>
      <c r="E843" t="s">
        <v>4</v>
      </c>
      <c r="F843" t="s">
        <v>38</v>
      </c>
      <c r="G843" t="str">
        <f>VLOOKUP(A843,[1]Kreise!$A$1:$C$53,3,FALSE)</f>
        <v>K032</v>
      </c>
      <c r="H843">
        <v>649</v>
      </c>
    </row>
    <row r="844" spans="1:8">
      <c r="A844">
        <v>3</v>
      </c>
      <c r="B844" t="s">
        <v>32</v>
      </c>
      <c r="C844">
        <v>2020</v>
      </c>
      <c r="D844" t="s">
        <v>11</v>
      </c>
      <c r="E844" t="s">
        <v>4</v>
      </c>
      <c r="F844" t="s">
        <v>38</v>
      </c>
      <c r="G844" t="str">
        <f>VLOOKUP(A844,[1]Kreise!$A$1:$C$53,3,FALSE)</f>
        <v>K033</v>
      </c>
      <c r="H844">
        <v>758</v>
      </c>
    </row>
    <row r="845" spans="1:8">
      <c r="A845">
        <v>4</v>
      </c>
      <c r="B845" t="s">
        <v>33</v>
      </c>
      <c r="C845">
        <v>2020</v>
      </c>
      <c r="D845" t="s">
        <v>11</v>
      </c>
      <c r="E845" t="s">
        <v>4</v>
      </c>
      <c r="F845" t="s">
        <v>38</v>
      </c>
      <c r="G845" t="str">
        <f>VLOOKUP(A845,[1]Kreise!$A$1:$C$53,3,FALSE)</f>
        <v>K034</v>
      </c>
      <c r="H845">
        <v>991</v>
      </c>
    </row>
    <row r="846" spans="1:8">
      <c r="A846">
        <v>0</v>
      </c>
      <c r="B846" t="s">
        <v>34</v>
      </c>
      <c r="C846">
        <v>2020</v>
      </c>
      <c r="D846" t="s">
        <v>11</v>
      </c>
      <c r="E846" t="s">
        <v>4</v>
      </c>
      <c r="F846" t="s">
        <v>38</v>
      </c>
      <c r="G846" t="str">
        <f>VLOOKUP(A846,[1]Kreise!$A$1:$C$53,3,FALSE)</f>
        <v>K030</v>
      </c>
      <c r="H846">
        <v>3230</v>
      </c>
    </row>
    <row r="847" spans="1:8">
      <c r="A847">
        <v>1</v>
      </c>
      <c r="B847" t="s">
        <v>30</v>
      </c>
      <c r="C847">
        <v>2019</v>
      </c>
      <c r="D847" t="s">
        <v>11</v>
      </c>
      <c r="E847" t="s">
        <v>4</v>
      </c>
      <c r="F847" t="s">
        <v>38</v>
      </c>
      <c r="G847" t="str">
        <f>VLOOKUP(A847,[1]Kreise!$A$1:$C$53,3,FALSE)</f>
        <v>K031</v>
      </c>
      <c r="H847">
        <v>920</v>
      </c>
    </row>
    <row r="848" spans="1:8">
      <c r="A848">
        <v>2</v>
      </c>
      <c r="B848" t="s">
        <v>31</v>
      </c>
      <c r="C848">
        <v>2019</v>
      </c>
      <c r="D848" t="s">
        <v>11</v>
      </c>
      <c r="E848" t="s">
        <v>4</v>
      </c>
      <c r="F848" t="s">
        <v>38</v>
      </c>
      <c r="G848" t="str">
        <f>VLOOKUP(A848,[1]Kreise!$A$1:$C$53,3,FALSE)</f>
        <v>K032</v>
      </c>
      <c r="H848">
        <v>718</v>
      </c>
    </row>
    <row r="849" spans="1:8">
      <c r="A849">
        <v>3</v>
      </c>
      <c r="B849" t="s">
        <v>32</v>
      </c>
      <c r="C849">
        <v>2019</v>
      </c>
      <c r="D849" t="s">
        <v>11</v>
      </c>
      <c r="E849" t="s">
        <v>4</v>
      </c>
      <c r="F849" t="s">
        <v>38</v>
      </c>
      <c r="G849" t="str">
        <f>VLOOKUP(A849,[1]Kreise!$A$1:$C$53,3,FALSE)</f>
        <v>K033</v>
      </c>
      <c r="H849">
        <v>788</v>
      </c>
    </row>
    <row r="850" spans="1:8">
      <c r="A850">
        <v>4</v>
      </c>
      <c r="B850" t="s">
        <v>33</v>
      </c>
      <c r="C850">
        <v>2019</v>
      </c>
      <c r="D850" t="s">
        <v>11</v>
      </c>
      <c r="E850" t="s">
        <v>4</v>
      </c>
      <c r="F850" t="s">
        <v>38</v>
      </c>
      <c r="G850" t="str">
        <f>VLOOKUP(A850,[1]Kreise!$A$1:$C$53,3,FALSE)</f>
        <v>K034</v>
      </c>
      <c r="H850">
        <v>1034</v>
      </c>
    </row>
    <row r="851" spans="1:8">
      <c r="A851">
        <v>0</v>
      </c>
      <c r="B851" t="s">
        <v>34</v>
      </c>
      <c r="C851">
        <v>2019</v>
      </c>
      <c r="D851" t="s">
        <v>11</v>
      </c>
      <c r="E851" t="s">
        <v>4</v>
      </c>
      <c r="F851" t="s">
        <v>38</v>
      </c>
      <c r="G851" t="str">
        <f>VLOOKUP(A851,[1]Kreise!$A$1:$C$53,3,FALSE)</f>
        <v>K030</v>
      </c>
      <c r="H851">
        <v>3460</v>
      </c>
    </row>
    <row r="852" spans="1:8">
      <c r="A852">
        <v>1</v>
      </c>
      <c r="B852" t="s">
        <v>30</v>
      </c>
      <c r="C852">
        <v>2018</v>
      </c>
      <c r="D852" t="s">
        <v>11</v>
      </c>
      <c r="E852" t="s">
        <v>4</v>
      </c>
      <c r="F852" t="s">
        <v>38</v>
      </c>
      <c r="G852" t="str">
        <f>VLOOKUP(A852,[1]Kreise!$A$1:$C$53,3,FALSE)</f>
        <v>K031</v>
      </c>
      <c r="H852">
        <v>926</v>
      </c>
    </row>
    <row r="853" spans="1:8">
      <c r="A853">
        <v>2</v>
      </c>
      <c r="B853" t="s">
        <v>31</v>
      </c>
      <c r="C853">
        <v>2018</v>
      </c>
      <c r="D853" t="s">
        <v>11</v>
      </c>
      <c r="E853" t="s">
        <v>4</v>
      </c>
      <c r="F853" t="s">
        <v>38</v>
      </c>
      <c r="G853" t="str">
        <f>VLOOKUP(A853,[1]Kreise!$A$1:$C$53,3,FALSE)</f>
        <v>K032</v>
      </c>
      <c r="H853">
        <v>877</v>
      </c>
    </row>
    <row r="854" spans="1:8">
      <c r="A854">
        <v>3</v>
      </c>
      <c r="B854" t="s">
        <v>32</v>
      </c>
      <c r="C854">
        <v>2018</v>
      </c>
      <c r="D854" t="s">
        <v>11</v>
      </c>
      <c r="E854" t="s">
        <v>4</v>
      </c>
      <c r="F854" t="s">
        <v>38</v>
      </c>
      <c r="G854" t="str">
        <f>VLOOKUP(A854,[1]Kreise!$A$1:$C$53,3,FALSE)</f>
        <v>K033</v>
      </c>
      <c r="H854">
        <v>838</v>
      </c>
    </row>
    <row r="855" spans="1:8">
      <c r="A855">
        <v>4</v>
      </c>
      <c r="B855" t="s">
        <v>33</v>
      </c>
      <c r="C855">
        <v>2018</v>
      </c>
      <c r="D855" t="s">
        <v>11</v>
      </c>
      <c r="E855" t="s">
        <v>4</v>
      </c>
      <c r="F855" t="s">
        <v>38</v>
      </c>
      <c r="G855" t="str">
        <f>VLOOKUP(A855,[1]Kreise!$A$1:$C$53,3,FALSE)</f>
        <v>K034</v>
      </c>
      <c r="H855">
        <v>1230</v>
      </c>
    </row>
    <row r="856" spans="1:8">
      <c r="A856">
        <v>0</v>
      </c>
      <c r="B856" t="s">
        <v>34</v>
      </c>
      <c r="C856">
        <v>2018</v>
      </c>
      <c r="D856" t="s">
        <v>11</v>
      </c>
      <c r="E856" t="s">
        <v>4</v>
      </c>
      <c r="F856" t="s">
        <v>38</v>
      </c>
      <c r="G856" t="str">
        <f>VLOOKUP(A856,[1]Kreise!$A$1:$C$53,3,FALSE)</f>
        <v>K030</v>
      </c>
      <c r="H856">
        <v>3871</v>
      </c>
    </row>
    <row r="857" spans="1:8">
      <c r="A857">
        <v>1</v>
      </c>
      <c r="B857" t="s">
        <v>30</v>
      </c>
      <c r="C857">
        <v>2017</v>
      </c>
      <c r="D857" t="s">
        <v>11</v>
      </c>
      <c r="E857" t="s">
        <v>4</v>
      </c>
      <c r="F857" t="s">
        <v>38</v>
      </c>
      <c r="G857" t="str">
        <f>VLOOKUP(A857,[1]Kreise!$A$1:$C$53,3,FALSE)</f>
        <v>K031</v>
      </c>
      <c r="H857">
        <v>1003</v>
      </c>
    </row>
    <row r="858" spans="1:8">
      <c r="A858">
        <v>2</v>
      </c>
      <c r="B858" t="s">
        <v>31</v>
      </c>
      <c r="C858">
        <v>2017</v>
      </c>
      <c r="D858" t="s">
        <v>11</v>
      </c>
      <c r="E858" t="s">
        <v>4</v>
      </c>
      <c r="F858" t="s">
        <v>38</v>
      </c>
      <c r="G858" t="str">
        <f>VLOOKUP(A858,[1]Kreise!$A$1:$C$53,3,FALSE)</f>
        <v>K032</v>
      </c>
      <c r="H858">
        <v>886</v>
      </c>
    </row>
    <row r="859" spans="1:8">
      <c r="A859">
        <v>3</v>
      </c>
      <c r="B859" t="s">
        <v>32</v>
      </c>
      <c r="C859">
        <v>2017</v>
      </c>
      <c r="D859" t="s">
        <v>11</v>
      </c>
      <c r="E859" t="s">
        <v>4</v>
      </c>
      <c r="F859" t="s">
        <v>38</v>
      </c>
      <c r="G859" t="str">
        <f>VLOOKUP(A859,[1]Kreise!$A$1:$C$53,3,FALSE)</f>
        <v>K033</v>
      </c>
      <c r="H859">
        <v>840</v>
      </c>
    </row>
    <row r="860" spans="1:8">
      <c r="A860">
        <v>4</v>
      </c>
      <c r="B860" t="s">
        <v>33</v>
      </c>
      <c r="C860">
        <v>2017</v>
      </c>
      <c r="D860" t="s">
        <v>11</v>
      </c>
      <c r="E860" t="s">
        <v>4</v>
      </c>
      <c r="F860" t="s">
        <v>38</v>
      </c>
      <c r="G860" t="str">
        <f>VLOOKUP(A860,[1]Kreise!$A$1:$C$53,3,FALSE)</f>
        <v>K034</v>
      </c>
      <c r="H860">
        <v>1402</v>
      </c>
    </row>
    <row r="861" spans="1:8">
      <c r="A861">
        <v>0</v>
      </c>
      <c r="B861" t="s">
        <v>34</v>
      </c>
      <c r="C861">
        <v>2017</v>
      </c>
      <c r="D861" t="s">
        <v>11</v>
      </c>
      <c r="E861" t="s">
        <v>4</v>
      </c>
      <c r="F861" t="s">
        <v>38</v>
      </c>
      <c r="G861" t="str">
        <f>VLOOKUP(A861,[1]Kreise!$A$1:$C$53,3,FALSE)</f>
        <v>K030</v>
      </c>
      <c r="H861">
        <v>4131</v>
      </c>
    </row>
    <row r="862" spans="1:8">
      <c r="A862">
        <v>1</v>
      </c>
      <c r="B862" t="s">
        <v>30</v>
      </c>
      <c r="C862">
        <v>2016</v>
      </c>
      <c r="D862" t="s">
        <v>11</v>
      </c>
      <c r="E862" t="s">
        <v>4</v>
      </c>
      <c r="F862" t="s">
        <v>38</v>
      </c>
      <c r="G862" t="str">
        <f>VLOOKUP(A862,[1]Kreise!$A$1:$C$53,3,FALSE)</f>
        <v>K031</v>
      </c>
      <c r="H862">
        <v>1160</v>
      </c>
    </row>
    <row r="863" spans="1:8">
      <c r="A863">
        <v>2</v>
      </c>
      <c r="B863" t="s">
        <v>31</v>
      </c>
      <c r="C863">
        <v>2016</v>
      </c>
      <c r="D863" t="s">
        <v>11</v>
      </c>
      <c r="E863" t="s">
        <v>4</v>
      </c>
      <c r="F863" t="s">
        <v>38</v>
      </c>
      <c r="G863" t="str">
        <f>VLOOKUP(A863,[1]Kreise!$A$1:$C$53,3,FALSE)</f>
        <v>K032</v>
      </c>
      <c r="H863">
        <v>1092</v>
      </c>
    </row>
    <row r="864" spans="1:8">
      <c r="A864">
        <v>3</v>
      </c>
      <c r="B864" t="s">
        <v>32</v>
      </c>
      <c r="C864">
        <v>2016</v>
      </c>
      <c r="D864" t="s">
        <v>11</v>
      </c>
      <c r="E864" t="s">
        <v>4</v>
      </c>
      <c r="F864" t="s">
        <v>38</v>
      </c>
      <c r="G864" t="str">
        <f>VLOOKUP(A864,[1]Kreise!$A$1:$C$53,3,FALSE)</f>
        <v>K033</v>
      </c>
      <c r="H864">
        <v>1002</v>
      </c>
    </row>
    <row r="865" spans="1:8">
      <c r="A865">
        <v>4</v>
      </c>
      <c r="B865" t="s">
        <v>33</v>
      </c>
      <c r="C865">
        <v>2016</v>
      </c>
      <c r="D865" t="s">
        <v>11</v>
      </c>
      <c r="E865" t="s">
        <v>4</v>
      </c>
      <c r="F865" t="s">
        <v>38</v>
      </c>
      <c r="G865" t="str">
        <f>VLOOKUP(A865,[1]Kreise!$A$1:$C$53,3,FALSE)</f>
        <v>K034</v>
      </c>
      <c r="H865">
        <v>1732</v>
      </c>
    </row>
    <row r="866" spans="1:8">
      <c r="A866">
        <v>0</v>
      </c>
      <c r="B866" t="s">
        <v>34</v>
      </c>
      <c r="C866">
        <v>2016</v>
      </c>
      <c r="D866" t="s">
        <v>11</v>
      </c>
      <c r="E866" t="s">
        <v>4</v>
      </c>
      <c r="F866" t="s">
        <v>38</v>
      </c>
      <c r="G866" t="str">
        <f>VLOOKUP(A866,[1]Kreise!$A$1:$C$53,3,FALSE)</f>
        <v>K030</v>
      </c>
      <c r="H866">
        <v>4986</v>
      </c>
    </row>
    <row r="867" spans="1:8">
      <c r="A867">
        <v>1</v>
      </c>
      <c r="B867" t="s">
        <v>30</v>
      </c>
      <c r="C867">
        <v>2015</v>
      </c>
      <c r="D867" t="s">
        <v>11</v>
      </c>
      <c r="E867" t="s">
        <v>4</v>
      </c>
      <c r="F867" t="s">
        <v>38</v>
      </c>
      <c r="G867" t="str">
        <f>VLOOKUP(A867,[1]Kreise!$A$1:$C$53,3,FALSE)</f>
        <v>K031</v>
      </c>
      <c r="H867">
        <v>1215</v>
      </c>
    </row>
    <row r="868" spans="1:8">
      <c r="A868">
        <v>2</v>
      </c>
      <c r="B868" t="s">
        <v>31</v>
      </c>
      <c r="C868">
        <v>2015</v>
      </c>
      <c r="D868" t="s">
        <v>11</v>
      </c>
      <c r="E868" t="s">
        <v>4</v>
      </c>
      <c r="F868" t="s">
        <v>38</v>
      </c>
      <c r="G868" t="str">
        <f>VLOOKUP(A868,[1]Kreise!$A$1:$C$53,3,FALSE)</f>
        <v>K032</v>
      </c>
      <c r="H868">
        <v>1225</v>
      </c>
    </row>
    <row r="869" spans="1:8">
      <c r="A869">
        <v>3</v>
      </c>
      <c r="B869" t="s">
        <v>32</v>
      </c>
      <c r="C869">
        <v>2015</v>
      </c>
      <c r="D869" t="s">
        <v>11</v>
      </c>
      <c r="E869" t="s">
        <v>4</v>
      </c>
      <c r="F869" t="s">
        <v>38</v>
      </c>
      <c r="G869" t="str">
        <f>VLOOKUP(A869,[1]Kreise!$A$1:$C$53,3,FALSE)</f>
        <v>K033</v>
      </c>
      <c r="H869">
        <v>1117</v>
      </c>
    </row>
    <row r="870" spans="1:8">
      <c r="A870">
        <v>4</v>
      </c>
      <c r="B870" t="s">
        <v>33</v>
      </c>
      <c r="C870">
        <v>2015</v>
      </c>
      <c r="D870" t="s">
        <v>11</v>
      </c>
      <c r="E870" t="s">
        <v>4</v>
      </c>
      <c r="F870" t="s">
        <v>38</v>
      </c>
      <c r="G870" t="str">
        <f>VLOOKUP(A870,[1]Kreise!$A$1:$C$53,3,FALSE)</f>
        <v>K034</v>
      </c>
      <c r="H870">
        <v>2110</v>
      </c>
    </row>
    <row r="871" spans="1:8">
      <c r="A871">
        <v>0</v>
      </c>
      <c r="B871" t="s">
        <v>34</v>
      </c>
      <c r="C871">
        <v>2015</v>
      </c>
      <c r="D871" t="s">
        <v>11</v>
      </c>
      <c r="E871" t="s">
        <v>4</v>
      </c>
      <c r="F871" t="s">
        <v>38</v>
      </c>
      <c r="G871" t="str">
        <f>VLOOKUP(A871,[1]Kreise!$A$1:$C$53,3,FALSE)</f>
        <v>K030</v>
      </c>
      <c r="H871">
        <v>5667</v>
      </c>
    </row>
    <row r="872" spans="1:8">
      <c r="A872">
        <v>1</v>
      </c>
      <c r="B872" t="s">
        <v>145</v>
      </c>
      <c r="C872">
        <v>2014</v>
      </c>
      <c r="D872" t="s">
        <v>11</v>
      </c>
      <c r="E872" t="s">
        <v>4</v>
      </c>
      <c r="F872" t="s">
        <v>38</v>
      </c>
      <c r="G872" t="str">
        <f>VLOOKUP(A872,[1]Kreise!$A$1:$C$53,3,FALSE)</f>
        <v>K031</v>
      </c>
      <c r="H872">
        <v>1525</v>
      </c>
    </row>
    <row r="873" spans="1:8">
      <c r="A873">
        <v>2</v>
      </c>
      <c r="B873" t="s">
        <v>146</v>
      </c>
      <c r="C873">
        <v>2014</v>
      </c>
      <c r="D873" t="s">
        <v>11</v>
      </c>
      <c r="E873" t="s">
        <v>4</v>
      </c>
      <c r="F873" t="s">
        <v>38</v>
      </c>
      <c r="G873" t="str">
        <f>VLOOKUP(A873,[1]Kreise!$A$1:$C$53,3,FALSE)</f>
        <v>K032</v>
      </c>
      <c r="H873">
        <v>1639</v>
      </c>
    </row>
    <row r="874" spans="1:8">
      <c r="A874">
        <v>3</v>
      </c>
      <c r="B874" t="s">
        <v>147</v>
      </c>
      <c r="C874">
        <v>2014</v>
      </c>
      <c r="D874" t="s">
        <v>11</v>
      </c>
      <c r="E874" t="s">
        <v>4</v>
      </c>
      <c r="F874" t="s">
        <v>38</v>
      </c>
      <c r="G874" t="str">
        <f>VLOOKUP(A874,[1]Kreise!$A$1:$C$53,3,FALSE)</f>
        <v>K033</v>
      </c>
      <c r="H874">
        <v>1893</v>
      </c>
    </row>
    <row r="875" spans="1:8">
      <c r="A875">
        <v>4</v>
      </c>
      <c r="B875" t="s">
        <v>148</v>
      </c>
      <c r="C875">
        <v>2014</v>
      </c>
      <c r="D875" t="s">
        <v>11</v>
      </c>
      <c r="E875" t="s">
        <v>4</v>
      </c>
      <c r="F875" t="s">
        <v>38</v>
      </c>
      <c r="G875" t="str">
        <f>VLOOKUP(A875,[1]Kreise!$A$1:$C$53,3,FALSE)</f>
        <v>K034</v>
      </c>
      <c r="H875">
        <v>2855</v>
      </c>
    </row>
    <row r="876" spans="1:8">
      <c r="A876">
        <v>0</v>
      </c>
      <c r="B876" t="s">
        <v>34</v>
      </c>
      <c r="C876">
        <v>2014</v>
      </c>
      <c r="D876" t="s">
        <v>11</v>
      </c>
      <c r="E876" t="s">
        <v>4</v>
      </c>
      <c r="F876" t="s">
        <v>38</v>
      </c>
      <c r="G876" t="str">
        <f>VLOOKUP(A876,[1]Kreise!$A$1:$C$53,3,FALSE)</f>
        <v>K030</v>
      </c>
      <c r="H876">
        <v>7912</v>
      </c>
    </row>
    <row r="877" spans="1:8">
      <c r="A877">
        <v>1</v>
      </c>
      <c r="B877" t="s">
        <v>30</v>
      </c>
      <c r="C877">
        <v>2013</v>
      </c>
      <c r="D877" t="s">
        <v>11</v>
      </c>
      <c r="E877" t="s">
        <v>4</v>
      </c>
      <c r="F877" t="s">
        <v>38</v>
      </c>
      <c r="G877" t="str">
        <f>VLOOKUP(A877,[1]Kreise!$A$1:$C$53,3,FALSE)</f>
        <v>K031</v>
      </c>
      <c r="H877">
        <v>1855</v>
      </c>
    </row>
    <row r="878" spans="1:8">
      <c r="A878">
        <v>2</v>
      </c>
      <c r="B878" t="s">
        <v>31</v>
      </c>
      <c r="C878">
        <v>2013</v>
      </c>
      <c r="D878" t="s">
        <v>11</v>
      </c>
      <c r="E878" t="s">
        <v>4</v>
      </c>
      <c r="F878" t="s">
        <v>38</v>
      </c>
      <c r="G878" t="str">
        <f>VLOOKUP(A878,[1]Kreise!$A$1:$C$53,3,FALSE)</f>
        <v>K032</v>
      </c>
      <c r="H878">
        <v>2273</v>
      </c>
    </row>
    <row r="879" spans="1:8">
      <c r="A879">
        <v>3</v>
      </c>
      <c r="B879" t="s">
        <v>32</v>
      </c>
      <c r="C879">
        <v>2013</v>
      </c>
      <c r="D879" t="s">
        <v>11</v>
      </c>
      <c r="E879" t="s">
        <v>4</v>
      </c>
      <c r="F879" t="s">
        <v>38</v>
      </c>
      <c r="G879" t="str">
        <f>VLOOKUP(A879,[1]Kreise!$A$1:$C$53,3,FALSE)</f>
        <v>K033</v>
      </c>
      <c r="H879">
        <v>2971</v>
      </c>
    </row>
    <row r="880" spans="1:8">
      <c r="A880">
        <v>4</v>
      </c>
      <c r="B880" t="s">
        <v>33</v>
      </c>
      <c r="C880">
        <v>2013</v>
      </c>
      <c r="D880" t="s">
        <v>11</v>
      </c>
      <c r="E880" t="s">
        <v>4</v>
      </c>
      <c r="F880" t="s">
        <v>38</v>
      </c>
      <c r="G880" t="str">
        <f>VLOOKUP(A880,[1]Kreise!$A$1:$C$53,3,FALSE)</f>
        <v>K034</v>
      </c>
      <c r="H880">
        <v>4624</v>
      </c>
    </row>
    <row r="881" spans="1:8">
      <c r="A881">
        <v>0</v>
      </c>
      <c r="B881" t="s">
        <v>34</v>
      </c>
      <c r="C881">
        <v>2013</v>
      </c>
      <c r="D881" t="s">
        <v>11</v>
      </c>
      <c r="E881" t="s">
        <v>4</v>
      </c>
      <c r="F881" t="s">
        <v>38</v>
      </c>
      <c r="G881" t="str">
        <f>VLOOKUP(A881,[1]Kreise!$A$1:$C$53,3,FALSE)</f>
        <v>K030</v>
      </c>
      <c r="H881">
        <v>11723</v>
      </c>
    </row>
    <row r="882" spans="1:8">
      <c r="A882">
        <v>1</v>
      </c>
      <c r="B882" t="s">
        <v>145</v>
      </c>
      <c r="C882">
        <v>2012</v>
      </c>
      <c r="D882" t="s">
        <v>11</v>
      </c>
      <c r="E882" t="s">
        <v>4</v>
      </c>
      <c r="F882" t="s">
        <v>38</v>
      </c>
      <c r="G882" t="str">
        <f>VLOOKUP(A882,[1]Kreise!$A$1:$C$53,3,FALSE)</f>
        <v>K031</v>
      </c>
      <c r="H882">
        <v>2108</v>
      </c>
    </row>
    <row r="883" spans="1:8">
      <c r="A883">
        <v>2</v>
      </c>
      <c r="B883" t="s">
        <v>146</v>
      </c>
      <c r="C883">
        <v>2012</v>
      </c>
      <c r="D883" t="s">
        <v>11</v>
      </c>
      <c r="E883" t="s">
        <v>4</v>
      </c>
      <c r="F883" t="s">
        <v>38</v>
      </c>
      <c r="G883" t="str">
        <f>VLOOKUP(A883,[1]Kreise!$A$1:$C$53,3,FALSE)</f>
        <v>K032</v>
      </c>
      <c r="H883">
        <v>2454</v>
      </c>
    </row>
    <row r="884" spans="1:8">
      <c r="A884">
        <v>3</v>
      </c>
      <c r="B884" t="s">
        <v>147</v>
      </c>
      <c r="C884">
        <v>2012</v>
      </c>
      <c r="D884" t="s">
        <v>11</v>
      </c>
      <c r="E884" t="s">
        <v>4</v>
      </c>
      <c r="F884" t="s">
        <v>38</v>
      </c>
      <c r="G884" t="str">
        <f>VLOOKUP(A884,[1]Kreise!$A$1:$C$53,3,FALSE)</f>
        <v>K033</v>
      </c>
      <c r="H884">
        <v>3067</v>
      </c>
    </row>
    <row r="885" spans="1:8">
      <c r="A885">
        <v>4</v>
      </c>
      <c r="B885" t="s">
        <v>148</v>
      </c>
      <c r="C885">
        <v>2012</v>
      </c>
      <c r="D885" t="s">
        <v>11</v>
      </c>
      <c r="E885" t="s">
        <v>4</v>
      </c>
      <c r="F885" t="s">
        <v>38</v>
      </c>
      <c r="G885" t="str">
        <f>VLOOKUP(A885,[1]Kreise!$A$1:$C$53,3,FALSE)</f>
        <v>K034</v>
      </c>
      <c r="H885">
        <v>5026</v>
      </c>
    </row>
    <row r="886" spans="1:8">
      <c r="A886">
        <v>0</v>
      </c>
      <c r="B886" t="s">
        <v>34</v>
      </c>
      <c r="C886">
        <v>2012</v>
      </c>
      <c r="D886" t="s">
        <v>11</v>
      </c>
      <c r="E886" t="s">
        <v>4</v>
      </c>
      <c r="F886" t="s">
        <v>38</v>
      </c>
      <c r="G886" t="str">
        <f>VLOOKUP(A886,[1]Kreise!$A$1:$C$53,3,FALSE)</f>
        <v>K030</v>
      </c>
      <c r="H886">
        <v>12655</v>
      </c>
    </row>
    <row r="887" spans="1:8">
      <c r="A887">
        <v>1</v>
      </c>
      <c r="B887" t="s">
        <v>30</v>
      </c>
      <c r="C887">
        <v>2011</v>
      </c>
      <c r="D887" t="s">
        <v>11</v>
      </c>
      <c r="E887" t="s">
        <v>4</v>
      </c>
      <c r="F887" t="s">
        <v>38</v>
      </c>
      <c r="G887" t="str">
        <f>VLOOKUP(A887,[1]Kreise!$A$1:$C$53,3,FALSE)</f>
        <v>K031</v>
      </c>
      <c r="H887">
        <v>2267</v>
      </c>
    </row>
    <row r="888" spans="1:8">
      <c r="A888">
        <v>2</v>
      </c>
      <c r="B888" t="s">
        <v>31</v>
      </c>
      <c r="C888">
        <v>2011</v>
      </c>
      <c r="D888" t="s">
        <v>11</v>
      </c>
      <c r="E888" t="s">
        <v>4</v>
      </c>
      <c r="F888" t="s">
        <v>38</v>
      </c>
      <c r="G888" t="str">
        <f>VLOOKUP(A888,[1]Kreise!$A$1:$C$53,3,FALSE)</f>
        <v>K032</v>
      </c>
      <c r="H888">
        <v>2749</v>
      </c>
    </row>
    <row r="889" spans="1:8">
      <c r="A889">
        <v>3</v>
      </c>
      <c r="B889" t="s">
        <v>32</v>
      </c>
      <c r="C889">
        <v>2011</v>
      </c>
      <c r="D889" t="s">
        <v>11</v>
      </c>
      <c r="E889" t="s">
        <v>4</v>
      </c>
      <c r="F889" t="s">
        <v>38</v>
      </c>
      <c r="G889" t="str">
        <f>VLOOKUP(A889,[1]Kreise!$A$1:$C$53,3,FALSE)</f>
        <v>K033</v>
      </c>
      <c r="H889">
        <v>3460</v>
      </c>
    </row>
    <row r="890" spans="1:8">
      <c r="A890">
        <v>4</v>
      </c>
      <c r="B890" t="s">
        <v>33</v>
      </c>
      <c r="C890">
        <v>2011</v>
      </c>
      <c r="D890" t="s">
        <v>11</v>
      </c>
      <c r="E890" t="s">
        <v>4</v>
      </c>
      <c r="F890" t="s">
        <v>38</v>
      </c>
      <c r="G890" t="str">
        <f>VLOOKUP(A890,[1]Kreise!$A$1:$C$53,3,FALSE)</f>
        <v>K034</v>
      </c>
      <c r="H890">
        <v>5474</v>
      </c>
    </row>
    <row r="891" spans="1:8">
      <c r="A891">
        <v>0</v>
      </c>
      <c r="B891" t="s">
        <v>34</v>
      </c>
      <c r="C891">
        <v>2011</v>
      </c>
      <c r="D891" t="s">
        <v>11</v>
      </c>
      <c r="E891" t="s">
        <v>4</v>
      </c>
      <c r="F891" t="s">
        <v>38</v>
      </c>
      <c r="G891" t="str">
        <f>VLOOKUP(A891,[1]Kreise!$A$1:$C$53,3,FALSE)</f>
        <v>K030</v>
      </c>
      <c r="H891">
        <v>13950</v>
      </c>
    </row>
    <row r="892" spans="1:8">
      <c r="A892">
        <v>1</v>
      </c>
      <c r="B892" t="s">
        <v>145</v>
      </c>
      <c r="C892">
        <v>2010</v>
      </c>
      <c r="D892" t="s">
        <v>11</v>
      </c>
      <c r="E892" t="s">
        <v>4</v>
      </c>
      <c r="F892" t="s">
        <v>38</v>
      </c>
      <c r="G892" t="str">
        <f>VLOOKUP(A892,[1]Kreise!$A$1:$C$53,3,FALSE)</f>
        <v>K031</v>
      </c>
      <c r="H892">
        <v>2369</v>
      </c>
    </row>
    <row r="893" spans="1:8">
      <c r="A893">
        <v>2</v>
      </c>
      <c r="B893" t="s">
        <v>146</v>
      </c>
      <c r="C893">
        <v>2010</v>
      </c>
      <c r="D893" t="s">
        <v>11</v>
      </c>
      <c r="E893" t="s">
        <v>4</v>
      </c>
      <c r="F893" t="s">
        <v>38</v>
      </c>
      <c r="G893" t="str">
        <f>VLOOKUP(A893,[1]Kreise!$A$1:$C$53,3,FALSE)</f>
        <v>K032</v>
      </c>
      <c r="H893">
        <v>2775</v>
      </c>
    </row>
    <row r="894" spans="1:8">
      <c r="A894">
        <v>3</v>
      </c>
      <c r="B894" t="s">
        <v>147</v>
      </c>
      <c r="C894">
        <v>2010</v>
      </c>
      <c r="D894" t="s">
        <v>11</v>
      </c>
      <c r="E894" t="s">
        <v>4</v>
      </c>
      <c r="F894" t="s">
        <v>38</v>
      </c>
      <c r="G894" t="str">
        <f>VLOOKUP(A894,[1]Kreise!$A$1:$C$53,3,FALSE)</f>
        <v>K033</v>
      </c>
      <c r="H894">
        <v>3467</v>
      </c>
    </row>
    <row r="895" spans="1:8">
      <c r="A895">
        <v>4</v>
      </c>
      <c r="B895" t="s">
        <v>148</v>
      </c>
      <c r="C895">
        <v>2010</v>
      </c>
      <c r="D895" t="s">
        <v>11</v>
      </c>
      <c r="E895" t="s">
        <v>4</v>
      </c>
      <c r="F895" t="s">
        <v>38</v>
      </c>
      <c r="G895" t="str">
        <f>VLOOKUP(A895,[1]Kreise!$A$1:$C$53,3,FALSE)</f>
        <v>K034</v>
      </c>
      <c r="H895">
        <v>5565</v>
      </c>
    </row>
    <row r="896" spans="1:8">
      <c r="A896">
        <v>0</v>
      </c>
      <c r="B896" t="s">
        <v>34</v>
      </c>
      <c r="C896">
        <v>2010</v>
      </c>
      <c r="D896" t="s">
        <v>11</v>
      </c>
      <c r="E896" t="s">
        <v>4</v>
      </c>
      <c r="F896" t="s">
        <v>38</v>
      </c>
      <c r="G896" t="str">
        <f>VLOOKUP(A896,[1]Kreise!$A$1:$C$53,3,FALSE)</f>
        <v>K030</v>
      </c>
      <c r="H896">
        <v>14176</v>
      </c>
    </row>
    <row r="897" spans="1:8">
      <c r="A897">
        <v>1</v>
      </c>
      <c r="B897" t="s">
        <v>145</v>
      </c>
      <c r="C897">
        <v>2005</v>
      </c>
      <c r="D897" t="s">
        <v>11</v>
      </c>
      <c r="E897" t="s">
        <v>4</v>
      </c>
      <c r="F897" t="s">
        <v>38</v>
      </c>
      <c r="G897" t="str">
        <f>VLOOKUP(A897,[1]Kreise!$A$1:$C$53,3,FALSE)</f>
        <v>K031</v>
      </c>
      <c r="H897">
        <v>3686</v>
      </c>
    </row>
    <row r="898" spans="1:8">
      <c r="A898">
        <v>2</v>
      </c>
      <c r="B898" t="s">
        <v>146</v>
      </c>
      <c r="C898">
        <v>2005</v>
      </c>
      <c r="D898" t="s">
        <v>11</v>
      </c>
      <c r="E898" t="s">
        <v>4</v>
      </c>
      <c r="F898" t="s">
        <v>38</v>
      </c>
      <c r="G898" t="str">
        <f>VLOOKUP(A898,[1]Kreise!$A$1:$C$53,3,FALSE)</f>
        <v>K032</v>
      </c>
      <c r="H898">
        <v>3977</v>
      </c>
    </row>
    <row r="899" spans="1:8">
      <c r="A899">
        <v>3</v>
      </c>
      <c r="B899" t="s">
        <v>147</v>
      </c>
      <c r="C899">
        <v>2005</v>
      </c>
      <c r="D899" t="s">
        <v>11</v>
      </c>
      <c r="E899" t="s">
        <v>4</v>
      </c>
      <c r="F899" t="s">
        <v>38</v>
      </c>
      <c r="G899" t="str">
        <f>VLOOKUP(A899,[1]Kreise!$A$1:$C$53,3,FALSE)</f>
        <v>K033</v>
      </c>
      <c r="H899">
        <v>5066</v>
      </c>
    </row>
    <row r="900" spans="1:8">
      <c r="A900">
        <v>4</v>
      </c>
      <c r="B900" t="s">
        <v>148</v>
      </c>
      <c r="C900">
        <v>2005</v>
      </c>
      <c r="D900" t="s">
        <v>11</v>
      </c>
      <c r="E900" t="s">
        <v>4</v>
      </c>
      <c r="F900" t="s">
        <v>38</v>
      </c>
      <c r="G900" t="str">
        <f>VLOOKUP(A900,[1]Kreise!$A$1:$C$53,3,FALSE)</f>
        <v>K034</v>
      </c>
      <c r="H900">
        <v>8129</v>
      </c>
    </row>
    <row r="901" spans="1:8">
      <c r="A901">
        <v>0</v>
      </c>
      <c r="B901" t="s">
        <v>34</v>
      </c>
      <c r="C901">
        <v>2005</v>
      </c>
      <c r="D901" t="s">
        <v>11</v>
      </c>
      <c r="E901" t="s">
        <v>4</v>
      </c>
      <c r="F901" t="s">
        <v>38</v>
      </c>
      <c r="G901" t="str">
        <f>VLOOKUP(A901,[1]Kreise!$A$1:$C$53,3,FALSE)</f>
        <v>K030</v>
      </c>
      <c r="H901">
        <v>20858</v>
      </c>
    </row>
    <row r="902" spans="1:8">
      <c r="A902">
        <v>1</v>
      </c>
      <c r="B902" t="s">
        <v>30</v>
      </c>
      <c r="C902">
        <v>2020</v>
      </c>
      <c r="D902" t="s">
        <v>12</v>
      </c>
      <c r="E902" t="s">
        <v>4</v>
      </c>
      <c r="F902" t="s">
        <v>38</v>
      </c>
      <c r="G902" t="str">
        <f>VLOOKUP(A902,[1]Kreise!$A$1:$C$53,3,FALSE)</f>
        <v>K031</v>
      </c>
      <c r="H902">
        <v>346</v>
      </c>
    </row>
    <row r="903" spans="1:8">
      <c r="A903">
        <v>2</v>
      </c>
      <c r="B903" t="s">
        <v>31</v>
      </c>
      <c r="C903">
        <v>2020</v>
      </c>
      <c r="D903" t="s">
        <v>12</v>
      </c>
      <c r="E903" t="s">
        <v>4</v>
      </c>
      <c r="F903" t="s">
        <v>38</v>
      </c>
      <c r="G903" t="str">
        <f>VLOOKUP(A903,[1]Kreise!$A$1:$C$53,3,FALSE)</f>
        <v>K032</v>
      </c>
      <c r="H903">
        <v>303</v>
      </c>
    </row>
    <row r="904" spans="1:8">
      <c r="A904">
        <v>3</v>
      </c>
      <c r="B904" t="s">
        <v>32</v>
      </c>
      <c r="C904">
        <v>2020</v>
      </c>
      <c r="D904" t="s">
        <v>12</v>
      </c>
      <c r="E904" t="s">
        <v>4</v>
      </c>
      <c r="F904" t="s">
        <v>38</v>
      </c>
      <c r="G904" t="str">
        <f>VLOOKUP(A904,[1]Kreise!$A$1:$C$53,3,FALSE)</f>
        <v>K033</v>
      </c>
      <c r="H904">
        <v>181</v>
      </c>
    </row>
    <row r="905" spans="1:8">
      <c r="A905">
        <v>4</v>
      </c>
      <c r="B905" t="s">
        <v>33</v>
      </c>
      <c r="C905">
        <v>2020</v>
      </c>
      <c r="D905" t="s">
        <v>12</v>
      </c>
      <c r="E905" t="s">
        <v>4</v>
      </c>
      <c r="F905" t="s">
        <v>38</v>
      </c>
      <c r="G905" t="str">
        <f>VLOOKUP(A905,[1]Kreise!$A$1:$C$53,3,FALSE)</f>
        <v>K034</v>
      </c>
      <c r="H905">
        <v>325</v>
      </c>
    </row>
    <row r="906" spans="1:8">
      <c r="A906">
        <v>0</v>
      </c>
      <c r="B906" t="s">
        <v>34</v>
      </c>
      <c r="C906">
        <v>2020</v>
      </c>
      <c r="D906" t="s">
        <v>12</v>
      </c>
      <c r="E906" t="s">
        <v>4</v>
      </c>
      <c r="F906" t="s">
        <v>38</v>
      </c>
      <c r="G906" t="str">
        <f>VLOOKUP(A906,[1]Kreise!$A$1:$C$53,3,FALSE)</f>
        <v>K030</v>
      </c>
      <c r="H906">
        <v>1155</v>
      </c>
    </row>
    <row r="907" spans="1:8">
      <c r="A907">
        <v>1</v>
      </c>
      <c r="B907" t="s">
        <v>30</v>
      </c>
      <c r="C907">
        <v>2019</v>
      </c>
      <c r="D907" t="s">
        <v>12</v>
      </c>
      <c r="E907" t="s">
        <v>4</v>
      </c>
      <c r="F907" t="s">
        <v>38</v>
      </c>
      <c r="G907" t="str">
        <f>VLOOKUP(A907,[1]Kreise!$A$1:$C$53,3,FALSE)</f>
        <v>K031</v>
      </c>
      <c r="H907">
        <v>359</v>
      </c>
    </row>
    <row r="908" spans="1:8">
      <c r="A908">
        <v>2</v>
      </c>
      <c r="B908" t="s">
        <v>31</v>
      </c>
      <c r="C908">
        <v>2019</v>
      </c>
      <c r="D908" t="s">
        <v>12</v>
      </c>
      <c r="E908" t="s">
        <v>4</v>
      </c>
      <c r="F908" t="s">
        <v>38</v>
      </c>
      <c r="G908" t="str">
        <f>VLOOKUP(A908,[1]Kreise!$A$1:$C$53,3,FALSE)</f>
        <v>K032</v>
      </c>
      <c r="H908">
        <v>308</v>
      </c>
    </row>
    <row r="909" spans="1:8">
      <c r="A909">
        <v>3</v>
      </c>
      <c r="B909" t="s">
        <v>32</v>
      </c>
      <c r="C909">
        <v>2019</v>
      </c>
      <c r="D909" t="s">
        <v>12</v>
      </c>
      <c r="E909" t="s">
        <v>4</v>
      </c>
      <c r="F909" t="s">
        <v>38</v>
      </c>
      <c r="G909" t="str">
        <f>VLOOKUP(A909,[1]Kreise!$A$1:$C$53,3,FALSE)</f>
        <v>K033</v>
      </c>
      <c r="H909">
        <v>176</v>
      </c>
    </row>
    <row r="910" spans="1:8">
      <c r="A910">
        <v>4</v>
      </c>
      <c r="B910" t="s">
        <v>33</v>
      </c>
      <c r="C910">
        <v>2019</v>
      </c>
      <c r="D910" t="s">
        <v>12</v>
      </c>
      <c r="E910" t="s">
        <v>4</v>
      </c>
      <c r="F910" t="s">
        <v>38</v>
      </c>
      <c r="G910" t="str">
        <f>VLOOKUP(A910,[1]Kreise!$A$1:$C$53,3,FALSE)</f>
        <v>K034</v>
      </c>
      <c r="H910">
        <v>315</v>
      </c>
    </row>
    <row r="911" spans="1:8">
      <c r="A911">
        <v>0</v>
      </c>
      <c r="B911" t="s">
        <v>34</v>
      </c>
      <c r="C911">
        <v>2019</v>
      </c>
      <c r="D911" t="s">
        <v>12</v>
      </c>
      <c r="E911" t="s">
        <v>4</v>
      </c>
      <c r="F911" t="s">
        <v>38</v>
      </c>
      <c r="G911" t="str">
        <f>VLOOKUP(A911,[1]Kreise!$A$1:$C$53,3,FALSE)</f>
        <v>K030</v>
      </c>
      <c r="H911">
        <v>1158</v>
      </c>
    </row>
    <row r="912" spans="1:8">
      <c r="A912">
        <v>1</v>
      </c>
      <c r="B912" t="s">
        <v>30</v>
      </c>
      <c r="C912">
        <v>2018</v>
      </c>
      <c r="D912" t="s">
        <v>12</v>
      </c>
      <c r="E912" t="s">
        <v>4</v>
      </c>
      <c r="F912" t="s">
        <v>38</v>
      </c>
      <c r="G912" t="str">
        <f>VLOOKUP(A912,[1]Kreise!$A$1:$C$53,3,FALSE)</f>
        <v>K031</v>
      </c>
      <c r="H912">
        <v>327</v>
      </c>
    </row>
    <row r="913" spans="1:8">
      <c r="A913">
        <v>2</v>
      </c>
      <c r="B913" t="s">
        <v>31</v>
      </c>
      <c r="C913">
        <v>2018</v>
      </c>
      <c r="D913" t="s">
        <v>12</v>
      </c>
      <c r="E913" t="s">
        <v>4</v>
      </c>
      <c r="F913" t="s">
        <v>38</v>
      </c>
      <c r="G913" t="str">
        <f>VLOOKUP(A913,[1]Kreise!$A$1:$C$53,3,FALSE)</f>
        <v>K032</v>
      </c>
      <c r="H913">
        <v>388</v>
      </c>
    </row>
    <row r="914" spans="1:8">
      <c r="A914">
        <v>3</v>
      </c>
      <c r="B914" t="s">
        <v>32</v>
      </c>
      <c r="C914">
        <v>2018</v>
      </c>
      <c r="D914" t="s">
        <v>12</v>
      </c>
      <c r="E914" t="s">
        <v>4</v>
      </c>
      <c r="F914" t="s">
        <v>38</v>
      </c>
      <c r="G914" t="str">
        <f>VLOOKUP(A914,[1]Kreise!$A$1:$C$53,3,FALSE)</f>
        <v>K033</v>
      </c>
      <c r="H914">
        <v>165</v>
      </c>
    </row>
    <row r="915" spans="1:8">
      <c r="A915">
        <v>4</v>
      </c>
      <c r="B915" t="s">
        <v>33</v>
      </c>
      <c r="C915">
        <v>2018</v>
      </c>
      <c r="D915" t="s">
        <v>12</v>
      </c>
      <c r="E915" t="s">
        <v>4</v>
      </c>
      <c r="F915" t="s">
        <v>38</v>
      </c>
      <c r="G915" t="str">
        <f>VLOOKUP(A915,[1]Kreise!$A$1:$C$53,3,FALSE)</f>
        <v>K034</v>
      </c>
      <c r="H915">
        <v>325</v>
      </c>
    </row>
    <row r="916" spans="1:8">
      <c r="A916">
        <v>0</v>
      </c>
      <c r="B916" t="s">
        <v>34</v>
      </c>
      <c r="C916">
        <v>2018</v>
      </c>
      <c r="D916" t="s">
        <v>12</v>
      </c>
      <c r="E916" t="s">
        <v>4</v>
      </c>
      <c r="F916" t="s">
        <v>38</v>
      </c>
      <c r="G916" t="str">
        <f>VLOOKUP(A916,[1]Kreise!$A$1:$C$53,3,FALSE)</f>
        <v>K030</v>
      </c>
      <c r="H916">
        <v>1205</v>
      </c>
    </row>
    <row r="917" spans="1:8">
      <c r="A917">
        <v>1</v>
      </c>
      <c r="B917" t="s">
        <v>30</v>
      </c>
      <c r="C917">
        <v>2017</v>
      </c>
      <c r="D917" t="s">
        <v>12</v>
      </c>
      <c r="E917" t="s">
        <v>4</v>
      </c>
      <c r="F917" t="s">
        <v>38</v>
      </c>
      <c r="G917" t="str">
        <f>VLOOKUP(A917,[1]Kreise!$A$1:$C$53,3,FALSE)</f>
        <v>K031</v>
      </c>
      <c r="H917">
        <v>295</v>
      </c>
    </row>
    <row r="918" spans="1:8">
      <c r="A918">
        <v>2</v>
      </c>
      <c r="B918" t="s">
        <v>31</v>
      </c>
      <c r="C918">
        <v>2017</v>
      </c>
      <c r="D918" t="s">
        <v>12</v>
      </c>
      <c r="E918" t="s">
        <v>4</v>
      </c>
      <c r="F918" t="s">
        <v>38</v>
      </c>
      <c r="G918" t="str">
        <f>VLOOKUP(A918,[1]Kreise!$A$1:$C$53,3,FALSE)</f>
        <v>K032</v>
      </c>
      <c r="H918">
        <v>338</v>
      </c>
    </row>
    <row r="919" spans="1:8">
      <c r="A919">
        <v>3</v>
      </c>
      <c r="B919" t="s">
        <v>32</v>
      </c>
      <c r="C919">
        <v>2017</v>
      </c>
      <c r="D919" t="s">
        <v>12</v>
      </c>
      <c r="E919" t="s">
        <v>4</v>
      </c>
      <c r="F919" t="s">
        <v>38</v>
      </c>
      <c r="G919" t="str">
        <f>VLOOKUP(A919,[1]Kreise!$A$1:$C$53,3,FALSE)</f>
        <v>K033</v>
      </c>
      <c r="H919">
        <v>163</v>
      </c>
    </row>
    <row r="920" spans="1:8">
      <c r="A920">
        <v>4</v>
      </c>
      <c r="B920" t="s">
        <v>33</v>
      </c>
      <c r="C920">
        <v>2017</v>
      </c>
      <c r="D920" t="s">
        <v>12</v>
      </c>
      <c r="E920" t="s">
        <v>4</v>
      </c>
      <c r="F920" t="s">
        <v>38</v>
      </c>
      <c r="G920" t="str">
        <f>VLOOKUP(A920,[1]Kreise!$A$1:$C$53,3,FALSE)</f>
        <v>K034</v>
      </c>
      <c r="H920">
        <v>275</v>
      </c>
    </row>
    <row r="921" spans="1:8">
      <c r="A921">
        <v>0</v>
      </c>
      <c r="B921" t="s">
        <v>34</v>
      </c>
      <c r="C921">
        <v>2017</v>
      </c>
      <c r="D921" t="s">
        <v>12</v>
      </c>
      <c r="E921" t="s">
        <v>4</v>
      </c>
      <c r="F921" t="s">
        <v>38</v>
      </c>
      <c r="G921" t="str">
        <f>VLOOKUP(A921,[1]Kreise!$A$1:$C$53,3,FALSE)</f>
        <v>K030</v>
      </c>
      <c r="H921">
        <v>1071</v>
      </c>
    </row>
    <row r="922" spans="1:8">
      <c r="A922">
        <v>1</v>
      </c>
      <c r="B922" t="s">
        <v>30</v>
      </c>
      <c r="C922">
        <v>2016</v>
      </c>
      <c r="D922" t="s">
        <v>12</v>
      </c>
      <c r="E922" t="s">
        <v>4</v>
      </c>
      <c r="F922" t="s">
        <v>38</v>
      </c>
      <c r="G922" t="str">
        <f>VLOOKUP(A922,[1]Kreise!$A$1:$C$53,3,FALSE)</f>
        <v>K031</v>
      </c>
      <c r="H922">
        <v>265</v>
      </c>
    </row>
    <row r="923" spans="1:8">
      <c r="A923">
        <v>2</v>
      </c>
      <c r="B923" t="s">
        <v>31</v>
      </c>
      <c r="C923">
        <v>2016</v>
      </c>
      <c r="D923" t="s">
        <v>12</v>
      </c>
      <c r="E923" t="s">
        <v>4</v>
      </c>
      <c r="F923" t="s">
        <v>38</v>
      </c>
      <c r="G923" t="str">
        <f>VLOOKUP(A923,[1]Kreise!$A$1:$C$53,3,FALSE)</f>
        <v>K032</v>
      </c>
      <c r="H923">
        <v>293</v>
      </c>
    </row>
    <row r="924" spans="1:8">
      <c r="A924">
        <v>3</v>
      </c>
      <c r="B924" t="s">
        <v>32</v>
      </c>
      <c r="C924">
        <v>2016</v>
      </c>
      <c r="D924" t="s">
        <v>12</v>
      </c>
      <c r="E924" t="s">
        <v>4</v>
      </c>
      <c r="F924" t="s">
        <v>38</v>
      </c>
      <c r="G924" t="str">
        <f>VLOOKUP(A924,[1]Kreise!$A$1:$C$53,3,FALSE)</f>
        <v>K033</v>
      </c>
      <c r="H924">
        <v>186</v>
      </c>
    </row>
    <row r="925" spans="1:8">
      <c r="A925">
        <v>4</v>
      </c>
      <c r="B925" t="s">
        <v>33</v>
      </c>
      <c r="C925">
        <v>2016</v>
      </c>
      <c r="D925" t="s">
        <v>12</v>
      </c>
      <c r="E925" t="s">
        <v>4</v>
      </c>
      <c r="F925" t="s">
        <v>38</v>
      </c>
      <c r="G925" t="str">
        <f>VLOOKUP(A925,[1]Kreise!$A$1:$C$53,3,FALSE)</f>
        <v>K034</v>
      </c>
      <c r="H925">
        <v>322</v>
      </c>
    </row>
    <row r="926" spans="1:8">
      <c r="A926">
        <v>0</v>
      </c>
      <c r="B926" t="s">
        <v>34</v>
      </c>
      <c r="C926">
        <v>2016</v>
      </c>
      <c r="D926" t="s">
        <v>12</v>
      </c>
      <c r="E926" t="s">
        <v>4</v>
      </c>
      <c r="F926" t="s">
        <v>38</v>
      </c>
      <c r="G926" t="str">
        <f>VLOOKUP(A926,[1]Kreise!$A$1:$C$53,3,FALSE)</f>
        <v>K030</v>
      </c>
      <c r="H926">
        <v>1066</v>
      </c>
    </row>
    <row r="927" spans="1:8">
      <c r="A927">
        <v>1</v>
      </c>
      <c r="B927" t="s">
        <v>30</v>
      </c>
      <c r="C927">
        <v>2015</v>
      </c>
      <c r="D927" t="s">
        <v>12</v>
      </c>
      <c r="E927" t="s">
        <v>4</v>
      </c>
      <c r="F927" t="s">
        <v>38</v>
      </c>
      <c r="G927" t="str">
        <f>VLOOKUP(A927,[1]Kreise!$A$1:$C$53,3,FALSE)</f>
        <v>K031</v>
      </c>
      <c r="H927">
        <v>223</v>
      </c>
    </row>
    <row r="928" spans="1:8">
      <c r="A928">
        <v>2</v>
      </c>
      <c r="B928" t="s">
        <v>31</v>
      </c>
      <c r="C928">
        <v>2015</v>
      </c>
      <c r="D928" t="s">
        <v>12</v>
      </c>
      <c r="E928" t="s">
        <v>4</v>
      </c>
      <c r="F928" t="s">
        <v>38</v>
      </c>
      <c r="G928" t="str">
        <f>VLOOKUP(A928,[1]Kreise!$A$1:$C$53,3,FALSE)</f>
        <v>K032</v>
      </c>
      <c r="H928">
        <v>309</v>
      </c>
    </row>
    <row r="929" spans="1:8">
      <c r="A929">
        <v>3</v>
      </c>
      <c r="B929" t="s">
        <v>32</v>
      </c>
      <c r="C929">
        <v>2015</v>
      </c>
      <c r="D929" t="s">
        <v>12</v>
      </c>
      <c r="E929" t="s">
        <v>4</v>
      </c>
      <c r="F929" t="s">
        <v>38</v>
      </c>
      <c r="G929" t="str">
        <f>VLOOKUP(A929,[1]Kreise!$A$1:$C$53,3,FALSE)</f>
        <v>K033</v>
      </c>
      <c r="H929">
        <v>191</v>
      </c>
    </row>
    <row r="930" spans="1:8">
      <c r="A930">
        <v>4</v>
      </c>
      <c r="B930" t="s">
        <v>33</v>
      </c>
      <c r="C930">
        <v>2015</v>
      </c>
      <c r="D930" t="s">
        <v>12</v>
      </c>
      <c r="E930" t="s">
        <v>4</v>
      </c>
      <c r="F930" t="s">
        <v>38</v>
      </c>
      <c r="G930" t="str">
        <f>VLOOKUP(A930,[1]Kreise!$A$1:$C$53,3,FALSE)</f>
        <v>K034</v>
      </c>
      <c r="H930">
        <v>343</v>
      </c>
    </row>
    <row r="931" spans="1:8">
      <c r="A931">
        <v>0</v>
      </c>
      <c r="B931" t="s">
        <v>34</v>
      </c>
      <c r="C931">
        <v>2015</v>
      </c>
      <c r="D931" t="s">
        <v>12</v>
      </c>
      <c r="E931" t="s">
        <v>4</v>
      </c>
      <c r="F931" t="s">
        <v>38</v>
      </c>
      <c r="G931" t="str">
        <f>VLOOKUP(A931,[1]Kreise!$A$1:$C$53,3,FALSE)</f>
        <v>K030</v>
      </c>
      <c r="H931">
        <v>1066</v>
      </c>
    </row>
    <row r="932" spans="1:8">
      <c r="A932">
        <v>1</v>
      </c>
      <c r="B932" t="s">
        <v>145</v>
      </c>
      <c r="C932">
        <v>2014</v>
      </c>
      <c r="D932" t="s">
        <v>12</v>
      </c>
      <c r="E932" t="s">
        <v>4</v>
      </c>
      <c r="F932" t="s">
        <v>38</v>
      </c>
      <c r="G932" t="str">
        <f>VLOOKUP(A932,[1]Kreise!$A$1:$C$53,3,FALSE)</f>
        <v>K031</v>
      </c>
      <c r="H932">
        <v>238</v>
      </c>
    </row>
    <row r="933" spans="1:8">
      <c r="A933">
        <v>2</v>
      </c>
      <c r="B933" t="s">
        <v>146</v>
      </c>
      <c r="C933">
        <v>2014</v>
      </c>
      <c r="D933" t="s">
        <v>12</v>
      </c>
      <c r="E933" t="s">
        <v>4</v>
      </c>
      <c r="F933" t="s">
        <v>38</v>
      </c>
      <c r="G933" t="str">
        <f>VLOOKUP(A933,[1]Kreise!$A$1:$C$53,3,FALSE)</f>
        <v>K032</v>
      </c>
      <c r="H933">
        <v>310</v>
      </c>
    </row>
    <row r="934" spans="1:8">
      <c r="A934">
        <v>3</v>
      </c>
      <c r="B934" t="s">
        <v>147</v>
      </c>
      <c r="C934">
        <v>2014</v>
      </c>
      <c r="D934" t="s">
        <v>12</v>
      </c>
      <c r="E934" t="s">
        <v>4</v>
      </c>
      <c r="F934" t="s">
        <v>38</v>
      </c>
      <c r="G934" t="str">
        <f>VLOOKUP(A934,[1]Kreise!$A$1:$C$53,3,FALSE)</f>
        <v>K033</v>
      </c>
      <c r="H934">
        <v>233</v>
      </c>
    </row>
    <row r="935" spans="1:8">
      <c r="A935">
        <v>4</v>
      </c>
      <c r="B935" t="s">
        <v>148</v>
      </c>
      <c r="C935">
        <v>2014</v>
      </c>
      <c r="D935" t="s">
        <v>12</v>
      </c>
      <c r="E935" t="s">
        <v>4</v>
      </c>
      <c r="F935" t="s">
        <v>38</v>
      </c>
      <c r="G935" t="str">
        <f>VLOOKUP(A935,[1]Kreise!$A$1:$C$53,3,FALSE)</f>
        <v>K034</v>
      </c>
      <c r="H935">
        <v>411</v>
      </c>
    </row>
    <row r="936" spans="1:8">
      <c r="A936">
        <v>0</v>
      </c>
      <c r="B936" t="s">
        <v>34</v>
      </c>
      <c r="C936">
        <v>2014</v>
      </c>
      <c r="D936" t="s">
        <v>12</v>
      </c>
      <c r="E936" t="s">
        <v>4</v>
      </c>
      <c r="F936" t="s">
        <v>38</v>
      </c>
      <c r="G936" t="str">
        <f>VLOOKUP(A936,[1]Kreise!$A$1:$C$53,3,FALSE)</f>
        <v>K030</v>
      </c>
      <c r="H936">
        <v>1192</v>
      </c>
    </row>
    <row r="937" spans="1:8">
      <c r="A937">
        <v>1</v>
      </c>
      <c r="B937" t="s">
        <v>30</v>
      </c>
      <c r="C937">
        <v>2013</v>
      </c>
      <c r="D937" t="s">
        <v>12</v>
      </c>
      <c r="E937" t="s">
        <v>4</v>
      </c>
      <c r="F937" t="s">
        <v>38</v>
      </c>
      <c r="G937" t="str">
        <f>VLOOKUP(A937,[1]Kreise!$A$1:$C$53,3,FALSE)</f>
        <v>K031</v>
      </c>
      <c r="H937">
        <v>261</v>
      </c>
    </row>
    <row r="938" spans="1:8">
      <c r="A938">
        <v>2</v>
      </c>
      <c r="B938" t="s">
        <v>31</v>
      </c>
      <c r="C938">
        <v>2013</v>
      </c>
      <c r="D938" t="s">
        <v>12</v>
      </c>
      <c r="E938" t="s">
        <v>4</v>
      </c>
      <c r="F938" t="s">
        <v>38</v>
      </c>
      <c r="G938" t="str">
        <f>VLOOKUP(A938,[1]Kreise!$A$1:$C$53,3,FALSE)</f>
        <v>K032</v>
      </c>
      <c r="H938">
        <v>431</v>
      </c>
    </row>
    <row r="939" spans="1:8">
      <c r="A939">
        <v>3</v>
      </c>
      <c r="B939" t="s">
        <v>32</v>
      </c>
      <c r="C939">
        <v>2013</v>
      </c>
      <c r="D939" t="s">
        <v>12</v>
      </c>
      <c r="E939" t="s">
        <v>4</v>
      </c>
      <c r="F939" t="s">
        <v>38</v>
      </c>
      <c r="G939" t="str">
        <f>VLOOKUP(A939,[1]Kreise!$A$1:$C$53,3,FALSE)</f>
        <v>K033</v>
      </c>
      <c r="H939">
        <v>287</v>
      </c>
    </row>
    <row r="940" spans="1:8">
      <c r="A940">
        <v>4</v>
      </c>
      <c r="B940" t="s">
        <v>33</v>
      </c>
      <c r="C940">
        <v>2013</v>
      </c>
      <c r="D940" t="s">
        <v>12</v>
      </c>
      <c r="E940" t="s">
        <v>4</v>
      </c>
      <c r="F940" t="s">
        <v>38</v>
      </c>
      <c r="G940" t="str">
        <f>VLOOKUP(A940,[1]Kreise!$A$1:$C$53,3,FALSE)</f>
        <v>K034</v>
      </c>
      <c r="H940">
        <v>491</v>
      </c>
    </row>
    <row r="941" spans="1:8">
      <c r="A941">
        <v>0</v>
      </c>
      <c r="B941" t="s">
        <v>34</v>
      </c>
      <c r="C941">
        <v>2013</v>
      </c>
      <c r="D941" t="s">
        <v>12</v>
      </c>
      <c r="E941" t="s">
        <v>4</v>
      </c>
      <c r="F941" t="s">
        <v>38</v>
      </c>
      <c r="G941" t="str">
        <f>VLOOKUP(A941,[1]Kreise!$A$1:$C$53,3,FALSE)</f>
        <v>K030</v>
      </c>
      <c r="H941">
        <v>1470</v>
      </c>
    </row>
    <row r="942" spans="1:8">
      <c r="A942">
        <v>1</v>
      </c>
      <c r="B942" t="s">
        <v>145</v>
      </c>
      <c r="C942">
        <v>2012</v>
      </c>
      <c r="D942" t="s">
        <v>12</v>
      </c>
      <c r="E942" t="s">
        <v>4</v>
      </c>
      <c r="F942" t="s">
        <v>38</v>
      </c>
      <c r="G942" t="str">
        <f>VLOOKUP(A942,[1]Kreise!$A$1:$C$53,3,FALSE)</f>
        <v>K031</v>
      </c>
      <c r="H942">
        <v>303</v>
      </c>
    </row>
    <row r="943" spans="1:8">
      <c r="A943">
        <v>2</v>
      </c>
      <c r="B943" t="s">
        <v>146</v>
      </c>
      <c r="C943">
        <v>2012</v>
      </c>
      <c r="D943" t="s">
        <v>12</v>
      </c>
      <c r="E943" t="s">
        <v>4</v>
      </c>
      <c r="F943" t="s">
        <v>38</v>
      </c>
      <c r="G943" t="str">
        <f>VLOOKUP(A943,[1]Kreise!$A$1:$C$53,3,FALSE)</f>
        <v>K032</v>
      </c>
      <c r="H943">
        <v>469</v>
      </c>
    </row>
    <row r="944" spans="1:8">
      <c r="A944">
        <v>3</v>
      </c>
      <c r="B944" t="s">
        <v>147</v>
      </c>
      <c r="C944">
        <v>2012</v>
      </c>
      <c r="D944" t="s">
        <v>12</v>
      </c>
      <c r="E944" t="s">
        <v>4</v>
      </c>
      <c r="F944" t="s">
        <v>38</v>
      </c>
      <c r="G944" t="str">
        <f>VLOOKUP(A944,[1]Kreise!$A$1:$C$53,3,FALSE)</f>
        <v>K033</v>
      </c>
      <c r="H944">
        <v>326</v>
      </c>
    </row>
    <row r="945" spans="1:8">
      <c r="A945">
        <v>4</v>
      </c>
      <c r="B945" t="s">
        <v>148</v>
      </c>
      <c r="C945">
        <v>2012</v>
      </c>
      <c r="D945" t="s">
        <v>12</v>
      </c>
      <c r="E945" t="s">
        <v>4</v>
      </c>
      <c r="F945" t="s">
        <v>38</v>
      </c>
      <c r="G945" t="str">
        <f>VLOOKUP(A945,[1]Kreise!$A$1:$C$53,3,FALSE)</f>
        <v>K034</v>
      </c>
      <c r="H945">
        <v>558</v>
      </c>
    </row>
    <row r="946" spans="1:8">
      <c r="A946">
        <v>0</v>
      </c>
      <c r="B946" t="s">
        <v>34</v>
      </c>
      <c r="C946">
        <v>2012</v>
      </c>
      <c r="D946" t="s">
        <v>12</v>
      </c>
      <c r="E946" t="s">
        <v>4</v>
      </c>
      <c r="F946" t="s">
        <v>38</v>
      </c>
      <c r="G946" t="str">
        <f>VLOOKUP(A946,[1]Kreise!$A$1:$C$53,3,FALSE)</f>
        <v>K030</v>
      </c>
      <c r="H946">
        <v>1656</v>
      </c>
    </row>
    <row r="947" spans="1:8">
      <c r="A947">
        <v>1</v>
      </c>
      <c r="B947" t="s">
        <v>30</v>
      </c>
      <c r="C947">
        <v>2011</v>
      </c>
      <c r="D947" t="s">
        <v>12</v>
      </c>
      <c r="E947" t="s">
        <v>4</v>
      </c>
      <c r="F947" t="s">
        <v>38</v>
      </c>
      <c r="G947" t="str">
        <f>VLOOKUP(A947,[1]Kreise!$A$1:$C$53,3,FALSE)</f>
        <v>K031</v>
      </c>
      <c r="H947">
        <v>328</v>
      </c>
    </row>
    <row r="948" spans="1:8">
      <c r="A948">
        <v>2</v>
      </c>
      <c r="B948" t="s">
        <v>31</v>
      </c>
      <c r="C948">
        <v>2011</v>
      </c>
      <c r="D948" t="s">
        <v>12</v>
      </c>
      <c r="E948" t="s">
        <v>4</v>
      </c>
      <c r="F948" t="s">
        <v>38</v>
      </c>
      <c r="G948" t="str">
        <f>VLOOKUP(A948,[1]Kreise!$A$1:$C$53,3,FALSE)</f>
        <v>K032</v>
      </c>
      <c r="H948">
        <v>497</v>
      </c>
    </row>
    <row r="949" spans="1:8">
      <c r="A949">
        <v>3</v>
      </c>
      <c r="B949" t="s">
        <v>32</v>
      </c>
      <c r="C949">
        <v>2011</v>
      </c>
      <c r="D949" t="s">
        <v>12</v>
      </c>
      <c r="E949" t="s">
        <v>4</v>
      </c>
      <c r="F949" t="s">
        <v>38</v>
      </c>
      <c r="G949" t="str">
        <f>VLOOKUP(A949,[1]Kreise!$A$1:$C$53,3,FALSE)</f>
        <v>K033</v>
      </c>
      <c r="H949">
        <v>351</v>
      </c>
    </row>
    <row r="950" spans="1:8">
      <c r="A950">
        <v>4</v>
      </c>
      <c r="B950" t="s">
        <v>33</v>
      </c>
      <c r="C950">
        <v>2011</v>
      </c>
      <c r="D950" t="s">
        <v>12</v>
      </c>
      <c r="E950" t="s">
        <v>4</v>
      </c>
      <c r="F950" t="s">
        <v>38</v>
      </c>
      <c r="G950" t="str">
        <f>VLOOKUP(A950,[1]Kreise!$A$1:$C$53,3,FALSE)</f>
        <v>K034</v>
      </c>
      <c r="H950">
        <v>613</v>
      </c>
    </row>
    <row r="951" spans="1:8">
      <c r="A951">
        <v>0</v>
      </c>
      <c r="B951" t="s">
        <v>34</v>
      </c>
      <c r="C951">
        <v>2011</v>
      </c>
      <c r="D951" t="s">
        <v>12</v>
      </c>
      <c r="E951" t="s">
        <v>4</v>
      </c>
      <c r="F951" t="s">
        <v>38</v>
      </c>
      <c r="G951" t="str">
        <f>VLOOKUP(A951,[1]Kreise!$A$1:$C$53,3,FALSE)</f>
        <v>K030</v>
      </c>
      <c r="H951">
        <v>1789</v>
      </c>
    </row>
    <row r="952" spans="1:8">
      <c r="A952">
        <v>1</v>
      </c>
      <c r="B952" t="s">
        <v>145</v>
      </c>
      <c r="C952">
        <v>2010</v>
      </c>
      <c r="D952" t="s">
        <v>12</v>
      </c>
      <c r="E952" t="s">
        <v>4</v>
      </c>
      <c r="F952" t="s">
        <v>38</v>
      </c>
      <c r="G952" t="str">
        <f>VLOOKUP(A952,[1]Kreise!$A$1:$C$53,3,FALSE)</f>
        <v>K031</v>
      </c>
      <c r="H952">
        <v>378</v>
      </c>
    </row>
    <row r="953" spans="1:8">
      <c r="A953">
        <v>2</v>
      </c>
      <c r="B953" t="s">
        <v>146</v>
      </c>
      <c r="C953">
        <v>2010</v>
      </c>
      <c r="D953" t="s">
        <v>12</v>
      </c>
      <c r="E953" t="s">
        <v>4</v>
      </c>
      <c r="F953" t="s">
        <v>38</v>
      </c>
      <c r="G953" t="str">
        <f>VLOOKUP(A953,[1]Kreise!$A$1:$C$53,3,FALSE)</f>
        <v>K032</v>
      </c>
      <c r="H953">
        <v>538</v>
      </c>
    </row>
    <row r="954" spans="1:8">
      <c r="A954">
        <v>3</v>
      </c>
      <c r="B954" t="s">
        <v>147</v>
      </c>
      <c r="C954">
        <v>2010</v>
      </c>
      <c r="D954" t="s">
        <v>12</v>
      </c>
      <c r="E954" t="s">
        <v>4</v>
      </c>
      <c r="F954" t="s">
        <v>38</v>
      </c>
      <c r="G954" t="str">
        <f>VLOOKUP(A954,[1]Kreise!$A$1:$C$53,3,FALSE)</f>
        <v>K033</v>
      </c>
      <c r="H954">
        <v>357</v>
      </c>
    </row>
    <row r="955" spans="1:8">
      <c r="A955">
        <v>4</v>
      </c>
      <c r="B955" t="s">
        <v>148</v>
      </c>
      <c r="C955">
        <v>2010</v>
      </c>
      <c r="D955" t="s">
        <v>12</v>
      </c>
      <c r="E955" t="s">
        <v>4</v>
      </c>
      <c r="F955" t="s">
        <v>38</v>
      </c>
      <c r="G955" t="str">
        <f>VLOOKUP(A955,[1]Kreise!$A$1:$C$53,3,FALSE)</f>
        <v>K034</v>
      </c>
      <c r="H955">
        <v>571</v>
      </c>
    </row>
    <row r="956" spans="1:8">
      <c r="A956">
        <v>0</v>
      </c>
      <c r="B956" t="s">
        <v>34</v>
      </c>
      <c r="C956">
        <v>2010</v>
      </c>
      <c r="D956" t="s">
        <v>12</v>
      </c>
      <c r="E956" t="s">
        <v>4</v>
      </c>
      <c r="F956" t="s">
        <v>38</v>
      </c>
      <c r="G956" t="str">
        <f>VLOOKUP(A956,[1]Kreise!$A$1:$C$53,3,FALSE)</f>
        <v>K030</v>
      </c>
      <c r="H956">
        <v>1844</v>
      </c>
    </row>
    <row r="957" spans="1:8">
      <c r="A957">
        <v>1</v>
      </c>
      <c r="B957" t="s">
        <v>145</v>
      </c>
      <c r="C957">
        <v>2005</v>
      </c>
      <c r="D957" t="s">
        <v>12</v>
      </c>
      <c r="E957" t="s">
        <v>4</v>
      </c>
      <c r="F957" t="s">
        <v>38</v>
      </c>
      <c r="G957" t="str">
        <f>VLOOKUP(A957,[1]Kreise!$A$1:$C$53,3,FALSE)</f>
        <v>K031</v>
      </c>
      <c r="H957">
        <v>555</v>
      </c>
    </row>
    <row r="958" spans="1:8">
      <c r="A958">
        <v>2</v>
      </c>
      <c r="B958" t="s">
        <v>146</v>
      </c>
      <c r="C958">
        <v>2005</v>
      </c>
      <c r="D958" t="s">
        <v>12</v>
      </c>
      <c r="E958" t="s">
        <v>4</v>
      </c>
      <c r="F958" t="s">
        <v>38</v>
      </c>
      <c r="G958" t="str">
        <f>VLOOKUP(A958,[1]Kreise!$A$1:$C$53,3,FALSE)</f>
        <v>K032</v>
      </c>
      <c r="H958">
        <v>686</v>
      </c>
    </row>
    <row r="959" spans="1:8">
      <c r="A959">
        <v>3</v>
      </c>
      <c r="B959" t="s">
        <v>147</v>
      </c>
      <c r="C959">
        <v>2005</v>
      </c>
      <c r="D959" t="s">
        <v>12</v>
      </c>
      <c r="E959" t="s">
        <v>4</v>
      </c>
      <c r="F959" t="s">
        <v>38</v>
      </c>
      <c r="G959" t="str">
        <f>VLOOKUP(A959,[1]Kreise!$A$1:$C$53,3,FALSE)</f>
        <v>K033</v>
      </c>
      <c r="H959">
        <v>527</v>
      </c>
    </row>
    <row r="960" spans="1:8">
      <c r="A960">
        <v>4</v>
      </c>
      <c r="B960" t="s">
        <v>148</v>
      </c>
      <c r="C960">
        <v>2005</v>
      </c>
      <c r="D960" t="s">
        <v>12</v>
      </c>
      <c r="E960" t="s">
        <v>4</v>
      </c>
      <c r="F960" t="s">
        <v>38</v>
      </c>
      <c r="G960" t="str">
        <f>VLOOKUP(A960,[1]Kreise!$A$1:$C$53,3,FALSE)</f>
        <v>K034</v>
      </c>
      <c r="H960">
        <v>699</v>
      </c>
    </row>
    <row r="961" spans="1:8">
      <c r="A961">
        <v>0</v>
      </c>
      <c r="B961" t="s">
        <v>34</v>
      </c>
      <c r="C961">
        <v>2005</v>
      </c>
      <c r="D961" t="s">
        <v>12</v>
      </c>
      <c r="E961" t="s">
        <v>4</v>
      </c>
      <c r="F961" t="s">
        <v>38</v>
      </c>
      <c r="G961" t="str">
        <f>VLOOKUP(A961,[1]Kreise!$A$1:$C$53,3,FALSE)</f>
        <v>K030</v>
      </c>
      <c r="H961">
        <v>2467</v>
      </c>
    </row>
    <row r="962" spans="1:8">
      <c r="A962">
        <v>1</v>
      </c>
      <c r="B962" t="s">
        <v>30</v>
      </c>
      <c r="C962">
        <v>2020</v>
      </c>
      <c r="D962" t="s">
        <v>11</v>
      </c>
      <c r="E962" t="s">
        <v>5</v>
      </c>
      <c r="F962" t="s">
        <v>38</v>
      </c>
      <c r="G962" t="str">
        <f>VLOOKUP(A962,[1]Kreise!$A$1:$C$53,3,FALSE)</f>
        <v>K031</v>
      </c>
      <c r="H962">
        <v>2251</v>
      </c>
    </row>
    <row r="963" spans="1:8">
      <c r="A963">
        <v>2</v>
      </c>
      <c r="B963" t="s">
        <v>31</v>
      </c>
      <c r="C963">
        <v>2020</v>
      </c>
      <c r="D963" t="s">
        <v>11</v>
      </c>
      <c r="E963" t="s">
        <v>5</v>
      </c>
      <c r="F963" t="s">
        <v>38</v>
      </c>
      <c r="G963" t="str">
        <f>VLOOKUP(A963,[1]Kreise!$A$1:$C$53,3,FALSE)</f>
        <v>K032</v>
      </c>
      <c r="H963">
        <v>2600</v>
      </c>
    </row>
    <row r="964" spans="1:8">
      <c r="A964">
        <v>3</v>
      </c>
      <c r="B964" t="s">
        <v>32</v>
      </c>
      <c r="C964">
        <v>2020</v>
      </c>
      <c r="D964" t="s">
        <v>11</v>
      </c>
      <c r="E964" t="s">
        <v>5</v>
      </c>
      <c r="F964" t="s">
        <v>38</v>
      </c>
      <c r="G964" t="str">
        <f>VLOOKUP(A964,[1]Kreise!$A$1:$C$53,3,FALSE)</f>
        <v>K033</v>
      </c>
      <c r="H964">
        <v>1904</v>
      </c>
    </row>
    <row r="965" spans="1:8">
      <c r="A965">
        <v>4</v>
      </c>
      <c r="B965" t="s">
        <v>33</v>
      </c>
      <c r="C965">
        <v>2020</v>
      </c>
      <c r="D965" t="s">
        <v>11</v>
      </c>
      <c r="E965" t="s">
        <v>5</v>
      </c>
      <c r="F965" t="s">
        <v>38</v>
      </c>
      <c r="G965" t="str">
        <f>VLOOKUP(A965,[1]Kreise!$A$1:$C$53,3,FALSE)</f>
        <v>K034</v>
      </c>
      <c r="H965">
        <v>2473</v>
      </c>
    </row>
    <row r="966" spans="1:8">
      <c r="A966">
        <v>0</v>
      </c>
      <c r="B966" t="s">
        <v>34</v>
      </c>
      <c r="C966">
        <v>2020</v>
      </c>
      <c r="D966" t="s">
        <v>11</v>
      </c>
      <c r="E966" t="s">
        <v>5</v>
      </c>
      <c r="F966" t="s">
        <v>38</v>
      </c>
      <c r="G966" t="str">
        <f>VLOOKUP(A966,[1]Kreise!$A$1:$C$53,3,FALSE)</f>
        <v>K030</v>
      </c>
      <c r="H966">
        <v>9228</v>
      </c>
    </row>
    <row r="967" spans="1:8">
      <c r="A967">
        <v>1</v>
      </c>
      <c r="B967" t="s">
        <v>30</v>
      </c>
      <c r="C967">
        <v>2019</v>
      </c>
      <c r="D967" t="s">
        <v>11</v>
      </c>
      <c r="E967" t="s">
        <v>5</v>
      </c>
      <c r="F967" t="s">
        <v>38</v>
      </c>
      <c r="G967" t="str">
        <f>VLOOKUP(A967,[1]Kreise!$A$1:$C$53,3,FALSE)</f>
        <v>K031</v>
      </c>
      <c r="H967">
        <v>2329</v>
      </c>
    </row>
    <row r="968" spans="1:8">
      <c r="A968">
        <v>2</v>
      </c>
      <c r="B968" t="s">
        <v>31</v>
      </c>
      <c r="C968">
        <v>2019</v>
      </c>
      <c r="D968" t="s">
        <v>11</v>
      </c>
      <c r="E968" t="s">
        <v>5</v>
      </c>
      <c r="F968" t="s">
        <v>38</v>
      </c>
      <c r="G968" t="str">
        <f>VLOOKUP(A968,[1]Kreise!$A$1:$C$53,3,FALSE)</f>
        <v>K032</v>
      </c>
      <c r="H968">
        <v>2703</v>
      </c>
    </row>
    <row r="969" spans="1:8">
      <c r="A969">
        <v>3</v>
      </c>
      <c r="B969" t="s">
        <v>32</v>
      </c>
      <c r="C969">
        <v>2019</v>
      </c>
      <c r="D969" t="s">
        <v>11</v>
      </c>
      <c r="E969" t="s">
        <v>5</v>
      </c>
      <c r="F969" t="s">
        <v>38</v>
      </c>
      <c r="G969" t="str">
        <f>VLOOKUP(A969,[1]Kreise!$A$1:$C$53,3,FALSE)</f>
        <v>K033</v>
      </c>
      <c r="H969">
        <v>2009</v>
      </c>
    </row>
    <row r="970" spans="1:8">
      <c r="A970">
        <v>4</v>
      </c>
      <c r="B970" t="s">
        <v>33</v>
      </c>
      <c r="C970">
        <v>2019</v>
      </c>
      <c r="D970" t="s">
        <v>11</v>
      </c>
      <c r="E970" t="s">
        <v>5</v>
      </c>
      <c r="F970" t="s">
        <v>38</v>
      </c>
      <c r="G970" t="str">
        <f>VLOOKUP(A970,[1]Kreise!$A$1:$C$53,3,FALSE)</f>
        <v>K034</v>
      </c>
      <c r="H970">
        <v>2791</v>
      </c>
    </row>
    <row r="971" spans="1:8">
      <c r="A971">
        <v>0</v>
      </c>
      <c r="B971" t="s">
        <v>34</v>
      </c>
      <c r="C971">
        <v>2019</v>
      </c>
      <c r="D971" t="s">
        <v>11</v>
      </c>
      <c r="E971" t="s">
        <v>5</v>
      </c>
      <c r="F971" t="s">
        <v>38</v>
      </c>
      <c r="G971" t="str">
        <f>VLOOKUP(A971,[1]Kreise!$A$1:$C$53,3,FALSE)</f>
        <v>K030</v>
      </c>
      <c r="H971">
        <v>9832</v>
      </c>
    </row>
    <row r="972" spans="1:8">
      <c r="A972">
        <v>1</v>
      </c>
      <c r="B972" t="s">
        <v>30</v>
      </c>
      <c r="C972">
        <v>2018</v>
      </c>
      <c r="D972" t="s">
        <v>11</v>
      </c>
      <c r="E972" t="s">
        <v>5</v>
      </c>
      <c r="F972" t="s">
        <v>38</v>
      </c>
      <c r="G972" t="str">
        <f>VLOOKUP(A972,[1]Kreise!$A$1:$C$53,3,FALSE)</f>
        <v>K031</v>
      </c>
      <c r="H972">
        <v>2369</v>
      </c>
    </row>
    <row r="973" spans="1:8">
      <c r="A973">
        <v>2</v>
      </c>
      <c r="B973" t="s">
        <v>31</v>
      </c>
      <c r="C973">
        <v>2018</v>
      </c>
      <c r="D973" t="s">
        <v>11</v>
      </c>
      <c r="E973" t="s">
        <v>5</v>
      </c>
      <c r="F973" t="s">
        <v>38</v>
      </c>
      <c r="G973" t="str">
        <f>VLOOKUP(A973,[1]Kreise!$A$1:$C$53,3,FALSE)</f>
        <v>K032</v>
      </c>
      <c r="H973">
        <v>2956</v>
      </c>
    </row>
    <row r="974" spans="1:8">
      <c r="A974">
        <v>3</v>
      </c>
      <c r="B974" t="s">
        <v>32</v>
      </c>
      <c r="C974">
        <v>2018</v>
      </c>
      <c r="D974" t="s">
        <v>11</v>
      </c>
      <c r="E974" t="s">
        <v>5</v>
      </c>
      <c r="F974" t="s">
        <v>38</v>
      </c>
      <c r="G974" t="str">
        <f>VLOOKUP(A974,[1]Kreise!$A$1:$C$53,3,FALSE)</f>
        <v>K033</v>
      </c>
      <c r="H974">
        <v>2107</v>
      </c>
    </row>
    <row r="975" spans="1:8">
      <c r="A975">
        <v>4</v>
      </c>
      <c r="B975" t="s">
        <v>33</v>
      </c>
      <c r="C975">
        <v>2018</v>
      </c>
      <c r="D975" t="s">
        <v>11</v>
      </c>
      <c r="E975" t="s">
        <v>5</v>
      </c>
      <c r="F975" t="s">
        <v>38</v>
      </c>
      <c r="G975" t="str">
        <f>VLOOKUP(A975,[1]Kreise!$A$1:$C$53,3,FALSE)</f>
        <v>K034</v>
      </c>
      <c r="H975">
        <v>2932</v>
      </c>
    </row>
    <row r="976" spans="1:8">
      <c r="A976">
        <v>0</v>
      </c>
      <c r="B976" t="s">
        <v>34</v>
      </c>
      <c r="C976">
        <v>2018</v>
      </c>
      <c r="D976" t="s">
        <v>11</v>
      </c>
      <c r="E976" t="s">
        <v>5</v>
      </c>
      <c r="F976" t="s">
        <v>38</v>
      </c>
      <c r="G976" t="str">
        <f>VLOOKUP(A976,[1]Kreise!$A$1:$C$53,3,FALSE)</f>
        <v>K030</v>
      </c>
      <c r="H976">
        <v>10364</v>
      </c>
    </row>
    <row r="977" spans="1:8">
      <c r="A977">
        <v>1</v>
      </c>
      <c r="B977" t="s">
        <v>30</v>
      </c>
      <c r="C977">
        <v>2017</v>
      </c>
      <c r="D977" t="s">
        <v>11</v>
      </c>
      <c r="E977" t="s">
        <v>5</v>
      </c>
      <c r="F977" t="s">
        <v>38</v>
      </c>
      <c r="G977" t="str">
        <f>VLOOKUP(A977,[1]Kreise!$A$1:$C$53,3,FALSE)</f>
        <v>K031</v>
      </c>
      <c r="H977">
        <v>2487</v>
      </c>
    </row>
    <row r="978" spans="1:8">
      <c r="A978">
        <v>2</v>
      </c>
      <c r="B978" t="s">
        <v>31</v>
      </c>
      <c r="C978">
        <v>2017</v>
      </c>
      <c r="D978" t="s">
        <v>11</v>
      </c>
      <c r="E978" t="s">
        <v>5</v>
      </c>
      <c r="F978" t="s">
        <v>38</v>
      </c>
      <c r="G978" t="str">
        <f>VLOOKUP(A978,[1]Kreise!$A$1:$C$53,3,FALSE)</f>
        <v>K032</v>
      </c>
      <c r="H978">
        <v>3186</v>
      </c>
    </row>
    <row r="979" spans="1:8">
      <c r="A979">
        <v>3</v>
      </c>
      <c r="B979" t="s">
        <v>32</v>
      </c>
      <c r="C979">
        <v>2017</v>
      </c>
      <c r="D979" t="s">
        <v>11</v>
      </c>
      <c r="E979" t="s">
        <v>5</v>
      </c>
      <c r="F979" t="s">
        <v>38</v>
      </c>
      <c r="G979" t="str">
        <f>VLOOKUP(A979,[1]Kreise!$A$1:$C$53,3,FALSE)</f>
        <v>K033</v>
      </c>
      <c r="H979">
        <v>2174</v>
      </c>
    </row>
    <row r="980" spans="1:8">
      <c r="A980">
        <v>4</v>
      </c>
      <c r="B980" t="s">
        <v>33</v>
      </c>
      <c r="C980">
        <v>2017</v>
      </c>
      <c r="D980" t="s">
        <v>11</v>
      </c>
      <c r="E980" t="s">
        <v>5</v>
      </c>
      <c r="F980" t="s">
        <v>38</v>
      </c>
      <c r="G980" t="str">
        <f>VLOOKUP(A980,[1]Kreise!$A$1:$C$53,3,FALSE)</f>
        <v>K034</v>
      </c>
      <c r="H980">
        <v>3507</v>
      </c>
    </row>
    <row r="981" spans="1:8">
      <c r="A981">
        <v>0</v>
      </c>
      <c r="B981" t="s">
        <v>34</v>
      </c>
      <c r="C981">
        <v>2017</v>
      </c>
      <c r="D981" t="s">
        <v>11</v>
      </c>
      <c r="E981" t="s">
        <v>5</v>
      </c>
      <c r="F981" t="s">
        <v>38</v>
      </c>
      <c r="G981" t="str">
        <f>VLOOKUP(A981,[1]Kreise!$A$1:$C$53,3,FALSE)</f>
        <v>K030</v>
      </c>
      <c r="H981">
        <v>11354</v>
      </c>
    </row>
    <row r="982" spans="1:8">
      <c r="A982">
        <v>1</v>
      </c>
      <c r="B982" t="s">
        <v>30</v>
      </c>
      <c r="C982">
        <v>2016</v>
      </c>
      <c r="D982" t="s">
        <v>11</v>
      </c>
      <c r="E982" t="s">
        <v>5</v>
      </c>
      <c r="F982" t="s">
        <v>38</v>
      </c>
      <c r="G982" t="str">
        <f>VLOOKUP(A982,[1]Kreise!$A$1:$C$53,3,FALSE)</f>
        <v>K031</v>
      </c>
      <c r="H982">
        <v>2545</v>
      </c>
    </row>
    <row r="983" spans="1:8">
      <c r="A983">
        <v>2</v>
      </c>
      <c r="B983" t="s">
        <v>31</v>
      </c>
      <c r="C983">
        <v>2016</v>
      </c>
      <c r="D983" t="s">
        <v>11</v>
      </c>
      <c r="E983" t="s">
        <v>5</v>
      </c>
      <c r="F983" t="s">
        <v>38</v>
      </c>
      <c r="G983" t="str">
        <f>VLOOKUP(A983,[1]Kreise!$A$1:$C$53,3,FALSE)</f>
        <v>K032</v>
      </c>
      <c r="H983">
        <v>3486</v>
      </c>
    </row>
    <row r="984" spans="1:8">
      <c r="A984">
        <v>3</v>
      </c>
      <c r="B984" t="s">
        <v>32</v>
      </c>
      <c r="C984">
        <v>2016</v>
      </c>
      <c r="D984" t="s">
        <v>11</v>
      </c>
      <c r="E984" t="s">
        <v>5</v>
      </c>
      <c r="F984" t="s">
        <v>38</v>
      </c>
      <c r="G984" t="str">
        <f>VLOOKUP(A984,[1]Kreise!$A$1:$C$53,3,FALSE)</f>
        <v>K033</v>
      </c>
      <c r="H984">
        <v>2448</v>
      </c>
    </row>
    <row r="985" spans="1:8">
      <c r="A985">
        <v>4</v>
      </c>
      <c r="B985" t="s">
        <v>33</v>
      </c>
      <c r="C985">
        <v>2016</v>
      </c>
      <c r="D985" t="s">
        <v>11</v>
      </c>
      <c r="E985" t="s">
        <v>5</v>
      </c>
      <c r="F985" t="s">
        <v>38</v>
      </c>
      <c r="G985" t="str">
        <f>VLOOKUP(A985,[1]Kreise!$A$1:$C$53,3,FALSE)</f>
        <v>K034</v>
      </c>
      <c r="H985">
        <v>4151</v>
      </c>
    </row>
    <row r="986" spans="1:8">
      <c r="A986">
        <v>0</v>
      </c>
      <c r="B986" t="s">
        <v>34</v>
      </c>
      <c r="C986">
        <v>2016</v>
      </c>
      <c r="D986" t="s">
        <v>11</v>
      </c>
      <c r="E986" t="s">
        <v>5</v>
      </c>
      <c r="F986" t="s">
        <v>38</v>
      </c>
      <c r="G986" t="str">
        <f>VLOOKUP(A986,[1]Kreise!$A$1:$C$53,3,FALSE)</f>
        <v>K030</v>
      </c>
      <c r="H986">
        <v>12630</v>
      </c>
    </row>
    <row r="987" spans="1:8">
      <c r="A987">
        <v>1</v>
      </c>
      <c r="B987" t="s">
        <v>30</v>
      </c>
      <c r="C987">
        <v>2015</v>
      </c>
      <c r="D987" t="s">
        <v>11</v>
      </c>
      <c r="E987" t="s">
        <v>5</v>
      </c>
      <c r="F987" t="s">
        <v>38</v>
      </c>
      <c r="G987" t="str">
        <f>VLOOKUP(A987,[1]Kreise!$A$1:$C$53,3,FALSE)</f>
        <v>K031</v>
      </c>
      <c r="H987">
        <v>2856</v>
      </c>
    </row>
    <row r="988" spans="1:8">
      <c r="A988">
        <v>2</v>
      </c>
      <c r="B988" t="s">
        <v>31</v>
      </c>
      <c r="C988">
        <v>2015</v>
      </c>
      <c r="D988" t="s">
        <v>11</v>
      </c>
      <c r="E988" t="s">
        <v>5</v>
      </c>
      <c r="F988" t="s">
        <v>38</v>
      </c>
      <c r="G988" t="str">
        <f>VLOOKUP(A988,[1]Kreise!$A$1:$C$53,3,FALSE)</f>
        <v>K032</v>
      </c>
      <c r="H988">
        <v>3782</v>
      </c>
    </row>
    <row r="989" spans="1:8">
      <c r="A989">
        <v>3</v>
      </c>
      <c r="B989" t="s">
        <v>32</v>
      </c>
      <c r="C989">
        <v>2015</v>
      </c>
      <c r="D989" t="s">
        <v>11</v>
      </c>
      <c r="E989" t="s">
        <v>5</v>
      </c>
      <c r="F989" t="s">
        <v>38</v>
      </c>
      <c r="G989" t="str">
        <f>VLOOKUP(A989,[1]Kreise!$A$1:$C$53,3,FALSE)</f>
        <v>K033</v>
      </c>
      <c r="H989">
        <v>2824</v>
      </c>
    </row>
    <row r="990" spans="1:8">
      <c r="A990">
        <v>4</v>
      </c>
      <c r="B990" t="s">
        <v>33</v>
      </c>
      <c r="C990">
        <v>2015</v>
      </c>
      <c r="D990" t="s">
        <v>11</v>
      </c>
      <c r="E990" t="s">
        <v>5</v>
      </c>
      <c r="F990" t="s">
        <v>38</v>
      </c>
      <c r="G990" t="str">
        <f>VLOOKUP(A990,[1]Kreise!$A$1:$C$53,3,FALSE)</f>
        <v>K034</v>
      </c>
      <c r="H990">
        <v>4786</v>
      </c>
    </row>
    <row r="991" spans="1:8">
      <c r="A991">
        <v>0</v>
      </c>
      <c r="B991" t="s">
        <v>34</v>
      </c>
      <c r="C991">
        <v>2015</v>
      </c>
      <c r="D991" t="s">
        <v>11</v>
      </c>
      <c r="E991" t="s">
        <v>5</v>
      </c>
      <c r="F991" t="s">
        <v>38</v>
      </c>
      <c r="G991" t="str">
        <f>VLOOKUP(A991,[1]Kreise!$A$1:$C$53,3,FALSE)</f>
        <v>K030</v>
      </c>
      <c r="H991">
        <v>14248</v>
      </c>
    </row>
    <row r="992" spans="1:8">
      <c r="A992">
        <v>1</v>
      </c>
      <c r="B992" t="s">
        <v>145</v>
      </c>
      <c r="C992">
        <v>2014</v>
      </c>
      <c r="D992" t="s">
        <v>11</v>
      </c>
      <c r="E992" t="s">
        <v>5</v>
      </c>
      <c r="F992" t="s">
        <v>38</v>
      </c>
      <c r="G992" t="str">
        <f>VLOOKUP(A992,[1]Kreise!$A$1:$C$53,3,FALSE)</f>
        <v>K031</v>
      </c>
      <c r="H992">
        <v>3550</v>
      </c>
    </row>
    <row r="993" spans="1:8">
      <c r="A993">
        <v>2</v>
      </c>
      <c r="B993" t="s">
        <v>146</v>
      </c>
      <c r="C993">
        <v>2014</v>
      </c>
      <c r="D993" t="s">
        <v>11</v>
      </c>
      <c r="E993" t="s">
        <v>5</v>
      </c>
      <c r="F993" t="s">
        <v>38</v>
      </c>
      <c r="G993" t="str">
        <f>VLOOKUP(A993,[1]Kreise!$A$1:$C$53,3,FALSE)</f>
        <v>K032</v>
      </c>
      <c r="H993">
        <v>4372</v>
      </c>
    </row>
    <row r="994" spans="1:8">
      <c r="A994">
        <v>3</v>
      </c>
      <c r="B994" t="s">
        <v>147</v>
      </c>
      <c r="C994">
        <v>2014</v>
      </c>
      <c r="D994" t="s">
        <v>11</v>
      </c>
      <c r="E994" t="s">
        <v>5</v>
      </c>
      <c r="F994" t="s">
        <v>38</v>
      </c>
      <c r="G994" t="str">
        <f>VLOOKUP(A994,[1]Kreise!$A$1:$C$53,3,FALSE)</f>
        <v>K033</v>
      </c>
      <c r="H994">
        <v>4787</v>
      </c>
    </row>
    <row r="995" spans="1:8">
      <c r="A995">
        <v>4</v>
      </c>
      <c r="B995" t="s">
        <v>148</v>
      </c>
      <c r="C995">
        <v>2014</v>
      </c>
      <c r="D995" t="s">
        <v>11</v>
      </c>
      <c r="E995" t="s">
        <v>5</v>
      </c>
      <c r="F995" t="s">
        <v>38</v>
      </c>
      <c r="G995" t="str">
        <f>VLOOKUP(A995,[1]Kreise!$A$1:$C$53,3,FALSE)</f>
        <v>K034</v>
      </c>
      <c r="H995">
        <v>6470</v>
      </c>
    </row>
    <row r="996" spans="1:8">
      <c r="A996">
        <v>0</v>
      </c>
      <c r="B996" t="s">
        <v>34</v>
      </c>
      <c r="C996">
        <v>2014</v>
      </c>
      <c r="D996" t="s">
        <v>11</v>
      </c>
      <c r="E996" t="s">
        <v>5</v>
      </c>
      <c r="F996" t="s">
        <v>38</v>
      </c>
      <c r="G996" t="str">
        <f>VLOOKUP(A996,[1]Kreise!$A$1:$C$53,3,FALSE)</f>
        <v>K030</v>
      </c>
      <c r="H996">
        <v>19179</v>
      </c>
    </row>
    <row r="997" spans="1:8">
      <c r="A997">
        <v>1</v>
      </c>
      <c r="B997" t="s">
        <v>30</v>
      </c>
      <c r="C997">
        <v>2013</v>
      </c>
      <c r="D997" t="s">
        <v>11</v>
      </c>
      <c r="E997" t="s">
        <v>5</v>
      </c>
      <c r="F997" t="s">
        <v>38</v>
      </c>
      <c r="G997" t="str">
        <f>VLOOKUP(A997,[1]Kreise!$A$1:$C$53,3,FALSE)</f>
        <v>K031</v>
      </c>
      <c r="H997">
        <v>4394</v>
      </c>
    </row>
    <row r="998" spans="1:8">
      <c r="A998">
        <v>2</v>
      </c>
      <c r="B998" t="s">
        <v>31</v>
      </c>
      <c r="C998">
        <v>2013</v>
      </c>
      <c r="D998" t="s">
        <v>11</v>
      </c>
      <c r="E998" t="s">
        <v>5</v>
      </c>
      <c r="F998" t="s">
        <v>38</v>
      </c>
      <c r="G998" t="str">
        <f>VLOOKUP(A998,[1]Kreise!$A$1:$C$53,3,FALSE)</f>
        <v>K032</v>
      </c>
      <c r="H998">
        <v>5719</v>
      </c>
    </row>
    <row r="999" spans="1:8">
      <c r="A999">
        <v>3</v>
      </c>
      <c r="B999" t="s">
        <v>32</v>
      </c>
      <c r="C999">
        <v>2013</v>
      </c>
      <c r="D999" t="s">
        <v>11</v>
      </c>
      <c r="E999" t="s">
        <v>5</v>
      </c>
      <c r="F999" t="s">
        <v>38</v>
      </c>
      <c r="G999" t="str">
        <f>VLOOKUP(A999,[1]Kreise!$A$1:$C$53,3,FALSE)</f>
        <v>K033</v>
      </c>
      <c r="H999">
        <v>7449</v>
      </c>
    </row>
    <row r="1000" spans="1:8">
      <c r="A1000">
        <v>4</v>
      </c>
      <c r="B1000" t="s">
        <v>33</v>
      </c>
      <c r="C1000">
        <v>2013</v>
      </c>
      <c r="D1000" t="s">
        <v>11</v>
      </c>
      <c r="E1000" t="s">
        <v>5</v>
      </c>
      <c r="F1000" t="s">
        <v>38</v>
      </c>
      <c r="G1000" t="str">
        <f>VLOOKUP(A1000,[1]Kreise!$A$1:$C$53,3,FALSE)</f>
        <v>K034</v>
      </c>
      <c r="H1000">
        <v>10212</v>
      </c>
    </row>
    <row r="1001" spans="1:8">
      <c r="A1001">
        <v>0</v>
      </c>
      <c r="B1001" t="s">
        <v>34</v>
      </c>
      <c r="C1001">
        <v>2013</v>
      </c>
      <c r="D1001" t="s">
        <v>11</v>
      </c>
      <c r="E1001" t="s">
        <v>5</v>
      </c>
      <c r="F1001" t="s">
        <v>38</v>
      </c>
      <c r="G1001" t="str">
        <f>VLOOKUP(A1001,[1]Kreise!$A$1:$C$53,3,FALSE)</f>
        <v>K030</v>
      </c>
      <c r="H1001">
        <v>27774</v>
      </c>
    </row>
    <row r="1002" spans="1:8">
      <c r="A1002">
        <v>1</v>
      </c>
      <c r="B1002" t="s">
        <v>145</v>
      </c>
      <c r="C1002">
        <v>2012</v>
      </c>
      <c r="D1002" t="s">
        <v>11</v>
      </c>
      <c r="E1002" t="s">
        <v>5</v>
      </c>
      <c r="F1002" t="s">
        <v>38</v>
      </c>
      <c r="G1002" t="str">
        <f>VLOOKUP(A1002,[1]Kreise!$A$1:$C$53,3,FALSE)</f>
        <v>K031</v>
      </c>
      <c r="H1002">
        <v>4822</v>
      </c>
    </row>
    <row r="1003" spans="1:8">
      <c r="A1003">
        <v>2</v>
      </c>
      <c r="B1003" t="s">
        <v>146</v>
      </c>
      <c r="C1003">
        <v>2012</v>
      </c>
      <c r="D1003" t="s">
        <v>11</v>
      </c>
      <c r="E1003" t="s">
        <v>5</v>
      </c>
      <c r="F1003" t="s">
        <v>38</v>
      </c>
      <c r="G1003" t="str">
        <f>VLOOKUP(A1003,[1]Kreise!$A$1:$C$53,3,FALSE)</f>
        <v>K032</v>
      </c>
      <c r="H1003">
        <v>6253</v>
      </c>
    </row>
    <row r="1004" spans="1:8">
      <c r="A1004">
        <v>3</v>
      </c>
      <c r="B1004" t="s">
        <v>147</v>
      </c>
      <c r="C1004">
        <v>2012</v>
      </c>
      <c r="D1004" t="s">
        <v>11</v>
      </c>
      <c r="E1004" t="s">
        <v>5</v>
      </c>
      <c r="F1004" t="s">
        <v>38</v>
      </c>
      <c r="G1004" t="str">
        <f>VLOOKUP(A1004,[1]Kreise!$A$1:$C$53,3,FALSE)</f>
        <v>K033</v>
      </c>
      <c r="H1004">
        <v>7418</v>
      </c>
    </row>
    <row r="1005" spans="1:8">
      <c r="A1005">
        <v>4</v>
      </c>
      <c r="B1005" t="s">
        <v>148</v>
      </c>
      <c r="C1005">
        <v>2012</v>
      </c>
      <c r="D1005" t="s">
        <v>11</v>
      </c>
      <c r="E1005" t="s">
        <v>5</v>
      </c>
      <c r="F1005" t="s">
        <v>38</v>
      </c>
      <c r="G1005" t="str">
        <f>VLOOKUP(A1005,[1]Kreise!$A$1:$C$53,3,FALSE)</f>
        <v>K034</v>
      </c>
      <c r="H1005">
        <v>10652</v>
      </c>
    </row>
    <row r="1006" spans="1:8">
      <c r="A1006">
        <v>0</v>
      </c>
      <c r="B1006" t="s">
        <v>34</v>
      </c>
      <c r="C1006">
        <v>2012</v>
      </c>
      <c r="D1006" t="s">
        <v>11</v>
      </c>
      <c r="E1006" t="s">
        <v>5</v>
      </c>
      <c r="F1006" t="s">
        <v>38</v>
      </c>
      <c r="G1006" t="str">
        <f>VLOOKUP(A1006,[1]Kreise!$A$1:$C$53,3,FALSE)</f>
        <v>K030</v>
      </c>
      <c r="H1006">
        <v>29145</v>
      </c>
    </row>
    <row r="1007" spans="1:8">
      <c r="A1007">
        <v>1</v>
      </c>
      <c r="B1007" t="s">
        <v>30</v>
      </c>
      <c r="C1007">
        <v>2011</v>
      </c>
      <c r="D1007" t="s">
        <v>11</v>
      </c>
      <c r="E1007" t="s">
        <v>5</v>
      </c>
      <c r="F1007" t="s">
        <v>38</v>
      </c>
      <c r="G1007" t="str">
        <f>VLOOKUP(A1007,[1]Kreise!$A$1:$C$53,3,FALSE)</f>
        <v>K031</v>
      </c>
      <c r="H1007">
        <v>5244</v>
      </c>
    </row>
    <row r="1008" spans="1:8">
      <c r="A1008">
        <v>2</v>
      </c>
      <c r="B1008" t="s">
        <v>31</v>
      </c>
      <c r="C1008">
        <v>2011</v>
      </c>
      <c r="D1008" t="s">
        <v>11</v>
      </c>
      <c r="E1008" t="s">
        <v>5</v>
      </c>
      <c r="F1008" t="s">
        <v>38</v>
      </c>
      <c r="G1008" t="str">
        <f>VLOOKUP(A1008,[1]Kreise!$A$1:$C$53,3,FALSE)</f>
        <v>K032</v>
      </c>
      <c r="H1008">
        <v>7156</v>
      </c>
    </row>
    <row r="1009" spans="1:8">
      <c r="A1009">
        <v>3</v>
      </c>
      <c r="B1009" t="s">
        <v>32</v>
      </c>
      <c r="C1009">
        <v>2011</v>
      </c>
      <c r="D1009" t="s">
        <v>11</v>
      </c>
      <c r="E1009" t="s">
        <v>5</v>
      </c>
      <c r="F1009" t="s">
        <v>38</v>
      </c>
      <c r="G1009" t="str">
        <f>VLOOKUP(A1009,[1]Kreise!$A$1:$C$53,3,FALSE)</f>
        <v>K033</v>
      </c>
      <c r="H1009">
        <v>7851</v>
      </c>
    </row>
    <row r="1010" spans="1:8">
      <c r="A1010">
        <v>4</v>
      </c>
      <c r="B1010" t="s">
        <v>33</v>
      </c>
      <c r="C1010">
        <v>2011</v>
      </c>
      <c r="D1010" t="s">
        <v>11</v>
      </c>
      <c r="E1010" t="s">
        <v>5</v>
      </c>
      <c r="F1010" t="s">
        <v>38</v>
      </c>
      <c r="G1010" t="str">
        <f>VLOOKUP(A1010,[1]Kreise!$A$1:$C$53,3,FALSE)</f>
        <v>K034</v>
      </c>
      <c r="H1010">
        <v>11289</v>
      </c>
    </row>
    <row r="1011" spans="1:8">
      <c r="A1011">
        <v>0</v>
      </c>
      <c r="B1011" t="s">
        <v>34</v>
      </c>
      <c r="C1011">
        <v>2011</v>
      </c>
      <c r="D1011" t="s">
        <v>11</v>
      </c>
      <c r="E1011" t="s">
        <v>5</v>
      </c>
      <c r="F1011" t="s">
        <v>38</v>
      </c>
      <c r="G1011" t="str">
        <f>VLOOKUP(A1011,[1]Kreise!$A$1:$C$53,3,FALSE)</f>
        <v>K030</v>
      </c>
      <c r="H1011">
        <v>31777</v>
      </c>
    </row>
    <row r="1012" spans="1:8">
      <c r="A1012">
        <v>1</v>
      </c>
      <c r="B1012" t="s">
        <v>145</v>
      </c>
      <c r="C1012">
        <v>2010</v>
      </c>
      <c r="D1012" t="s">
        <v>11</v>
      </c>
      <c r="E1012" t="s">
        <v>5</v>
      </c>
      <c r="F1012" t="s">
        <v>38</v>
      </c>
      <c r="G1012" t="str">
        <f>VLOOKUP(A1012,[1]Kreise!$A$1:$C$53,3,FALSE)</f>
        <v>K031</v>
      </c>
      <c r="H1012">
        <v>5306</v>
      </c>
    </row>
    <row r="1013" spans="1:8">
      <c r="A1013">
        <v>2</v>
      </c>
      <c r="B1013" t="s">
        <v>146</v>
      </c>
      <c r="C1013">
        <v>2010</v>
      </c>
      <c r="D1013" t="s">
        <v>11</v>
      </c>
      <c r="E1013" t="s">
        <v>5</v>
      </c>
      <c r="F1013" t="s">
        <v>38</v>
      </c>
      <c r="G1013" t="str">
        <f>VLOOKUP(A1013,[1]Kreise!$A$1:$C$53,3,FALSE)</f>
        <v>K032</v>
      </c>
      <c r="H1013">
        <v>6804</v>
      </c>
    </row>
    <row r="1014" spans="1:8">
      <c r="A1014">
        <v>3</v>
      </c>
      <c r="B1014" t="s">
        <v>147</v>
      </c>
      <c r="C1014">
        <v>2010</v>
      </c>
      <c r="D1014" t="s">
        <v>11</v>
      </c>
      <c r="E1014" t="s">
        <v>5</v>
      </c>
      <c r="F1014" t="s">
        <v>38</v>
      </c>
      <c r="G1014" t="str">
        <f>VLOOKUP(A1014,[1]Kreise!$A$1:$C$53,3,FALSE)</f>
        <v>K033</v>
      </c>
      <c r="H1014">
        <v>7849</v>
      </c>
    </row>
    <row r="1015" spans="1:8">
      <c r="A1015">
        <v>4</v>
      </c>
      <c r="B1015" t="s">
        <v>148</v>
      </c>
      <c r="C1015">
        <v>2010</v>
      </c>
      <c r="D1015" t="s">
        <v>11</v>
      </c>
      <c r="E1015" t="s">
        <v>5</v>
      </c>
      <c r="F1015" t="s">
        <v>38</v>
      </c>
      <c r="G1015" t="str">
        <f>VLOOKUP(A1015,[1]Kreise!$A$1:$C$53,3,FALSE)</f>
        <v>K034</v>
      </c>
      <c r="H1015">
        <v>11296</v>
      </c>
    </row>
    <row r="1016" spans="1:8">
      <c r="A1016">
        <v>0</v>
      </c>
      <c r="B1016" t="s">
        <v>34</v>
      </c>
      <c r="C1016">
        <v>2010</v>
      </c>
      <c r="D1016" t="s">
        <v>11</v>
      </c>
      <c r="E1016" t="s">
        <v>5</v>
      </c>
      <c r="F1016" t="s">
        <v>38</v>
      </c>
      <c r="G1016" t="str">
        <f>VLOOKUP(A1016,[1]Kreise!$A$1:$C$53,3,FALSE)</f>
        <v>K030</v>
      </c>
      <c r="H1016">
        <v>31255</v>
      </c>
    </row>
    <row r="1017" spans="1:8">
      <c r="A1017">
        <v>1</v>
      </c>
      <c r="B1017" t="s">
        <v>145</v>
      </c>
      <c r="C1017">
        <v>2005</v>
      </c>
      <c r="D1017" t="s">
        <v>11</v>
      </c>
      <c r="E1017" t="s">
        <v>5</v>
      </c>
      <c r="F1017" t="s">
        <v>38</v>
      </c>
      <c r="G1017" t="str">
        <f>VLOOKUP(A1017,[1]Kreise!$A$1:$C$53,3,FALSE)</f>
        <v>K031</v>
      </c>
      <c r="H1017">
        <v>6073</v>
      </c>
    </row>
    <row r="1018" spans="1:8">
      <c r="A1018">
        <v>2</v>
      </c>
      <c r="B1018" t="s">
        <v>146</v>
      </c>
      <c r="C1018">
        <v>2005</v>
      </c>
      <c r="D1018" t="s">
        <v>11</v>
      </c>
      <c r="E1018" t="s">
        <v>5</v>
      </c>
      <c r="F1018" t="s">
        <v>38</v>
      </c>
      <c r="G1018" t="str">
        <f>VLOOKUP(A1018,[1]Kreise!$A$1:$C$53,3,FALSE)</f>
        <v>K032</v>
      </c>
      <c r="H1018">
        <v>7446</v>
      </c>
    </row>
    <row r="1019" spans="1:8">
      <c r="A1019">
        <v>3</v>
      </c>
      <c r="B1019" t="s">
        <v>147</v>
      </c>
      <c r="C1019">
        <v>2005</v>
      </c>
      <c r="D1019" t="s">
        <v>11</v>
      </c>
      <c r="E1019" t="s">
        <v>5</v>
      </c>
      <c r="F1019" t="s">
        <v>38</v>
      </c>
      <c r="G1019" t="str">
        <f>VLOOKUP(A1019,[1]Kreise!$A$1:$C$53,3,FALSE)</f>
        <v>K033</v>
      </c>
      <c r="H1019">
        <v>7733</v>
      </c>
    </row>
    <row r="1020" spans="1:8">
      <c r="A1020">
        <v>4</v>
      </c>
      <c r="B1020" t="s">
        <v>148</v>
      </c>
      <c r="C1020">
        <v>2005</v>
      </c>
      <c r="D1020" t="s">
        <v>11</v>
      </c>
      <c r="E1020" t="s">
        <v>5</v>
      </c>
      <c r="F1020" t="s">
        <v>38</v>
      </c>
      <c r="G1020" t="str">
        <f>VLOOKUP(A1020,[1]Kreise!$A$1:$C$53,3,FALSE)</f>
        <v>K034</v>
      </c>
      <c r="H1020">
        <v>11015</v>
      </c>
    </row>
    <row r="1021" spans="1:8">
      <c r="A1021">
        <v>0</v>
      </c>
      <c r="B1021" t="s">
        <v>34</v>
      </c>
      <c r="C1021">
        <v>2005</v>
      </c>
      <c r="D1021" t="s">
        <v>11</v>
      </c>
      <c r="E1021" t="s">
        <v>5</v>
      </c>
      <c r="F1021" t="s">
        <v>38</v>
      </c>
      <c r="G1021" t="str">
        <f>VLOOKUP(A1021,[1]Kreise!$A$1:$C$53,3,FALSE)</f>
        <v>K030</v>
      </c>
      <c r="H1021">
        <v>32267</v>
      </c>
    </row>
    <row r="1022" spans="1:8">
      <c r="A1022">
        <v>1</v>
      </c>
      <c r="B1022" t="s">
        <v>30</v>
      </c>
      <c r="C1022">
        <v>2020</v>
      </c>
      <c r="D1022" t="s">
        <v>12</v>
      </c>
      <c r="E1022" t="s">
        <v>5</v>
      </c>
      <c r="F1022" t="s">
        <v>38</v>
      </c>
      <c r="G1022" t="str">
        <f>VLOOKUP(A1022,[1]Kreise!$A$1:$C$53,3,FALSE)</f>
        <v>K031</v>
      </c>
      <c r="H1022">
        <v>282</v>
      </c>
    </row>
    <row r="1023" spans="1:8">
      <c r="A1023">
        <v>2</v>
      </c>
      <c r="B1023" t="s">
        <v>31</v>
      </c>
      <c r="C1023">
        <v>2020</v>
      </c>
      <c r="D1023" t="s">
        <v>12</v>
      </c>
      <c r="E1023" t="s">
        <v>5</v>
      </c>
      <c r="F1023" t="s">
        <v>38</v>
      </c>
      <c r="G1023" t="str">
        <f>VLOOKUP(A1023,[1]Kreise!$A$1:$C$53,3,FALSE)</f>
        <v>K032</v>
      </c>
      <c r="H1023">
        <v>391</v>
      </c>
    </row>
    <row r="1024" spans="1:8">
      <c r="A1024">
        <v>3</v>
      </c>
      <c r="B1024" t="s">
        <v>32</v>
      </c>
      <c r="C1024">
        <v>2020</v>
      </c>
      <c r="D1024" t="s">
        <v>12</v>
      </c>
      <c r="E1024" t="s">
        <v>5</v>
      </c>
      <c r="F1024" t="s">
        <v>38</v>
      </c>
      <c r="G1024" t="str">
        <f>VLOOKUP(A1024,[1]Kreise!$A$1:$C$53,3,FALSE)</f>
        <v>K033</v>
      </c>
      <c r="H1024">
        <v>176</v>
      </c>
    </row>
    <row r="1025" spans="1:8">
      <c r="A1025">
        <v>4</v>
      </c>
      <c r="B1025" t="s">
        <v>33</v>
      </c>
      <c r="C1025">
        <v>2020</v>
      </c>
      <c r="D1025" t="s">
        <v>12</v>
      </c>
      <c r="E1025" t="s">
        <v>5</v>
      </c>
      <c r="F1025" t="s">
        <v>38</v>
      </c>
      <c r="G1025" t="str">
        <f>VLOOKUP(A1025,[1]Kreise!$A$1:$C$53,3,FALSE)</f>
        <v>K034</v>
      </c>
      <c r="H1025">
        <v>269</v>
      </c>
    </row>
    <row r="1026" spans="1:8">
      <c r="A1026">
        <v>0</v>
      </c>
      <c r="B1026" t="s">
        <v>34</v>
      </c>
      <c r="C1026">
        <v>2020</v>
      </c>
      <c r="D1026" t="s">
        <v>12</v>
      </c>
      <c r="E1026" t="s">
        <v>5</v>
      </c>
      <c r="F1026" t="s">
        <v>38</v>
      </c>
      <c r="G1026" t="str">
        <f>VLOOKUP(A1026,[1]Kreise!$A$1:$C$53,3,FALSE)</f>
        <v>K030</v>
      </c>
      <c r="H1026">
        <v>1118</v>
      </c>
    </row>
    <row r="1027" spans="1:8">
      <c r="A1027">
        <v>1</v>
      </c>
      <c r="B1027" t="s">
        <v>30</v>
      </c>
      <c r="C1027">
        <v>2019</v>
      </c>
      <c r="D1027" t="s">
        <v>12</v>
      </c>
      <c r="E1027" t="s">
        <v>5</v>
      </c>
      <c r="F1027" t="s">
        <v>38</v>
      </c>
      <c r="G1027" t="str">
        <f>VLOOKUP(A1027,[1]Kreise!$A$1:$C$53,3,FALSE)</f>
        <v>K031</v>
      </c>
      <c r="H1027">
        <v>297</v>
      </c>
    </row>
    <row r="1028" spans="1:8">
      <c r="A1028">
        <v>2</v>
      </c>
      <c r="B1028" t="s">
        <v>31</v>
      </c>
      <c r="C1028">
        <v>2019</v>
      </c>
      <c r="D1028" t="s">
        <v>12</v>
      </c>
      <c r="E1028" t="s">
        <v>5</v>
      </c>
      <c r="F1028" t="s">
        <v>38</v>
      </c>
      <c r="G1028" t="str">
        <f>VLOOKUP(A1028,[1]Kreise!$A$1:$C$53,3,FALSE)</f>
        <v>K032</v>
      </c>
      <c r="H1028">
        <v>400</v>
      </c>
    </row>
    <row r="1029" spans="1:8">
      <c r="A1029">
        <v>3</v>
      </c>
      <c r="B1029" t="s">
        <v>32</v>
      </c>
      <c r="C1029">
        <v>2019</v>
      </c>
      <c r="D1029" t="s">
        <v>12</v>
      </c>
      <c r="E1029" t="s">
        <v>5</v>
      </c>
      <c r="F1029" t="s">
        <v>38</v>
      </c>
      <c r="G1029" t="str">
        <f>VLOOKUP(A1029,[1]Kreise!$A$1:$C$53,3,FALSE)</f>
        <v>K033</v>
      </c>
      <c r="H1029">
        <v>159</v>
      </c>
    </row>
    <row r="1030" spans="1:8">
      <c r="A1030">
        <v>4</v>
      </c>
      <c r="B1030" t="s">
        <v>33</v>
      </c>
      <c r="C1030">
        <v>2019</v>
      </c>
      <c r="D1030" t="s">
        <v>12</v>
      </c>
      <c r="E1030" t="s">
        <v>5</v>
      </c>
      <c r="F1030" t="s">
        <v>38</v>
      </c>
      <c r="G1030" t="str">
        <f>VLOOKUP(A1030,[1]Kreise!$A$1:$C$53,3,FALSE)</f>
        <v>K034</v>
      </c>
      <c r="H1030">
        <v>249</v>
      </c>
    </row>
    <row r="1031" spans="1:8">
      <c r="A1031">
        <v>0</v>
      </c>
      <c r="B1031" t="s">
        <v>34</v>
      </c>
      <c r="C1031">
        <v>2019</v>
      </c>
      <c r="D1031" t="s">
        <v>12</v>
      </c>
      <c r="E1031" t="s">
        <v>5</v>
      </c>
      <c r="F1031" t="s">
        <v>38</v>
      </c>
      <c r="G1031" t="str">
        <f>VLOOKUP(A1031,[1]Kreise!$A$1:$C$53,3,FALSE)</f>
        <v>K030</v>
      </c>
      <c r="H1031">
        <v>1105</v>
      </c>
    </row>
    <row r="1032" spans="1:8">
      <c r="A1032">
        <v>1</v>
      </c>
      <c r="B1032" t="s">
        <v>30</v>
      </c>
      <c r="C1032">
        <v>2018</v>
      </c>
      <c r="D1032" t="s">
        <v>12</v>
      </c>
      <c r="E1032" t="s">
        <v>5</v>
      </c>
      <c r="F1032" t="s">
        <v>38</v>
      </c>
      <c r="G1032" t="str">
        <f>VLOOKUP(A1032,[1]Kreise!$A$1:$C$53,3,FALSE)</f>
        <v>K031</v>
      </c>
      <c r="H1032">
        <v>247</v>
      </c>
    </row>
    <row r="1033" spans="1:8">
      <c r="A1033">
        <v>2</v>
      </c>
      <c r="B1033" t="s">
        <v>31</v>
      </c>
      <c r="C1033">
        <v>2018</v>
      </c>
      <c r="D1033" t="s">
        <v>12</v>
      </c>
      <c r="E1033" t="s">
        <v>5</v>
      </c>
      <c r="F1033" t="s">
        <v>38</v>
      </c>
      <c r="G1033" t="str">
        <f>VLOOKUP(A1033,[1]Kreise!$A$1:$C$53,3,FALSE)</f>
        <v>K032</v>
      </c>
      <c r="H1033">
        <v>471</v>
      </c>
    </row>
    <row r="1034" spans="1:8">
      <c r="A1034">
        <v>3</v>
      </c>
      <c r="B1034" t="s">
        <v>32</v>
      </c>
      <c r="C1034">
        <v>2018</v>
      </c>
      <c r="D1034" t="s">
        <v>12</v>
      </c>
      <c r="E1034" t="s">
        <v>5</v>
      </c>
      <c r="F1034" t="s">
        <v>38</v>
      </c>
      <c r="G1034" t="str">
        <f>VLOOKUP(A1034,[1]Kreise!$A$1:$C$53,3,FALSE)</f>
        <v>K033</v>
      </c>
      <c r="H1034">
        <v>146</v>
      </c>
    </row>
    <row r="1035" spans="1:8">
      <c r="A1035">
        <v>4</v>
      </c>
      <c r="B1035" t="s">
        <v>33</v>
      </c>
      <c r="C1035">
        <v>2018</v>
      </c>
      <c r="D1035" t="s">
        <v>12</v>
      </c>
      <c r="E1035" t="s">
        <v>5</v>
      </c>
      <c r="F1035" t="s">
        <v>38</v>
      </c>
      <c r="G1035" t="str">
        <f>VLOOKUP(A1035,[1]Kreise!$A$1:$C$53,3,FALSE)</f>
        <v>K034</v>
      </c>
      <c r="H1035">
        <v>260</v>
      </c>
    </row>
    <row r="1036" spans="1:8">
      <c r="A1036">
        <v>0</v>
      </c>
      <c r="B1036" t="s">
        <v>34</v>
      </c>
      <c r="C1036">
        <v>2018</v>
      </c>
      <c r="D1036" t="s">
        <v>12</v>
      </c>
      <c r="E1036" t="s">
        <v>5</v>
      </c>
      <c r="F1036" t="s">
        <v>38</v>
      </c>
      <c r="G1036" t="str">
        <f>VLOOKUP(A1036,[1]Kreise!$A$1:$C$53,3,FALSE)</f>
        <v>K030</v>
      </c>
      <c r="H1036">
        <v>1124</v>
      </c>
    </row>
    <row r="1037" spans="1:8">
      <c r="A1037">
        <v>1</v>
      </c>
      <c r="B1037" t="s">
        <v>30</v>
      </c>
      <c r="C1037">
        <v>2017</v>
      </c>
      <c r="D1037" t="s">
        <v>12</v>
      </c>
      <c r="E1037" t="s">
        <v>5</v>
      </c>
      <c r="F1037" t="s">
        <v>38</v>
      </c>
      <c r="G1037" t="str">
        <f>VLOOKUP(A1037,[1]Kreise!$A$1:$C$53,3,FALSE)</f>
        <v>K031</v>
      </c>
      <c r="H1037">
        <v>257</v>
      </c>
    </row>
    <row r="1038" spans="1:8">
      <c r="A1038">
        <v>2</v>
      </c>
      <c r="B1038" t="s">
        <v>31</v>
      </c>
      <c r="C1038">
        <v>2017</v>
      </c>
      <c r="D1038" t="s">
        <v>12</v>
      </c>
      <c r="E1038" t="s">
        <v>5</v>
      </c>
      <c r="F1038" t="s">
        <v>38</v>
      </c>
      <c r="G1038" t="str">
        <f>VLOOKUP(A1038,[1]Kreise!$A$1:$C$53,3,FALSE)</f>
        <v>K032</v>
      </c>
      <c r="H1038">
        <v>418</v>
      </c>
    </row>
    <row r="1039" spans="1:8">
      <c r="A1039">
        <v>3</v>
      </c>
      <c r="B1039" t="s">
        <v>32</v>
      </c>
      <c r="C1039">
        <v>2017</v>
      </c>
      <c r="D1039" t="s">
        <v>12</v>
      </c>
      <c r="E1039" t="s">
        <v>5</v>
      </c>
      <c r="F1039" t="s">
        <v>38</v>
      </c>
      <c r="G1039" t="str">
        <f>VLOOKUP(A1039,[1]Kreise!$A$1:$C$53,3,FALSE)</f>
        <v>K033</v>
      </c>
      <c r="H1039">
        <v>138</v>
      </c>
    </row>
    <row r="1040" spans="1:8">
      <c r="A1040">
        <v>4</v>
      </c>
      <c r="B1040" t="s">
        <v>33</v>
      </c>
      <c r="C1040">
        <v>2017</v>
      </c>
      <c r="D1040" t="s">
        <v>12</v>
      </c>
      <c r="E1040" t="s">
        <v>5</v>
      </c>
      <c r="F1040" t="s">
        <v>38</v>
      </c>
      <c r="G1040" t="str">
        <f>VLOOKUP(A1040,[1]Kreise!$A$1:$C$53,3,FALSE)</f>
        <v>K034</v>
      </c>
      <c r="H1040">
        <v>278</v>
      </c>
    </row>
    <row r="1041" spans="1:8">
      <c r="A1041">
        <v>0</v>
      </c>
      <c r="B1041" t="s">
        <v>34</v>
      </c>
      <c r="C1041">
        <v>2017</v>
      </c>
      <c r="D1041" t="s">
        <v>12</v>
      </c>
      <c r="E1041" t="s">
        <v>5</v>
      </c>
      <c r="F1041" t="s">
        <v>38</v>
      </c>
      <c r="G1041" t="str">
        <f>VLOOKUP(A1041,[1]Kreise!$A$1:$C$53,3,FALSE)</f>
        <v>K030</v>
      </c>
      <c r="H1041">
        <v>1091</v>
      </c>
    </row>
    <row r="1042" spans="1:8">
      <c r="A1042">
        <v>1</v>
      </c>
      <c r="B1042" t="s">
        <v>30</v>
      </c>
      <c r="C1042">
        <v>2016</v>
      </c>
      <c r="D1042" t="s">
        <v>12</v>
      </c>
      <c r="E1042" t="s">
        <v>5</v>
      </c>
      <c r="F1042" t="s">
        <v>38</v>
      </c>
      <c r="G1042" t="str">
        <f>VLOOKUP(A1042,[1]Kreise!$A$1:$C$53,3,FALSE)</f>
        <v>K031</v>
      </c>
      <c r="H1042">
        <v>272</v>
      </c>
    </row>
    <row r="1043" spans="1:8">
      <c r="A1043">
        <v>2</v>
      </c>
      <c r="B1043" t="s">
        <v>31</v>
      </c>
      <c r="C1043">
        <v>2016</v>
      </c>
      <c r="D1043" t="s">
        <v>12</v>
      </c>
      <c r="E1043" t="s">
        <v>5</v>
      </c>
      <c r="F1043" t="s">
        <v>38</v>
      </c>
      <c r="G1043" t="str">
        <f>VLOOKUP(A1043,[1]Kreise!$A$1:$C$53,3,FALSE)</f>
        <v>K032</v>
      </c>
      <c r="H1043">
        <v>404</v>
      </c>
    </row>
    <row r="1044" spans="1:8">
      <c r="A1044">
        <v>3</v>
      </c>
      <c r="B1044" t="s">
        <v>32</v>
      </c>
      <c r="C1044">
        <v>2016</v>
      </c>
      <c r="D1044" t="s">
        <v>12</v>
      </c>
      <c r="E1044" t="s">
        <v>5</v>
      </c>
      <c r="F1044" t="s">
        <v>38</v>
      </c>
      <c r="G1044" t="str">
        <f>VLOOKUP(A1044,[1]Kreise!$A$1:$C$53,3,FALSE)</f>
        <v>K033</v>
      </c>
      <c r="H1044">
        <v>152</v>
      </c>
    </row>
    <row r="1045" spans="1:8">
      <c r="A1045">
        <v>4</v>
      </c>
      <c r="B1045" t="s">
        <v>33</v>
      </c>
      <c r="C1045">
        <v>2016</v>
      </c>
      <c r="D1045" t="s">
        <v>12</v>
      </c>
      <c r="E1045" t="s">
        <v>5</v>
      </c>
      <c r="F1045" t="s">
        <v>38</v>
      </c>
      <c r="G1045" t="str">
        <f>VLOOKUP(A1045,[1]Kreise!$A$1:$C$53,3,FALSE)</f>
        <v>K034</v>
      </c>
      <c r="H1045">
        <v>279</v>
      </c>
    </row>
    <row r="1046" spans="1:8">
      <c r="A1046">
        <v>0</v>
      </c>
      <c r="B1046" t="s">
        <v>34</v>
      </c>
      <c r="C1046">
        <v>2016</v>
      </c>
      <c r="D1046" t="s">
        <v>12</v>
      </c>
      <c r="E1046" t="s">
        <v>5</v>
      </c>
      <c r="F1046" t="s">
        <v>38</v>
      </c>
      <c r="G1046" t="str">
        <f>VLOOKUP(A1046,[1]Kreise!$A$1:$C$53,3,FALSE)</f>
        <v>K030</v>
      </c>
      <c r="H1046">
        <v>1107</v>
      </c>
    </row>
    <row r="1047" spans="1:8">
      <c r="A1047">
        <v>1</v>
      </c>
      <c r="B1047" t="s">
        <v>30</v>
      </c>
      <c r="C1047">
        <v>2015</v>
      </c>
      <c r="D1047" t="s">
        <v>12</v>
      </c>
      <c r="E1047" t="s">
        <v>5</v>
      </c>
      <c r="F1047" t="s">
        <v>38</v>
      </c>
      <c r="G1047" t="str">
        <f>VLOOKUP(A1047,[1]Kreise!$A$1:$C$53,3,FALSE)</f>
        <v>K031</v>
      </c>
      <c r="H1047">
        <v>209</v>
      </c>
    </row>
    <row r="1048" spans="1:8">
      <c r="A1048">
        <v>2</v>
      </c>
      <c r="B1048" t="s">
        <v>31</v>
      </c>
      <c r="C1048">
        <v>2015</v>
      </c>
      <c r="D1048" t="s">
        <v>12</v>
      </c>
      <c r="E1048" t="s">
        <v>5</v>
      </c>
      <c r="F1048" t="s">
        <v>38</v>
      </c>
      <c r="G1048" t="str">
        <f>VLOOKUP(A1048,[1]Kreise!$A$1:$C$53,3,FALSE)</f>
        <v>K032</v>
      </c>
      <c r="H1048">
        <v>359</v>
      </c>
    </row>
    <row r="1049" spans="1:8">
      <c r="A1049">
        <v>3</v>
      </c>
      <c r="B1049" t="s">
        <v>32</v>
      </c>
      <c r="C1049">
        <v>2015</v>
      </c>
      <c r="D1049" t="s">
        <v>12</v>
      </c>
      <c r="E1049" t="s">
        <v>5</v>
      </c>
      <c r="F1049" t="s">
        <v>38</v>
      </c>
      <c r="G1049" t="str">
        <f>VLOOKUP(A1049,[1]Kreise!$A$1:$C$53,3,FALSE)</f>
        <v>K033</v>
      </c>
      <c r="H1049">
        <v>106</v>
      </c>
    </row>
    <row r="1050" spans="1:8">
      <c r="A1050">
        <v>4</v>
      </c>
      <c r="B1050" t="s">
        <v>33</v>
      </c>
      <c r="C1050">
        <v>2015</v>
      </c>
      <c r="D1050" t="s">
        <v>12</v>
      </c>
      <c r="E1050" t="s">
        <v>5</v>
      </c>
      <c r="F1050" t="s">
        <v>38</v>
      </c>
      <c r="G1050" t="str">
        <f>VLOOKUP(A1050,[1]Kreise!$A$1:$C$53,3,FALSE)</f>
        <v>K034</v>
      </c>
      <c r="H1050">
        <v>244</v>
      </c>
    </row>
    <row r="1051" spans="1:8">
      <c r="A1051">
        <v>0</v>
      </c>
      <c r="B1051" t="s">
        <v>34</v>
      </c>
      <c r="C1051">
        <v>2015</v>
      </c>
      <c r="D1051" t="s">
        <v>12</v>
      </c>
      <c r="E1051" t="s">
        <v>5</v>
      </c>
      <c r="F1051" t="s">
        <v>38</v>
      </c>
      <c r="G1051" t="str">
        <f>VLOOKUP(A1051,[1]Kreise!$A$1:$C$53,3,FALSE)</f>
        <v>K030</v>
      </c>
      <c r="H1051">
        <v>918</v>
      </c>
    </row>
    <row r="1052" spans="1:8">
      <c r="A1052">
        <v>1</v>
      </c>
      <c r="B1052" t="s">
        <v>145</v>
      </c>
      <c r="C1052">
        <v>2014</v>
      </c>
      <c r="D1052" t="s">
        <v>12</v>
      </c>
      <c r="E1052" t="s">
        <v>5</v>
      </c>
      <c r="F1052" t="s">
        <v>38</v>
      </c>
      <c r="G1052" t="str">
        <f>VLOOKUP(A1052,[1]Kreise!$A$1:$C$53,3,FALSE)</f>
        <v>K031</v>
      </c>
      <c r="H1052">
        <v>234</v>
      </c>
    </row>
    <row r="1053" spans="1:8">
      <c r="A1053">
        <v>2</v>
      </c>
      <c r="B1053" t="s">
        <v>146</v>
      </c>
      <c r="C1053">
        <v>2014</v>
      </c>
      <c r="D1053" t="s">
        <v>12</v>
      </c>
      <c r="E1053" t="s">
        <v>5</v>
      </c>
      <c r="F1053" t="s">
        <v>38</v>
      </c>
      <c r="G1053" t="str">
        <f>VLOOKUP(A1053,[1]Kreise!$A$1:$C$53,3,FALSE)</f>
        <v>K032</v>
      </c>
      <c r="H1053">
        <v>393</v>
      </c>
    </row>
    <row r="1054" spans="1:8">
      <c r="A1054">
        <v>3</v>
      </c>
      <c r="B1054" t="s">
        <v>147</v>
      </c>
      <c r="C1054">
        <v>2014</v>
      </c>
      <c r="D1054" t="s">
        <v>12</v>
      </c>
      <c r="E1054" t="s">
        <v>5</v>
      </c>
      <c r="F1054" t="s">
        <v>38</v>
      </c>
      <c r="G1054" t="str">
        <f>VLOOKUP(A1054,[1]Kreise!$A$1:$C$53,3,FALSE)</f>
        <v>K033</v>
      </c>
      <c r="H1054">
        <v>163</v>
      </c>
    </row>
    <row r="1055" spans="1:8">
      <c r="A1055">
        <v>4</v>
      </c>
      <c r="B1055" t="s">
        <v>148</v>
      </c>
      <c r="C1055">
        <v>2014</v>
      </c>
      <c r="D1055" t="s">
        <v>12</v>
      </c>
      <c r="E1055" t="s">
        <v>5</v>
      </c>
      <c r="F1055" t="s">
        <v>38</v>
      </c>
      <c r="G1055" t="str">
        <f>VLOOKUP(A1055,[1]Kreise!$A$1:$C$53,3,FALSE)</f>
        <v>K034</v>
      </c>
      <c r="H1055">
        <v>351</v>
      </c>
    </row>
    <row r="1056" spans="1:8">
      <c r="A1056">
        <v>0</v>
      </c>
      <c r="B1056" t="s">
        <v>34</v>
      </c>
      <c r="C1056">
        <v>2014</v>
      </c>
      <c r="D1056" t="s">
        <v>12</v>
      </c>
      <c r="E1056" t="s">
        <v>5</v>
      </c>
      <c r="F1056" t="s">
        <v>38</v>
      </c>
      <c r="G1056" t="str">
        <f>VLOOKUP(A1056,[1]Kreise!$A$1:$C$53,3,FALSE)</f>
        <v>K030</v>
      </c>
      <c r="H1056">
        <v>1141</v>
      </c>
    </row>
    <row r="1057" spans="1:8">
      <c r="A1057">
        <v>1</v>
      </c>
      <c r="B1057" t="s">
        <v>30</v>
      </c>
      <c r="C1057">
        <v>2013</v>
      </c>
      <c r="D1057" t="s">
        <v>12</v>
      </c>
      <c r="E1057" t="s">
        <v>5</v>
      </c>
      <c r="F1057" t="s">
        <v>38</v>
      </c>
      <c r="G1057" t="str">
        <f>VLOOKUP(A1057,[1]Kreise!$A$1:$C$53,3,FALSE)</f>
        <v>K031</v>
      </c>
      <c r="H1057">
        <v>367</v>
      </c>
    </row>
    <row r="1058" spans="1:8">
      <c r="A1058">
        <v>2</v>
      </c>
      <c r="B1058" t="s">
        <v>31</v>
      </c>
      <c r="C1058">
        <v>2013</v>
      </c>
      <c r="D1058" t="s">
        <v>12</v>
      </c>
      <c r="E1058" t="s">
        <v>5</v>
      </c>
      <c r="F1058" t="s">
        <v>38</v>
      </c>
      <c r="G1058" t="str">
        <f>VLOOKUP(A1058,[1]Kreise!$A$1:$C$53,3,FALSE)</f>
        <v>K032</v>
      </c>
      <c r="H1058">
        <v>523</v>
      </c>
    </row>
    <row r="1059" spans="1:8">
      <c r="A1059">
        <v>3</v>
      </c>
      <c r="B1059" t="s">
        <v>32</v>
      </c>
      <c r="C1059">
        <v>2013</v>
      </c>
      <c r="D1059" t="s">
        <v>12</v>
      </c>
      <c r="E1059" t="s">
        <v>5</v>
      </c>
      <c r="F1059" t="s">
        <v>38</v>
      </c>
      <c r="G1059" t="str">
        <f>VLOOKUP(A1059,[1]Kreise!$A$1:$C$53,3,FALSE)</f>
        <v>K033</v>
      </c>
      <c r="H1059">
        <v>233</v>
      </c>
    </row>
    <row r="1060" spans="1:8">
      <c r="A1060">
        <v>4</v>
      </c>
      <c r="B1060" t="s">
        <v>33</v>
      </c>
      <c r="C1060">
        <v>2013</v>
      </c>
      <c r="D1060" t="s">
        <v>12</v>
      </c>
      <c r="E1060" t="s">
        <v>5</v>
      </c>
      <c r="F1060" t="s">
        <v>38</v>
      </c>
      <c r="G1060" t="str">
        <f>VLOOKUP(A1060,[1]Kreise!$A$1:$C$53,3,FALSE)</f>
        <v>K034</v>
      </c>
      <c r="H1060">
        <v>470</v>
      </c>
    </row>
    <row r="1061" spans="1:8">
      <c r="A1061">
        <v>0</v>
      </c>
      <c r="B1061" t="s">
        <v>34</v>
      </c>
      <c r="C1061">
        <v>2013</v>
      </c>
      <c r="D1061" t="s">
        <v>12</v>
      </c>
      <c r="E1061" t="s">
        <v>5</v>
      </c>
      <c r="F1061" t="s">
        <v>38</v>
      </c>
      <c r="G1061" t="str">
        <f>VLOOKUP(A1061,[1]Kreise!$A$1:$C$53,3,FALSE)</f>
        <v>K030</v>
      </c>
      <c r="H1061">
        <v>1593</v>
      </c>
    </row>
    <row r="1062" spans="1:8">
      <c r="A1062">
        <v>1</v>
      </c>
      <c r="B1062" t="s">
        <v>145</v>
      </c>
      <c r="C1062">
        <v>2012</v>
      </c>
      <c r="D1062" t="s">
        <v>12</v>
      </c>
      <c r="E1062" t="s">
        <v>5</v>
      </c>
      <c r="F1062" t="s">
        <v>38</v>
      </c>
      <c r="G1062" t="str">
        <f>VLOOKUP(A1062,[1]Kreise!$A$1:$C$53,3,FALSE)</f>
        <v>K031</v>
      </c>
      <c r="H1062">
        <v>371</v>
      </c>
    </row>
    <row r="1063" spans="1:8">
      <c r="A1063">
        <v>2</v>
      </c>
      <c r="B1063" t="s">
        <v>146</v>
      </c>
      <c r="C1063">
        <v>2012</v>
      </c>
      <c r="D1063" t="s">
        <v>12</v>
      </c>
      <c r="E1063" t="s">
        <v>5</v>
      </c>
      <c r="F1063" t="s">
        <v>38</v>
      </c>
      <c r="G1063" t="str">
        <f>VLOOKUP(A1063,[1]Kreise!$A$1:$C$53,3,FALSE)</f>
        <v>K032</v>
      </c>
      <c r="H1063">
        <v>617</v>
      </c>
    </row>
    <row r="1064" spans="1:8">
      <c r="A1064">
        <v>3</v>
      </c>
      <c r="B1064" t="s">
        <v>147</v>
      </c>
      <c r="C1064">
        <v>2012</v>
      </c>
      <c r="D1064" t="s">
        <v>12</v>
      </c>
      <c r="E1064" t="s">
        <v>5</v>
      </c>
      <c r="F1064" t="s">
        <v>38</v>
      </c>
      <c r="G1064" t="str">
        <f>VLOOKUP(A1064,[1]Kreise!$A$1:$C$53,3,FALSE)</f>
        <v>K033</v>
      </c>
      <c r="H1064">
        <v>258</v>
      </c>
    </row>
    <row r="1065" spans="1:8">
      <c r="A1065">
        <v>4</v>
      </c>
      <c r="B1065" t="s">
        <v>148</v>
      </c>
      <c r="C1065">
        <v>2012</v>
      </c>
      <c r="D1065" t="s">
        <v>12</v>
      </c>
      <c r="E1065" t="s">
        <v>5</v>
      </c>
      <c r="F1065" t="s">
        <v>38</v>
      </c>
      <c r="G1065" t="str">
        <f>VLOOKUP(A1065,[1]Kreise!$A$1:$C$53,3,FALSE)</f>
        <v>K034</v>
      </c>
      <c r="H1065">
        <v>507</v>
      </c>
    </row>
    <row r="1066" spans="1:8">
      <c r="A1066">
        <v>0</v>
      </c>
      <c r="B1066" t="s">
        <v>34</v>
      </c>
      <c r="C1066">
        <v>2012</v>
      </c>
      <c r="D1066" t="s">
        <v>12</v>
      </c>
      <c r="E1066" t="s">
        <v>5</v>
      </c>
      <c r="F1066" t="s">
        <v>38</v>
      </c>
      <c r="G1066" t="str">
        <f>VLOOKUP(A1066,[1]Kreise!$A$1:$C$53,3,FALSE)</f>
        <v>K030</v>
      </c>
      <c r="H1066">
        <v>1753</v>
      </c>
    </row>
    <row r="1067" spans="1:8">
      <c r="A1067">
        <v>1</v>
      </c>
      <c r="B1067" t="s">
        <v>30</v>
      </c>
      <c r="C1067">
        <v>2011</v>
      </c>
      <c r="D1067" t="s">
        <v>12</v>
      </c>
      <c r="E1067" t="s">
        <v>5</v>
      </c>
      <c r="F1067" t="s">
        <v>38</v>
      </c>
      <c r="G1067" t="str">
        <f>VLOOKUP(A1067,[1]Kreise!$A$1:$C$53,3,FALSE)</f>
        <v>K031</v>
      </c>
      <c r="H1067">
        <v>636</v>
      </c>
    </row>
    <row r="1068" spans="1:8">
      <c r="A1068">
        <v>2</v>
      </c>
      <c r="B1068" t="s">
        <v>31</v>
      </c>
      <c r="C1068">
        <v>2011</v>
      </c>
      <c r="D1068" t="s">
        <v>12</v>
      </c>
      <c r="E1068" t="s">
        <v>5</v>
      </c>
      <c r="F1068" t="s">
        <v>38</v>
      </c>
      <c r="G1068" t="str">
        <f>VLOOKUP(A1068,[1]Kreise!$A$1:$C$53,3,FALSE)</f>
        <v>K032</v>
      </c>
      <c r="H1068">
        <v>667</v>
      </c>
    </row>
    <row r="1069" spans="1:8">
      <c r="A1069">
        <v>3</v>
      </c>
      <c r="B1069" t="s">
        <v>32</v>
      </c>
      <c r="C1069">
        <v>2011</v>
      </c>
      <c r="D1069" t="s">
        <v>12</v>
      </c>
      <c r="E1069" t="s">
        <v>5</v>
      </c>
      <c r="F1069" t="s">
        <v>38</v>
      </c>
      <c r="G1069" t="str">
        <f>VLOOKUP(A1069,[1]Kreise!$A$1:$C$53,3,FALSE)</f>
        <v>K033</v>
      </c>
      <c r="H1069">
        <v>288</v>
      </c>
    </row>
    <row r="1070" spans="1:8">
      <c r="A1070">
        <v>4</v>
      </c>
      <c r="B1070" t="s">
        <v>33</v>
      </c>
      <c r="C1070">
        <v>2011</v>
      </c>
      <c r="D1070" t="s">
        <v>12</v>
      </c>
      <c r="E1070" t="s">
        <v>5</v>
      </c>
      <c r="F1070" t="s">
        <v>38</v>
      </c>
      <c r="G1070" t="str">
        <f>VLOOKUP(A1070,[1]Kreise!$A$1:$C$53,3,FALSE)</f>
        <v>K034</v>
      </c>
      <c r="H1070">
        <v>537</v>
      </c>
    </row>
    <row r="1071" spans="1:8">
      <c r="A1071">
        <v>0</v>
      </c>
      <c r="B1071" t="s">
        <v>34</v>
      </c>
      <c r="C1071">
        <v>2011</v>
      </c>
      <c r="D1071" t="s">
        <v>12</v>
      </c>
      <c r="E1071" t="s">
        <v>5</v>
      </c>
      <c r="F1071" t="s">
        <v>38</v>
      </c>
      <c r="G1071" t="str">
        <f>VLOOKUP(A1071,[1]Kreise!$A$1:$C$53,3,FALSE)</f>
        <v>K030</v>
      </c>
      <c r="H1071">
        <v>1891</v>
      </c>
    </row>
    <row r="1072" spans="1:8">
      <c r="A1072">
        <v>1</v>
      </c>
      <c r="B1072" t="s">
        <v>145</v>
      </c>
      <c r="C1072">
        <v>2010</v>
      </c>
      <c r="D1072" t="s">
        <v>12</v>
      </c>
      <c r="E1072" t="s">
        <v>5</v>
      </c>
      <c r="F1072" t="s">
        <v>38</v>
      </c>
      <c r="G1072" t="str">
        <f>VLOOKUP(A1072,[1]Kreise!$A$1:$C$53,3,FALSE)</f>
        <v>K031</v>
      </c>
      <c r="H1072">
        <v>391</v>
      </c>
    </row>
    <row r="1073" spans="1:8">
      <c r="A1073">
        <v>2</v>
      </c>
      <c r="B1073" t="s">
        <v>146</v>
      </c>
      <c r="C1073">
        <v>2010</v>
      </c>
      <c r="D1073" t="s">
        <v>12</v>
      </c>
      <c r="E1073" t="s">
        <v>5</v>
      </c>
      <c r="F1073" t="s">
        <v>38</v>
      </c>
      <c r="G1073" t="str">
        <f>VLOOKUP(A1073,[1]Kreise!$A$1:$C$53,3,FALSE)</f>
        <v>K032</v>
      </c>
      <c r="H1073">
        <v>684</v>
      </c>
    </row>
    <row r="1074" spans="1:8">
      <c r="A1074">
        <v>3</v>
      </c>
      <c r="B1074" t="s">
        <v>147</v>
      </c>
      <c r="C1074">
        <v>2010</v>
      </c>
      <c r="D1074" t="s">
        <v>12</v>
      </c>
      <c r="E1074" t="s">
        <v>5</v>
      </c>
      <c r="F1074" t="s">
        <v>38</v>
      </c>
      <c r="G1074" t="str">
        <f>VLOOKUP(A1074,[1]Kreise!$A$1:$C$53,3,FALSE)</f>
        <v>K033</v>
      </c>
      <c r="H1074">
        <v>271</v>
      </c>
    </row>
    <row r="1075" spans="1:8">
      <c r="A1075">
        <v>4</v>
      </c>
      <c r="B1075" t="s">
        <v>148</v>
      </c>
      <c r="C1075">
        <v>2010</v>
      </c>
      <c r="D1075" t="s">
        <v>12</v>
      </c>
      <c r="E1075" t="s">
        <v>5</v>
      </c>
      <c r="F1075" t="s">
        <v>38</v>
      </c>
      <c r="G1075" t="str">
        <f>VLOOKUP(A1075,[1]Kreise!$A$1:$C$53,3,FALSE)</f>
        <v>K034</v>
      </c>
      <c r="H1075">
        <v>483</v>
      </c>
    </row>
    <row r="1076" spans="1:8">
      <c r="A1076">
        <v>0</v>
      </c>
      <c r="B1076" t="s">
        <v>34</v>
      </c>
      <c r="C1076">
        <v>2010</v>
      </c>
      <c r="D1076" t="s">
        <v>12</v>
      </c>
      <c r="E1076" t="s">
        <v>5</v>
      </c>
      <c r="F1076" t="s">
        <v>38</v>
      </c>
      <c r="G1076" t="str">
        <f>VLOOKUP(A1076,[1]Kreise!$A$1:$C$53,3,FALSE)</f>
        <v>K030</v>
      </c>
      <c r="H1076">
        <v>1829</v>
      </c>
    </row>
    <row r="1077" spans="1:8">
      <c r="A1077">
        <v>1</v>
      </c>
      <c r="B1077" t="s">
        <v>145</v>
      </c>
      <c r="C1077">
        <v>2005</v>
      </c>
      <c r="D1077" t="s">
        <v>12</v>
      </c>
      <c r="E1077" t="s">
        <v>5</v>
      </c>
      <c r="F1077" t="s">
        <v>38</v>
      </c>
      <c r="G1077" t="str">
        <f>VLOOKUP(A1077,[1]Kreise!$A$1:$C$53,3,FALSE)</f>
        <v>K031</v>
      </c>
      <c r="H1077">
        <v>418</v>
      </c>
    </row>
    <row r="1078" spans="1:8">
      <c r="A1078">
        <v>2</v>
      </c>
      <c r="B1078" t="s">
        <v>146</v>
      </c>
      <c r="C1078">
        <v>2005</v>
      </c>
      <c r="D1078" t="s">
        <v>12</v>
      </c>
      <c r="E1078" t="s">
        <v>5</v>
      </c>
      <c r="F1078" t="s">
        <v>38</v>
      </c>
      <c r="G1078" t="str">
        <f>VLOOKUP(A1078,[1]Kreise!$A$1:$C$53,3,FALSE)</f>
        <v>K032</v>
      </c>
      <c r="H1078">
        <v>758</v>
      </c>
    </row>
    <row r="1079" spans="1:8">
      <c r="A1079">
        <v>3</v>
      </c>
      <c r="B1079" t="s">
        <v>147</v>
      </c>
      <c r="C1079">
        <v>2005</v>
      </c>
      <c r="D1079" t="s">
        <v>12</v>
      </c>
      <c r="E1079" t="s">
        <v>5</v>
      </c>
      <c r="F1079" t="s">
        <v>38</v>
      </c>
      <c r="G1079" t="str">
        <f>VLOOKUP(A1079,[1]Kreise!$A$1:$C$53,3,FALSE)</f>
        <v>K033</v>
      </c>
      <c r="H1079">
        <v>269</v>
      </c>
    </row>
    <row r="1080" spans="1:8">
      <c r="A1080">
        <v>4</v>
      </c>
      <c r="B1080" t="s">
        <v>148</v>
      </c>
      <c r="C1080">
        <v>2005</v>
      </c>
      <c r="D1080" t="s">
        <v>12</v>
      </c>
      <c r="E1080" t="s">
        <v>5</v>
      </c>
      <c r="F1080" t="s">
        <v>38</v>
      </c>
      <c r="G1080" t="str">
        <f>VLOOKUP(A1080,[1]Kreise!$A$1:$C$53,3,FALSE)</f>
        <v>K034</v>
      </c>
      <c r="H1080">
        <v>455</v>
      </c>
    </row>
    <row r="1081" spans="1:8">
      <c r="A1081">
        <v>0</v>
      </c>
      <c r="B1081" t="s">
        <v>34</v>
      </c>
      <c r="C1081">
        <v>2005</v>
      </c>
      <c r="D1081" t="s">
        <v>12</v>
      </c>
      <c r="E1081" t="s">
        <v>5</v>
      </c>
      <c r="F1081" t="s">
        <v>38</v>
      </c>
      <c r="G1081" t="str">
        <f>VLOOKUP(A1081,[1]Kreise!$A$1:$C$53,3,FALSE)</f>
        <v>K030</v>
      </c>
      <c r="H1081">
        <v>1900</v>
      </c>
    </row>
    <row r="1082" spans="1:8">
      <c r="A1082">
        <v>1</v>
      </c>
      <c r="B1082" t="s">
        <v>30</v>
      </c>
      <c r="C1082">
        <v>2020</v>
      </c>
      <c r="D1082" t="s">
        <v>11</v>
      </c>
      <c r="E1082" t="s">
        <v>139</v>
      </c>
      <c r="F1082" t="s">
        <v>38</v>
      </c>
      <c r="G1082" t="str">
        <f>VLOOKUP(A1082,[1]Kreise!$A$1:$C$53,3,FALSE)</f>
        <v>K031</v>
      </c>
      <c r="H1082">
        <v>1361</v>
      </c>
    </row>
    <row r="1083" spans="1:8">
      <c r="A1083">
        <v>2</v>
      </c>
      <c r="B1083" t="s">
        <v>31</v>
      </c>
      <c r="C1083">
        <v>2020</v>
      </c>
      <c r="D1083" t="s">
        <v>11</v>
      </c>
      <c r="E1083" t="s">
        <v>139</v>
      </c>
      <c r="F1083" t="s">
        <v>38</v>
      </c>
      <c r="G1083" t="str">
        <f>VLOOKUP(A1083,[1]Kreise!$A$1:$C$53,3,FALSE)</f>
        <v>K032</v>
      </c>
      <c r="H1083">
        <v>2500</v>
      </c>
    </row>
    <row r="1084" spans="1:8">
      <c r="A1084">
        <v>3</v>
      </c>
      <c r="B1084" t="s">
        <v>32</v>
      </c>
      <c r="C1084">
        <v>2020</v>
      </c>
      <c r="D1084" t="s">
        <v>11</v>
      </c>
      <c r="E1084" t="s">
        <v>139</v>
      </c>
      <c r="F1084" t="s">
        <v>38</v>
      </c>
      <c r="G1084" t="str">
        <f>VLOOKUP(A1084,[1]Kreise!$A$1:$C$53,3,FALSE)</f>
        <v>K033</v>
      </c>
      <c r="H1084">
        <v>4606</v>
      </c>
    </row>
    <row r="1085" spans="1:8">
      <c r="A1085">
        <v>4</v>
      </c>
      <c r="B1085" t="s">
        <v>33</v>
      </c>
      <c r="C1085">
        <v>2020</v>
      </c>
      <c r="D1085" t="s">
        <v>11</v>
      </c>
      <c r="E1085" t="s">
        <v>139</v>
      </c>
      <c r="F1085" t="s">
        <v>38</v>
      </c>
      <c r="G1085" t="str">
        <f>VLOOKUP(A1085,[1]Kreise!$A$1:$C$53,3,FALSE)</f>
        <v>K034</v>
      </c>
      <c r="H1085">
        <v>7108</v>
      </c>
    </row>
    <row r="1086" spans="1:8">
      <c r="A1086">
        <v>0</v>
      </c>
      <c r="B1086" t="s">
        <v>34</v>
      </c>
      <c r="C1086">
        <v>2020</v>
      </c>
      <c r="D1086" t="s">
        <v>11</v>
      </c>
      <c r="E1086" t="s">
        <v>139</v>
      </c>
      <c r="F1086" t="s">
        <v>38</v>
      </c>
      <c r="G1086" t="str">
        <f>VLOOKUP(A1086,[1]Kreise!$A$1:$C$53,3,FALSE)</f>
        <v>K030</v>
      </c>
      <c r="H1086">
        <v>15575</v>
      </c>
    </row>
    <row r="1087" spans="1:8">
      <c r="A1087">
        <v>1</v>
      </c>
      <c r="B1087" t="s">
        <v>30</v>
      </c>
      <c r="C1087">
        <v>2019</v>
      </c>
      <c r="D1087" t="s">
        <v>11</v>
      </c>
      <c r="E1087" t="s">
        <v>139</v>
      </c>
      <c r="F1087" t="s">
        <v>38</v>
      </c>
      <c r="G1087" t="str">
        <f>VLOOKUP(A1087,[1]Kreise!$A$1:$C$53,3,FALSE)</f>
        <v>K031</v>
      </c>
      <c r="H1087">
        <v>1426</v>
      </c>
    </row>
    <row r="1088" spans="1:8">
      <c r="A1088">
        <v>2</v>
      </c>
      <c r="B1088" t="s">
        <v>31</v>
      </c>
      <c r="C1088">
        <v>2019</v>
      </c>
      <c r="D1088" t="s">
        <v>11</v>
      </c>
      <c r="E1088" t="s">
        <v>139</v>
      </c>
      <c r="F1088" t="s">
        <v>38</v>
      </c>
      <c r="G1088" t="str">
        <f>VLOOKUP(A1088,[1]Kreise!$A$1:$C$53,3,FALSE)</f>
        <v>K032</v>
      </c>
      <c r="H1088">
        <v>2379</v>
      </c>
    </row>
    <row r="1089" spans="1:8">
      <c r="A1089">
        <v>3</v>
      </c>
      <c r="B1089" t="s">
        <v>32</v>
      </c>
      <c r="C1089">
        <v>2019</v>
      </c>
      <c r="D1089" t="s">
        <v>11</v>
      </c>
      <c r="E1089" t="s">
        <v>139</v>
      </c>
      <c r="F1089" t="s">
        <v>38</v>
      </c>
      <c r="G1089" t="str">
        <f>VLOOKUP(A1089,[1]Kreise!$A$1:$C$53,3,FALSE)</f>
        <v>K033</v>
      </c>
      <c r="H1089">
        <v>4863</v>
      </c>
    </row>
    <row r="1090" spans="1:8">
      <c r="A1090">
        <v>4</v>
      </c>
      <c r="B1090" t="s">
        <v>33</v>
      </c>
      <c r="C1090">
        <v>2019</v>
      </c>
      <c r="D1090" t="s">
        <v>11</v>
      </c>
      <c r="E1090" t="s">
        <v>139</v>
      </c>
      <c r="F1090" t="s">
        <v>38</v>
      </c>
      <c r="G1090" t="str">
        <f>VLOOKUP(A1090,[1]Kreise!$A$1:$C$53,3,FALSE)</f>
        <v>K034</v>
      </c>
      <c r="H1090">
        <v>7530</v>
      </c>
    </row>
    <row r="1091" spans="1:8">
      <c r="A1091">
        <v>0</v>
      </c>
      <c r="B1091" t="s">
        <v>34</v>
      </c>
      <c r="C1091">
        <v>2019</v>
      </c>
      <c r="D1091" t="s">
        <v>11</v>
      </c>
      <c r="E1091" t="s">
        <v>139</v>
      </c>
      <c r="F1091" t="s">
        <v>38</v>
      </c>
      <c r="G1091" t="str">
        <f>VLOOKUP(A1091,[1]Kreise!$A$1:$C$53,3,FALSE)</f>
        <v>K030</v>
      </c>
      <c r="H1091">
        <v>16198</v>
      </c>
    </row>
    <row r="1092" spans="1:8">
      <c r="A1092">
        <v>1</v>
      </c>
      <c r="B1092" t="s">
        <v>30</v>
      </c>
      <c r="C1092">
        <v>2018</v>
      </c>
      <c r="D1092" t="s">
        <v>11</v>
      </c>
      <c r="E1092" t="s">
        <v>139</v>
      </c>
      <c r="F1092" t="s">
        <v>38</v>
      </c>
      <c r="G1092" t="str">
        <f>VLOOKUP(A1092,[1]Kreise!$A$1:$C$53,3,FALSE)</f>
        <v>K031</v>
      </c>
      <c r="H1092">
        <v>1402</v>
      </c>
    </row>
    <row r="1093" spans="1:8">
      <c r="A1093">
        <v>2</v>
      </c>
      <c r="B1093" t="s">
        <v>31</v>
      </c>
      <c r="C1093">
        <v>2018</v>
      </c>
      <c r="D1093" t="s">
        <v>11</v>
      </c>
      <c r="E1093" t="s">
        <v>139</v>
      </c>
      <c r="F1093" t="s">
        <v>38</v>
      </c>
      <c r="G1093" t="str">
        <f>VLOOKUP(A1093,[1]Kreise!$A$1:$C$53,3,FALSE)</f>
        <v>K032</v>
      </c>
      <c r="H1093">
        <v>2437</v>
      </c>
    </row>
    <row r="1094" spans="1:8">
      <c r="A1094">
        <v>3</v>
      </c>
      <c r="B1094" t="s">
        <v>32</v>
      </c>
      <c r="C1094">
        <v>2018</v>
      </c>
      <c r="D1094" t="s">
        <v>11</v>
      </c>
      <c r="E1094" t="s">
        <v>139</v>
      </c>
      <c r="F1094" t="s">
        <v>38</v>
      </c>
      <c r="G1094" t="str">
        <f>VLOOKUP(A1094,[1]Kreise!$A$1:$C$53,3,FALSE)</f>
        <v>K033</v>
      </c>
      <c r="H1094">
        <v>4997</v>
      </c>
    </row>
    <row r="1095" spans="1:8">
      <c r="A1095">
        <v>4</v>
      </c>
      <c r="B1095" t="s">
        <v>33</v>
      </c>
      <c r="C1095">
        <v>2018</v>
      </c>
      <c r="D1095" t="s">
        <v>11</v>
      </c>
      <c r="E1095" t="s">
        <v>139</v>
      </c>
      <c r="F1095" t="s">
        <v>38</v>
      </c>
      <c r="G1095" t="str">
        <f>VLOOKUP(A1095,[1]Kreise!$A$1:$C$53,3,FALSE)</f>
        <v>K034</v>
      </c>
      <c r="H1095">
        <v>7673</v>
      </c>
    </row>
    <row r="1096" spans="1:8">
      <c r="A1096">
        <v>0</v>
      </c>
      <c r="B1096" t="s">
        <v>34</v>
      </c>
      <c r="C1096">
        <v>2018</v>
      </c>
      <c r="D1096" t="s">
        <v>11</v>
      </c>
      <c r="E1096" t="s">
        <v>139</v>
      </c>
      <c r="F1096" t="s">
        <v>38</v>
      </c>
      <c r="G1096" t="str">
        <f>VLOOKUP(A1096,[1]Kreise!$A$1:$C$53,3,FALSE)</f>
        <v>K030</v>
      </c>
      <c r="H1096">
        <v>16509</v>
      </c>
    </row>
    <row r="1097" spans="1:8">
      <c r="A1097">
        <v>1</v>
      </c>
      <c r="B1097" t="s">
        <v>30</v>
      </c>
      <c r="C1097">
        <v>2017</v>
      </c>
      <c r="D1097" t="s">
        <v>11</v>
      </c>
      <c r="E1097" t="s">
        <v>139</v>
      </c>
      <c r="F1097" t="s">
        <v>38</v>
      </c>
      <c r="G1097" t="str">
        <f>VLOOKUP(A1097,[1]Kreise!$A$1:$C$53,3,FALSE)</f>
        <v>K031</v>
      </c>
      <c r="H1097">
        <v>1540</v>
      </c>
    </row>
    <row r="1098" spans="1:8">
      <c r="A1098">
        <v>2</v>
      </c>
      <c r="B1098" t="s">
        <v>31</v>
      </c>
      <c r="C1098">
        <v>2017</v>
      </c>
      <c r="D1098" t="s">
        <v>11</v>
      </c>
      <c r="E1098" t="s">
        <v>139</v>
      </c>
      <c r="F1098" t="s">
        <v>38</v>
      </c>
      <c r="G1098" t="str">
        <f>VLOOKUP(A1098,[1]Kreise!$A$1:$C$53,3,FALSE)</f>
        <v>K032</v>
      </c>
      <c r="H1098">
        <v>2257</v>
      </c>
    </row>
    <row r="1099" spans="1:8">
      <c r="A1099">
        <v>3</v>
      </c>
      <c r="B1099" t="s">
        <v>32</v>
      </c>
      <c r="C1099">
        <v>2017</v>
      </c>
      <c r="D1099" t="s">
        <v>11</v>
      </c>
      <c r="E1099" t="s">
        <v>139</v>
      </c>
      <c r="F1099" t="s">
        <v>38</v>
      </c>
      <c r="G1099" t="str">
        <f>VLOOKUP(A1099,[1]Kreise!$A$1:$C$53,3,FALSE)</f>
        <v>K033</v>
      </c>
      <c r="H1099">
        <v>4981</v>
      </c>
    </row>
    <row r="1100" spans="1:8">
      <c r="A1100">
        <v>4</v>
      </c>
      <c r="B1100" t="s">
        <v>33</v>
      </c>
      <c r="C1100">
        <v>2017</v>
      </c>
      <c r="D1100" t="s">
        <v>11</v>
      </c>
      <c r="E1100" t="s">
        <v>139</v>
      </c>
      <c r="F1100" t="s">
        <v>38</v>
      </c>
      <c r="G1100" t="str">
        <f>VLOOKUP(A1100,[1]Kreise!$A$1:$C$53,3,FALSE)</f>
        <v>K034</v>
      </c>
      <c r="H1100">
        <v>7439</v>
      </c>
    </row>
    <row r="1101" spans="1:8">
      <c r="A1101">
        <v>0</v>
      </c>
      <c r="B1101" t="s">
        <v>34</v>
      </c>
      <c r="C1101">
        <v>2017</v>
      </c>
      <c r="D1101" t="s">
        <v>11</v>
      </c>
      <c r="E1101" t="s">
        <v>139</v>
      </c>
      <c r="F1101" t="s">
        <v>38</v>
      </c>
      <c r="G1101" t="str">
        <f>VLOOKUP(A1101,[1]Kreise!$A$1:$C$53,3,FALSE)</f>
        <v>K030</v>
      </c>
      <c r="H1101">
        <v>16217</v>
      </c>
    </row>
    <row r="1102" spans="1:8">
      <c r="A1102">
        <v>1</v>
      </c>
      <c r="B1102" t="s">
        <v>30</v>
      </c>
      <c r="C1102">
        <v>2016</v>
      </c>
      <c r="D1102" t="s">
        <v>11</v>
      </c>
      <c r="E1102" t="s">
        <v>139</v>
      </c>
      <c r="F1102" t="s">
        <v>38</v>
      </c>
      <c r="G1102" t="str">
        <f>VLOOKUP(A1102,[1]Kreise!$A$1:$C$53,3,FALSE)</f>
        <v>K031</v>
      </c>
      <c r="H1102">
        <v>1433</v>
      </c>
    </row>
    <row r="1103" spans="1:8">
      <c r="A1103">
        <v>2</v>
      </c>
      <c r="B1103" t="s">
        <v>31</v>
      </c>
      <c r="C1103">
        <v>2016</v>
      </c>
      <c r="D1103" t="s">
        <v>11</v>
      </c>
      <c r="E1103" t="s">
        <v>139</v>
      </c>
      <c r="F1103" t="s">
        <v>38</v>
      </c>
      <c r="G1103" t="str">
        <f>VLOOKUP(A1103,[1]Kreise!$A$1:$C$53,3,FALSE)</f>
        <v>K032</v>
      </c>
      <c r="H1103">
        <v>2140</v>
      </c>
    </row>
    <row r="1104" spans="1:8">
      <c r="A1104">
        <v>3</v>
      </c>
      <c r="B1104" t="s">
        <v>32</v>
      </c>
      <c r="C1104">
        <v>2016</v>
      </c>
      <c r="D1104" t="s">
        <v>11</v>
      </c>
      <c r="E1104" t="s">
        <v>139</v>
      </c>
      <c r="F1104" t="s">
        <v>38</v>
      </c>
      <c r="G1104" t="str">
        <f>VLOOKUP(A1104,[1]Kreise!$A$1:$C$53,3,FALSE)</f>
        <v>K033</v>
      </c>
      <c r="H1104">
        <v>4872</v>
      </c>
    </row>
    <row r="1105" spans="1:8">
      <c r="A1105">
        <v>4</v>
      </c>
      <c r="B1105" t="s">
        <v>33</v>
      </c>
      <c r="C1105">
        <v>2016</v>
      </c>
      <c r="D1105" t="s">
        <v>11</v>
      </c>
      <c r="E1105" t="s">
        <v>139</v>
      </c>
      <c r="F1105" t="s">
        <v>38</v>
      </c>
      <c r="G1105" t="str">
        <f>VLOOKUP(A1105,[1]Kreise!$A$1:$C$53,3,FALSE)</f>
        <v>K034</v>
      </c>
      <c r="H1105">
        <v>6651</v>
      </c>
    </row>
    <row r="1106" spans="1:8">
      <c r="A1106">
        <v>0</v>
      </c>
      <c r="B1106" t="s">
        <v>34</v>
      </c>
      <c r="C1106">
        <v>2016</v>
      </c>
      <c r="D1106" t="s">
        <v>11</v>
      </c>
      <c r="E1106" t="s">
        <v>139</v>
      </c>
      <c r="F1106" t="s">
        <v>38</v>
      </c>
      <c r="G1106" t="str">
        <f>VLOOKUP(A1106,[1]Kreise!$A$1:$C$53,3,FALSE)</f>
        <v>K030</v>
      </c>
      <c r="H1106">
        <v>15096</v>
      </c>
    </row>
    <row r="1107" spans="1:8">
      <c r="A1107">
        <v>1</v>
      </c>
      <c r="B1107" t="s">
        <v>30</v>
      </c>
      <c r="C1107">
        <v>2015</v>
      </c>
      <c r="D1107" t="s">
        <v>11</v>
      </c>
      <c r="E1107" t="s">
        <v>139</v>
      </c>
      <c r="F1107" t="s">
        <v>38</v>
      </c>
      <c r="G1107" t="str">
        <f>VLOOKUP(A1107,[1]Kreise!$A$1:$C$53,3,FALSE)</f>
        <v>K031</v>
      </c>
      <c r="H1107">
        <v>1421</v>
      </c>
    </row>
    <row r="1108" spans="1:8">
      <c r="A1108">
        <v>2</v>
      </c>
      <c r="B1108" t="s">
        <v>31</v>
      </c>
      <c r="C1108">
        <v>2015</v>
      </c>
      <c r="D1108" t="s">
        <v>11</v>
      </c>
      <c r="E1108" t="s">
        <v>139</v>
      </c>
      <c r="F1108" t="s">
        <v>38</v>
      </c>
      <c r="G1108" t="str">
        <f>VLOOKUP(A1108,[1]Kreise!$A$1:$C$53,3,FALSE)</f>
        <v>K032</v>
      </c>
      <c r="H1108">
        <v>2152</v>
      </c>
    </row>
    <row r="1109" spans="1:8">
      <c r="A1109">
        <v>3</v>
      </c>
      <c r="B1109" t="s">
        <v>32</v>
      </c>
      <c r="C1109">
        <v>2015</v>
      </c>
      <c r="D1109" t="s">
        <v>11</v>
      </c>
      <c r="E1109" t="s">
        <v>139</v>
      </c>
      <c r="F1109" t="s">
        <v>38</v>
      </c>
      <c r="G1109" t="str">
        <f>VLOOKUP(A1109,[1]Kreise!$A$1:$C$53,3,FALSE)</f>
        <v>K033</v>
      </c>
      <c r="H1109">
        <v>4759</v>
      </c>
    </row>
    <row r="1110" spans="1:8">
      <c r="A1110">
        <v>4</v>
      </c>
      <c r="B1110" t="s">
        <v>33</v>
      </c>
      <c r="C1110">
        <v>2015</v>
      </c>
      <c r="D1110" t="s">
        <v>11</v>
      </c>
      <c r="E1110" t="s">
        <v>139</v>
      </c>
      <c r="F1110" t="s">
        <v>38</v>
      </c>
      <c r="G1110" t="str">
        <f>VLOOKUP(A1110,[1]Kreise!$A$1:$C$53,3,FALSE)</f>
        <v>K034</v>
      </c>
      <c r="H1110">
        <v>6198</v>
      </c>
    </row>
    <row r="1111" spans="1:8">
      <c r="A1111">
        <v>0</v>
      </c>
      <c r="B1111" t="s">
        <v>34</v>
      </c>
      <c r="C1111">
        <v>2015</v>
      </c>
      <c r="D1111" t="s">
        <v>11</v>
      </c>
      <c r="E1111" t="s">
        <v>139</v>
      </c>
      <c r="F1111" t="s">
        <v>38</v>
      </c>
      <c r="G1111" t="str">
        <f>VLOOKUP(A1111,[1]Kreise!$A$1:$C$53,3,FALSE)</f>
        <v>K030</v>
      </c>
      <c r="H1111">
        <v>14530</v>
      </c>
    </row>
    <row r="1112" spans="1:8">
      <c r="A1112">
        <v>1</v>
      </c>
      <c r="B1112" t="s">
        <v>145</v>
      </c>
      <c r="C1112">
        <v>2014</v>
      </c>
      <c r="D1112" t="s">
        <v>11</v>
      </c>
      <c r="E1112" t="s">
        <v>139</v>
      </c>
      <c r="F1112" t="s">
        <v>38</v>
      </c>
      <c r="G1112" t="str">
        <f>VLOOKUP(A1112,[1]Kreise!$A$1:$C$53,3,FALSE)</f>
        <v>K031</v>
      </c>
      <c r="H1112">
        <v>1011</v>
      </c>
    </row>
    <row r="1113" spans="1:8">
      <c r="A1113">
        <v>2</v>
      </c>
      <c r="B1113" t="s">
        <v>146</v>
      </c>
      <c r="C1113">
        <v>2014</v>
      </c>
      <c r="D1113" t="s">
        <v>11</v>
      </c>
      <c r="E1113" t="s">
        <v>139</v>
      </c>
      <c r="F1113" t="s">
        <v>38</v>
      </c>
      <c r="G1113" t="str">
        <f>VLOOKUP(A1113,[1]Kreise!$A$1:$C$53,3,FALSE)</f>
        <v>K032</v>
      </c>
      <c r="H1113">
        <v>1507</v>
      </c>
    </row>
    <row r="1114" spans="1:8">
      <c r="A1114">
        <v>3</v>
      </c>
      <c r="B1114" t="s">
        <v>147</v>
      </c>
      <c r="C1114">
        <v>2014</v>
      </c>
      <c r="D1114" t="s">
        <v>11</v>
      </c>
      <c r="E1114" t="s">
        <v>139</v>
      </c>
      <c r="F1114" t="s">
        <v>38</v>
      </c>
      <c r="G1114" t="str">
        <f>VLOOKUP(A1114,[1]Kreise!$A$1:$C$53,3,FALSE)</f>
        <v>K033</v>
      </c>
      <c r="H1114">
        <v>2990</v>
      </c>
    </row>
    <row r="1115" spans="1:8">
      <c r="A1115">
        <v>4</v>
      </c>
      <c r="B1115" t="s">
        <v>148</v>
      </c>
      <c r="C1115">
        <v>2014</v>
      </c>
      <c r="D1115" t="s">
        <v>11</v>
      </c>
      <c r="E1115" t="s">
        <v>139</v>
      </c>
      <c r="F1115" t="s">
        <v>38</v>
      </c>
      <c r="G1115" t="str">
        <f>VLOOKUP(A1115,[1]Kreise!$A$1:$C$53,3,FALSE)</f>
        <v>K034</v>
      </c>
      <c r="H1115">
        <v>4094</v>
      </c>
    </row>
    <row r="1116" spans="1:8">
      <c r="A1116">
        <v>0</v>
      </c>
      <c r="B1116" t="s">
        <v>34</v>
      </c>
      <c r="C1116">
        <v>2014</v>
      </c>
      <c r="D1116" t="s">
        <v>11</v>
      </c>
      <c r="E1116" t="s">
        <v>139</v>
      </c>
      <c r="F1116" t="s">
        <v>38</v>
      </c>
      <c r="G1116" t="str">
        <f>VLOOKUP(A1116,[1]Kreise!$A$1:$C$53,3,FALSE)</f>
        <v>K030</v>
      </c>
      <c r="H1116">
        <v>9602</v>
      </c>
    </row>
    <row r="1117" spans="1:8">
      <c r="A1117">
        <v>1</v>
      </c>
      <c r="B1117" t="s">
        <v>30</v>
      </c>
      <c r="C1117">
        <v>2013</v>
      </c>
      <c r="D1117" t="s">
        <v>11</v>
      </c>
      <c r="E1117" t="s">
        <v>139</v>
      </c>
      <c r="F1117" t="s">
        <v>38</v>
      </c>
      <c r="G1117" t="str">
        <f>VLOOKUP(A1117,[1]Kreise!$A$1:$C$53,3,FALSE)</f>
        <v>K031</v>
      </c>
      <c r="H1117" t="s">
        <v>35</v>
      </c>
    </row>
    <row r="1118" spans="1:8">
      <c r="A1118">
        <v>2</v>
      </c>
      <c r="B1118" t="s">
        <v>31</v>
      </c>
      <c r="C1118">
        <v>2013</v>
      </c>
      <c r="D1118" t="s">
        <v>11</v>
      </c>
      <c r="E1118" t="s">
        <v>139</v>
      </c>
      <c r="F1118" t="s">
        <v>38</v>
      </c>
      <c r="G1118" t="str">
        <f>VLOOKUP(A1118,[1]Kreise!$A$1:$C$53,3,FALSE)</f>
        <v>K032</v>
      </c>
      <c r="H1118" t="s">
        <v>35</v>
      </c>
    </row>
    <row r="1119" spans="1:8">
      <c r="A1119">
        <v>3</v>
      </c>
      <c r="B1119" t="s">
        <v>32</v>
      </c>
      <c r="C1119">
        <v>2013</v>
      </c>
      <c r="D1119" t="s">
        <v>11</v>
      </c>
      <c r="E1119" t="s">
        <v>139</v>
      </c>
      <c r="F1119" t="s">
        <v>38</v>
      </c>
      <c r="G1119" t="str">
        <f>VLOOKUP(A1119,[1]Kreise!$A$1:$C$53,3,FALSE)</f>
        <v>K033</v>
      </c>
      <c r="H1119" t="s">
        <v>35</v>
      </c>
    </row>
    <row r="1120" spans="1:8">
      <c r="A1120">
        <v>4</v>
      </c>
      <c r="B1120" t="s">
        <v>33</v>
      </c>
      <c r="C1120">
        <v>2013</v>
      </c>
      <c r="D1120" t="s">
        <v>11</v>
      </c>
      <c r="E1120" t="s">
        <v>139</v>
      </c>
      <c r="F1120" t="s">
        <v>38</v>
      </c>
      <c r="G1120" t="str">
        <f>VLOOKUP(A1120,[1]Kreise!$A$1:$C$53,3,FALSE)</f>
        <v>K034</v>
      </c>
      <c r="H1120" t="s">
        <v>35</v>
      </c>
    </row>
    <row r="1121" spans="1:8">
      <c r="A1121">
        <v>0</v>
      </c>
      <c r="B1121" t="s">
        <v>34</v>
      </c>
      <c r="C1121">
        <v>2013</v>
      </c>
      <c r="D1121" t="s">
        <v>11</v>
      </c>
      <c r="E1121" t="s">
        <v>139</v>
      </c>
      <c r="F1121" t="s">
        <v>38</v>
      </c>
      <c r="G1121" t="str">
        <f>VLOOKUP(A1121,[1]Kreise!$A$1:$C$53,3,FALSE)</f>
        <v>K030</v>
      </c>
      <c r="H1121" t="s">
        <v>35</v>
      </c>
    </row>
    <row r="1122" spans="1:8">
      <c r="A1122">
        <v>1</v>
      </c>
      <c r="B1122" t="s">
        <v>145</v>
      </c>
      <c r="C1122">
        <v>2012</v>
      </c>
      <c r="D1122" t="s">
        <v>11</v>
      </c>
      <c r="E1122" t="s">
        <v>139</v>
      </c>
      <c r="F1122" t="s">
        <v>38</v>
      </c>
      <c r="G1122" t="str">
        <f>VLOOKUP(A1122,[1]Kreise!$A$1:$C$53,3,FALSE)</f>
        <v>K031</v>
      </c>
      <c r="H1122" t="s">
        <v>35</v>
      </c>
    </row>
    <row r="1123" spans="1:8">
      <c r="A1123">
        <v>2</v>
      </c>
      <c r="B1123" t="s">
        <v>146</v>
      </c>
      <c r="C1123">
        <v>2012</v>
      </c>
      <c r="D1123" t="s">
        <v>11</v>
      </c>
      <c r="E1123" t="s">
        <v>139</v>
      </c>
      <c r="F1123" t="s">
        <v>38</v>
      </c>
      <c r="G1123" t="str">
        <f>VLOOKUP(A1123,[1]Kreise!$A$1:$C$53,3,FALSE)</f>
        <v>K032</v>
      </c>
      <c r="H1123" t="s">
        <v>35</v>
      </c>
    </row>
    <row r="1124" spans="1:8">
      <c r="A1124">
        <v>3</v>
      </c>
      <c r="B1124" t="s">
        <v>147</v>
      </c>
      <c r="C1124">
        <v>2012</v>
      </c>
      <c r="D1124" t="s">
        <v>11</v>
      </c>
      <c r="E1124" t="s">
        <v>139</v>
      </c>
      <c r="F1124" t="s">
        <v>38</v>
      </c>
      <c r="G1124" t="str">
        <f>VLOOKUP(A1124,[1]Kreise!$A$1:$C$53,3,FALSE)</f>
        <v>K033</v>
      </c>
      <c r="H1124" t="s">
        <v>35</v>
      </c>
    </row>
    <row r="1125" spans="1:8">
      <c r="A1125">
        <v>4</v>
      </c>
      <c r="B1125" t="s">
        <v>148</v>
      </c>
      <c r="C1125">
        <v>2012</v>
      </c>
      <c r="D1125" t="s">
        <v>11</v>
      </c>
      <c r="E1125" t="s">
        <v>139</v>
      </c>
      <c r="F1125" t="s">
        <v>38</v>
      </c>
      <c r="G1125" t="str">
        <f>VLOOKUP(A1125,[1]Kreise!$A$1:$C$53,3,FALSE)</f>
        <v>K034</v>
      </c>
      <c r="H1125" t="s">
        <v>35</v>
      </c>
    </row>
    <row r="1126" spans="1:8">
      <c r="A1126">
        <v>0</v>
      </c>
      <c r="B1126" t="s">
        <v>34</v>
      </c>
      <c r="C1126">
        <v>2012</v>
      </c>
      <c r="D1126" t="s">
        <v>11</v>
      </c>
      <c r="E1126" t="s">
        <v>139</v>
      </c>
      <c r="F1126" t="s">
        <v>38</v>
      </c>
      <c r="G1126" t="str">
        <f>VLOOKUP(A1126,[1]Kreise!$A$1:$C$53,3,FALSE)</f>
        <v>K030</v>
      </c>
      <c r="H1126" t="s">
        <v>35</v>
      </c>
    </row>
    <row r="1127" spans="1:8">
      <c r="A1127">
        <v>1</v>
      </c>
      <c r="B1127" t="s">
        <v>30</v>
      </c>
      <c r="C1127">
        <v>2011</v>
      </c>
      <c r="D1127" t="s">
        <v>11</v>
      </c>
      <c r="E1127" t="s">
        <v>139</v>
      </c>
      <c r="F1127" t="s">
        <v>38</v>
      </c>
      <c r="G1127" t="str">
        <f>VLOOKUP(A1127,[1]Kreise!$A$1:$C$53,3,FALSE)</f>
        <v>K031</v>
      </c>
      <c r="H1127" t="s">
        <v>35</v>
      </c>
    </row>
    <row r="1128" spans="1:8">
      <c r="A1128">
        <v>2</v>
      </c>
      <c r="B1128" t="s">
        <v>31</v>
      </c>
      <c r="C1128">
        <v>2011</v>
      </c>
      <c r="D1128" t="s">
        <v>11</v>
      </c>
      <c r="E1128" t="s">
        <v>139</v>
      </c>
      <c r="F1128" t="s">
        <v>38</v>
      </c>
      <c r="G1128" t="str">
        <f>VLOOKUP(A1128,[1]Kreise!$A$1:$C$53,3,FALSE)</f>
        <v>K032</v>
      </c>
      <c r="H1128" t="s">
        <v>35</v>
      </c>
    </row>
    <row r="1129" spans="1:8">
      <c r="A1129">
        <v>3</v>
      </c>
      <c r="B1129" t="s">
        <v>32</v>
      </c>
      <c r="C1129">
        <v>2011</v>
      </c>
      <c r="D1129" t="s">
        <v>11</v>
      </c>
      <c r="E1129" t="s">
        <v>139</v>
      </c>
      <c r="F1129" t="s">
        <v>38</v>
      </c>
      <c r="G1129" t="str">
        <f>VLOOKUP(A1129,[1]Kreise!$A$1:$C$53,3,FALSE)</f>
        <v>K033</v>
      </c>
      <c r="H1129" t="s">
        <v>35</v>
      </c>
    </row>
    <row r="1130" spans="1:8">
      <c r="A1130">
        <v>4</v>
      </c>
      <c r="B1130" t="s">
        <v>33</v>
      </c>
      <c r="C1130">
        <v>2011</v>
      </c>
      <c r="D1130" t="s">
        <v>11</v>
      </c>
      <c r="E1130" t="s">
        <v>139</v>
      </c>
      <c r="F1130" t="s">
        <v>38</v>
      </c>
      <c r="G1130" t="str">
        <f>VLOOKUP(A1130,[1]Kreise!$A$1:$C$53,3,FALSE)</f>
        <v>K034</v>
      </c>
      <c r="H1130" t="s">
        <v>35</v>
      </c>
    </row>
    <row r="1131" spans="1:8">
      <c r="A1131">
        <v>0</v>
      </c>
      <c r="B1131" t="s">
        <v>34</v>
      </c>
      <c r="C1131">
        <v>2011</v>
      </c>
      <c r="D1131" t="s">
        <v>11</v>
      </c>
      <c r="E1131" t="s">
        <v>139</v>
      </c>
      <c r="F1131" t="s">
        <v>38</v>
      </c>
      <c r="G1131" t="str">
        <f>VLOOKUP(A1131,[1]Kreise!$A$1:$C$53,3,FALSE)</f>
        <v>K030</v>
      </c>
      <c r="H1131" t="s">
        <v>35</v>
      </c>
    </row>
    <row r="1132" spans="1:8">
      <c r="A1132">
        <v>1</v>
      </c>
      <c r="B1132" t="s">
        <v>145</v>
      </c>
      <c r="C1132">
        <v>2010</v>
      </c>
      <c r="D1132" t="s">
        <v>11</v>
      </c>
      <c r="E1132" t="s">
        <v>139</v>
      </c>
      <c r="F1132" t="s">
        <v>38</v>
      </c>
      <c r="G1132" t="str">
        <f>VLOOKUP(A1132,[1]Kreise!$A$1:$C$53,3,FALSE)</f>
        <v>K031</v>
      </c>
      <c r="H1132" t="s">
        <v>35</v>
      </c>
    </row>
    <row r="1133" spans="1:8">
      <c r="A1133">
        <v>2</v>
      </c>
      <c r="B1133" t="s">
        <v>146</v>
      </c>
      <c r="C1133">
        <v>2010</v>
      </c>
      <c r="D1133" t="s">
        <v>11</v>
      </c>
      <c r="E1133" t="s">
        <v>139</v>
      </c>
      <c r="F1133" t="s">
        <v>38</v>
      </c>
      <c r="G1133" t="str">
        <f>VLOOKUP(A1133,[1]Kreise!$A$1:$C$53,3,FALSE)</f>
        <v>K032</v>
      </c>
      <c r="H1133" t="s">
        <v>35</v>
      </c>
    </row>
    <row r="1134" spans="1:8">
      <c r="A1134">
        <v>3</v>
      </c>
      <c r="B1134" t="s">
        <v>147</v>
      </c>
      <c r="C1134">
        <v>2010</v>
      </c>
      <c r="D1134" t="s">
        <v>11</v>
      </c>
      <c r="E1134" t="s">
        <v>139</v>
      </c>
      <c r="F1134" t="s">
        <v>38</v>
      </c>
      <c r="G1134" t="str">
        <f>VLOOKUP(A1134,[1]Kreise!$A$1:$C$53,3,FALSE)</f>
        <v>K033</v>
      </c>
      <c r="H1134" t="s">
        <v>35</v>
      </c>
    </row>
    <row r="1135" spans="1:8">
      <c r="A1135">
        <v>4</v>
      </c>
      <c r="B1135" t="s">
        <v>148</v>
      </c>
      <c r="C1135">
        <v>2010</v>
      </c>
      <c r="D1135" t="s">
        <v>11</v>
      </c>
      <c r="E1135" t="s">
        <v>139</v>
      </c>
      <c r="F1135" t="s">
        <v>38</v>
      </c>
      <c r="G1135" t="str">
        <f>VLOOKUP(A1135,[1]Kreise!$A$1:$C$53,3,FALSE)</f>
        <v>K034</v>
      </c>
      <c r="H1135" t="s">
        <v>35</v>
      </c>
    </row>
    <row r="1136" spans="1:8">
      <c r="A1136">
        <v>0</v>
      </c>
      <c r="B1136" t="s">
        <v>34</v>
      </c>
      <c r="C1136">
        <v>2010</v>
      </c>
      <c r="D1136" t="s">
        <v>11</v>
      </c>
      <c r="E1136" t="s">
        <v>139</v>
      </c>
      <c r="F1136" t="s">
        <v>38</v>
      </c>
      <c r="G1136" t="str">
        <f>VLOOKUP(A1136,[1]Kreise!$A$1:$C$53,3,FALSE)</f>
        <v>K030</v>
      </c>
      <c r="H1136" t="s">
        <v>35</v>
      </c>
    </row>
    <row r="1137" spans="1:8">
      <c r="A1137">
        <v>1</v>
      </c>
      <c r="B1137" t="s">
        <v>145</v>
      </c>
      <c r="C1137">
        <v>2005</v>
      </c>
      <c r="D1137" t="s">
        <v>11</v>
      </c>
      <c r="E1137" t="s">
        <v>139</v>
      </c>
      <c r="F1137" t="s">
        <v>38</v>
      </c>
      <c r="G1137" t="str">
        <f>VLOOKUP(A1137,[1]Kreise!$A$1:$C$53,3,FALSE)</f>
        <v>K031</v>
      </c>
      <c r="H1137" t="s">
        <v>35</v>
      </c>
    </row>
    <row r="1138" spans="1:8">
      <c r="A1138">
        <v>2</v>
      </c>
      <c r="B1138" t="s">
        <v>146</v>
      </c>
      <c r="C1138">
        <v>2005</v>
      </c>
      <c r="D1138" t="s">
        <v>11</v>
      </c>
      <c r="E1138" t="s">
        <v>139</v>
      </c>
      <c r="F1138" t="s">
        <v>38</v>
      </c>
      <c r="G1138" t="str">
        <f>VLOOKUP(A1138,[1]Kreise!$A$1:$C$53,3,FALSE)</f>
        <v>K032</v>
      </c>
      <c r="H1138" t="s">
        <v>35</v>
      </c>
    </row>
    <row r="1139" spans="1:8">
      <c r="A1139">
        <v>3</v>
      </c>
      <c r="B1139" t="s">
        <v>147</v>
      </c>
      <c r="C1139">
        <v>2005</v>
      </c>
      <c r="D1139" t="s">
        <v>11</v>
      </c>
      <c r="E1139" t="s">
        <v>139</v>
      </c>
      <c r="F1139" t="s">
        <v>38</v>
      </c>
      <c r="G1139" t="str">
        <f>VLOOKUP(A1139,[1]Kreise!$A$1:$C$53,3,FALSE)</f>
        <v>K033</v>
      </c>
      <c r="H1139" t="s">
        <v>35</v>
      </c>
    </row>
    <row r="1140" spans="1:8">
      <c r="A1140">
        <v>4</v>
      </c>
      <c r="B1140" t="s">
        <v>148</v>
      </c>
      <c r="C1140">
        <v>2005</v>
      </c>
      <c r="D1140" t="s">
        <v>11</v>
      </c>
      <c r="E1140" t="s">
        <v>139</v>
      </c>
      <c r="F1140" t="s">
        <v>38</v>
      </c>
      <c r="G1140" t="str">
        <f>VLOOKUP(A1140,[1]Kreise!$A$1:$C$53,3,FALSE)</f>
        <v>K034</v>
      </c>
      <c r="H1140" t="s">
        <v>35</v>
      </c>
    </row>
    <row r="1141" spans="1:8">
      <c r="A1141">
        <v>0</v>
      </c>
      <c r="B1141" t="s">
        <v>34</v>
      </c>
      <c r="C1141">
        <v>2005</v>
      </c>
      <c r="D1141" t="s">
        <v>11</v>
      </c>
      <c r="E1141" t="s">
        <v>139</v>
      </c>
      <c r="F1141" t="s">
        <v>38</v>
      </c>
      <c r="G1141" t="str">
        <f>VLOOKUP(A1141,[1]Kreise!$A$1:$C$53,3,FALSE)</f>
        <v>K030</v>
      </c>
      <c r="H1141" t="s">
        <v>35</v>
      </c>
    </row>
    <row r="1142" spans="1:8">
      <c r="A1142">
        <v>1</v>
      </c>
      <c r="B1142" t="s">
        <v>30</v>
      </c>
      <c r="C1142">
        <v>2020</v>
      </c>
      <c r="D1142" t="s">
        <v>12</v>
      </c>
      <c r="E1142" t="s">
        <v>139</v>
      </c>
      <c r="F1142" t="s">
        <v>38</v>
      </c>
      <c r="G1142" t="str">
        <f>VLOOKUP(A1142,[1]Kreise!$A$1:$C$53,3,FALSE)</f>
        <v>K031</v>
      </c>
      <c r="H1142">
        <v>208</v>
      </c>
    </row>
    <row r="1143" spans="1:8">
      <c r="A1143">
        <v>2</v>
      </c>
      <c r="B1143" t="s">
        <v>31</v>
      </c>
      <c r="C1143">
        <v>2020</v>
      </c>
      <c r="D1143" t="s">
        <v>12</v>
      </c>
      <c r="E1143" t="s">
        <v>139</v>
      </c>
      <c r="F1143" t="s">
        <v>38</v>
      </c>
      <c r="G1143" t="str">
        <f>VLOOKUP(A1143,[1]Kreise!$A$1:$C$53,3,FALSE)</f>
        <v>K032</v>
      </c>
      <c r="H1143">
        <v>589</v>
      </c>
    </row>
    <row r="1144" spans="1:8">
      <c r="A1144">
        <v>3</v>
      </c>
      <c r="B1144" t="s">
        <v>32</v>
      </c>
      <c r="C1144">
        <v>2020</v>
      </c>
      <c r="D1144" t="s">
        <v>12</v>
      </c>
      <c r="E1144" t="s">
        <v>139</v>
      </c>
      <c r="F1144" t="s">
        <v>38</v>
      </c>
      <c r="G1144" t="str">
        <f>VLOOKUP(A1144,[1]Kreise!$A$1:$C$53,3,FALSE)</f>
        <v>K033</v>
      </c>
      <c r="H1144">
        <v>619</v>
      </c>
    </row>
    <row r="1145" spans="1:8">
      <c r="A1145">
        <v>4</v>
      </c>
      <c r="B1145" t="s">
        <v>33</v>
      </c>
      <c r="C1145">
        <v>2020</v>
      </c>
      <c r="D1145" t="s">
        <v>12</v>
      </c>
      <c r="E1145" t="s">
        <v>139</v>
      </c>
      <c r="F1145" t="s">
        <v>38</v>
      </c>
      <c r="G1145" t="str">
        <f>VLOOKUP(A1145,[1]Kreise!$A$1:$C$53,3,FALSE)</f>
        <v>K034</v>
      </c>
      <c r="H1145">
        <v>1368</v>
      </c>
    </row>
    <row r="1146" spans="1:8">
      <c r="A1146">
        <v>0</v>
      </c>
      <c r="B1146" t="s">
        <v>34</v>
      </c>
      <c r="C1146">
        <v>2020</v>
      </c>
      <c r="D1146" t="s">
        <v>12</v>
      </c>
      <c r="E1146" t="s">
        <v>139</v>
      </c>
      <c r="F1146" t="s">
        <v>38</v>
      </c>
      <c r="G1146" t="str">
        <f>VLOOKUP(A1146,[1]Kreise!$A$1:$C$53,3,FALSE)</f>
        <v>K030</v>
      </c>
      <c r="H1146">
        <v>2784</v>
      </c>
    </row>
    <row r="1147" spans="1:8">
      <c r="A1147">
        <v>1</v>
      </c>
      <c r="B1147" t="s">
        <v>30</v>
      </c>
      <c r="C1147">
        <v>2019</v>
      </c>
      <c r="D1147" t="s">
        <v>12</v>
      </c>
      <c r="E1147" t="s">
        <v>139</v>
      </c>
      <c r="F1147" t="s">
        <v>38</v>
      </c>
      <c r="G1147" t="str">
        <f>VLOOKUP(A1147,[1]Kreise!$A$1:$C$53,3,FALSE)</f>
        <v>K031</v>
      </c>
      <c r="H1147">
        <v>195</v>
      </c>
    </row>
    <row r="1148" spans="1:8">
      <c r="A1148">
        <v>2</v>
      </c>
      <c r="B1148" t="s">
        <v>31</v>
      </c>
      <c r="C1148">
        <v>2019</v>
      </c>
      <c r="D1148" t="s">
        <v>12</v>
      </c>
      <c r="E1148" t="s">
        <v>139</v>
      </c>
      <c r="F1148" t="s">
        <v>38</v>
      </c>
      <c r="G1148" t="str">
        <f>VLOOKUP(A1148,[1]Kreise!$A$1:$C$53,3,FALSE)</f>
        <v>K032</v>
      </c>
      <c r="H1148">
        <v>588</v>
      </c>
    </row>
    <row r="1149" spans="1:8">
      <c r="A1149">
        <v>3</v>
      </c>
      <c r="B1149" t="s">
        <v>32</v>
      </c>
      <c r="C1149">
        <v>2019</v>
      </c>
      <c r="D1149" t="s">
        <v>12</v>
      </c>
      <c r="E1149" t="s">
        <v>139</v>
      </c>
      <c r="F1149" t="s">
        <v>38</v>
      </c>
      <c r="G1149" t="str">
        <f>VLOOKUP(A1149,[1]Kreise!$A$1:$C$53,3,FALSE)</f>
        <v>K033</v>
      </c>
      <c r="H1149">
        <v>566</v>
      </c>
    </row>
    <row r="1150" spans="1:8">
      <c r="A1150">
        <v>4</v>
      </c>
      <c r="B1150" t="s">
        <v>33</v>
      </c>
      <c r="C1150">
        <v>2019</v>
      </c>
      <c r="D1150" t="s">
        <v>12</v>
      </c>
      <c r="E1150" t="s">
        <v>139</v>
      </c>
      <c r="F1150" t="s">
        <v>38</v>
      </c>
      <c r="G1150" t="str">
        <f>VLOOKUP(A1150,[1]Kreise!$A$1:$C$53,3,FALSE)</f>
        <v>K034</v>
      </c>
      <c r="H1150">
        <v>1280</v>
      </c>
    </row>
    <row r="1151" spans="1:8">
      <c r="A1151">
        <v>0</v>
      </c>
      <c r="B1151" t="s">
        <v>34</v>
      </c>
      <c r="C1151">
        <v>2019</v>
      </c>
      <c r="D1151" t="s">
        <v>12</v>
      </c>
      <c r="E1151" t="s">
        <v>139</v>
      </c>
      <c r="F1151" t="s">
        <v>38</v>
      </c>
      <c r="G1151" t="str">
        <f>VLOOKUP(A1151,[1]Kreise!$A$1:$C$53,3,FALSE)</f>
        <v>K030</v>
      </c>
      <c r="H1151">
        <v>2629</v>
      </c>
    </row>
    <row r="1152" spans="1:8">
      <c r="A1152">
        <v>1</v>
      </c>
      <c r="B1152" t="s">
        <v>30</v>
      </c>
      <c r="C1152">
        <v>2018</v>
      </c>
      <c r="D1152" t="s">
        <v>12</v>
      </c>
      <c r="E1152" t="s">
        <v>139</v>
      </c>
      <c r="F1152" t="s">
        <v>38</v>
      </c>
      <c r="G1152" t="str">
        <f>VLOOKUP(A1152,[1]Kreise!$A$1:$C$53,3,FALSE)</f>
        <v>K031</v>
      </c>
      <c r="H1152">
        <v>198</v>
      </c>
    </row>
    <row r="1153" spans="1:8">
      <c r="A1153">
        <v>2</v>
      </c>
      <c r="B1153" t="s">
        <v>31</v>
      </c>
      <c r="C1153">
        <v>2018</v>
      </c>
      <c r="D1153" t="s">
        <v>12</v>
      </c>
      <c r="E1153" t="s">
        <v>139</v>
      </c>
      <c r="F1153" t="s">
        <v>38</v>
      </c>
      <c r="G1153" t="str">
        <f>VLOOKUP(A1153,[1]Kreise!$A$1:$C$53,3,FALSE)</f>
        <v>K032</v>
      </c>
      <c r="H1153">
        <v>406</v>
      </c>
    </row>
    <row r="1154" spans="1:8">
      <c r="A1154">
        <v>3</v>
      </c>
      <c r="B1154" t="s">
        <v>32</v>
      </c>
      <c r="C1154">
        <v>2018</v>
      </c>
      <c r="D1154" t="s">
        <v>12</v>
      </c>
      <c r="E1154" t="s">
        <v>139</v>
      </c>
      <c r="F1154" t="s">
        <v>38</v>
      </c>
      <c r="G1154" t="str">
        <f>VLOOKUP(A1154,[1]Kreise!$A$1:$C$53,3,FALSE)</f>
        <v>K033</v>
      </c>
      <c r="H1154">
        <v>546</v>
      </c>
    </row>
    <row r="1155" spans="1:8">
      <c r="A1155">
        <v>4</v>
      </c>
      <c r="B1155" t="s">
        <v>33</v>
      </c>
      <c r="C1155">
        <v>2018</v>
      </c>
      <c r="D1155" t="s">
        <v>12</v>
      </c>
      <c r="E1155" t="s">
        <v>139</v>
      </c>
      <c r="F1155" t="s">
        <v>38</v>
      </c>
      <c r="G1155" t="str">
        <f>VLOOKUP(A1155,[1]Kreise!$A$1:$C$53,3,FALSE)</f>
        <v>K034</v>
      </c>
      <c r="H1155">
        <v>1064</v>
      </c>
    </row>
    <row r="1156" spans="1:8">
      <c r="A1156">
        <v>0</v>
      </c>
      <c r="B1156" t="s">
        <v>34</v>
      </c>
      <c r="C1156">
        <v>2018</v>
      </c>
      <c r="D1156" t="s">
        <v>12</v>
      </c>
      <c r="E1156" t="s">
        <v>139</v>
      </c>
      <c r="F1156" t="s">
        <v>38</v>
      </c>
      <c r="G1156" t="str">
        <f>VLOOKUP(A1156,[1]Kreise!$A$1:$C$53,3,FALSE)</f>
        <v>K030</v>
      </c>
      <c r="H1156">
        <v>2214</v>
      </c>
    </row>
    <row r="1157" spans="1:8">
      <c r="A1157">
        <v>1</v>
      </c>
      <c r="B1157" t="s">
        <v>30</v>
      </c>
      <c r="C1157">
        <v>2017</v>
      </c>
      <c r="D1157" t="s">
        <v>12</v>
      </c>
      <c r="E1157" t="s">
        <v>139</v>
      </c>
      <c r="F1157" t="s">
        <v>38</v>
      </c>
      <c r="G1157" t="str">
        <f>VLOOKUP(A1157,[1]Kreise!$A$1:$C$53,3,FALSE)</f>
        <v>K031</v>
      </c>
      <c r="H1157">
        <v>170</v>
      </c>
    </row>
    <row r="1158" spans="1:8">
      <c r="A1158">
        <v>2</v>
      </c>
      <c r="B1158" t="s">
        <v>31</v>
      </c>
      <c r="C1158">
        <v>2017</v>
      </c>
      <c r="D1158" t="s">
        <v>12</v>
      </c>
      <c r="E1158" t="s">
        <v>139</v>
      </c>
      <c r="F1158" t="s">
        <v>38</v>
      </c>
      <c r="G1158" t="str">
        <f>VLOOKUP(A1158,[1]Kreise!$A$1:$C$53,3,FALSE)</f>
        <v>K032</v>
      </c>
      <c r="H1158">
        <v>379</v>
      </c>
    </row>
    <row r="1159" spans="1:8">
      <c r="A1159">
        <v>3</v>
      </c>
      <c r="B1159" t="s">
        <v>32</v>
      </c>
      <c r="C1159">
        <v>2017</v>
      </c>
      <c r="D1159" t="s">
        <v>12</v>
      </c>
      <c r="E1159" t="s">
        <v>139</v>
      </c>
      <c r="F1159" t="s">
        <v>38</v>
      </c>
      <c r="G1159" t="str">
        <f>VLOOKUP(A1159,[1]Kreise!$A$1:$C$53,3,FALSE)</f>
        <v>K033</v>
      </c>
      <c r="H1159">
        <v>453</v>
      </c>
    </row>
    <row r="1160" spans="1:8">
      <c r="A1160">
        <v>4</v>
      </c>
      <c r="B1160" t="s">
        <v>33</v>
      </c>
      <c r="C1160">
        <v>2017</v>
      </c>
      <c r="D1160" t="s">
        <v>12</v>
      </c>
      <c r="E1160" t="s">
        <v>139</v>
      </c>
      <c r="F1160" t="s">
        <v>38</v>
      </c>
      <c r="G1160" t="str">
        <f>VLOOKUP(A1160,[1]Kreise!$A$1:$C$53,3,FALSE)</f>
        <v>K034</v>
      </c>
      <c r="H1160">
        <v>956</v>
      </c>
    </row>
    <row r="1161" spans="1:8">
      <c r="A1161">
        <v>0</v>
      </c>
      <c r="B1161" t="s">
        <v>34</v>
      </c>
      <c r="C1161">
        <v>2017</v>
      </c>
      <c r="D1161" t="s">
        <v>12</v>
      </c>
      <c r="E1161" t="s">
        <v>139</v>
      </c>
      <c r="F1161" t="s">
        <v>38</v>
      </c>
      <c r="G1161" t="str">
        <f>VLOOKUP(A1161,[1]Kreise!$A$1:$C$53,3,FALSE)</f>
        <v>K030</v>
      </c>
      <c r="H1161">
        <v>1958</v>
      </c>
    </row>
    <row r="1162" spans="1:8">
      <c r="A1162">
        <v>1</v>
      </c>
      <c r="B1162" t="s">
        <v>30</v>
      </c>
      <c r="C1162">
        <v>2016</v>
      </c>
      <c r="D1162" t="s">
        <v>12</v>
      </c>
      <c r="E1162" t="s">
        <v>139</v>
      </c>
      <c r="F1162" t="s">
        <v>38</v>
      </c>
      <c r="G1162" t="str">
        <f>VLOOKUP(A1162,[1]Kreise!$A$1:$C$53,3,FALSE)</f>
        <v>K031</v>
      </c>
      <c r="H1162">
        <v>130</v>
      </c>
    </row>
    <row r="1163" spans="1:8">
      <c r="A1163">
        <v>2</v>
      </c>
      <c r="B1163" t="s">
        <v>31</v>
      </c>
      <c r="C1163">
        <v>2016</v>
      </c>
      <c r="D1163" t="s">
        <v>12</v>
      </c>
      <c r="E1163" t="s">
        <v>139</v>
      </c>
      <c r="F1163" t="s">
        <v>38</v>
      </c>
      <c r="G1163" t="str">
        <f>VLOOKUP(A1163,[1]Kreise!$A$1:$C$53,3,FALSE)</f>
        <v>K032</v>
      </c>
      <c r="H1163">
        <v>254</v>
      </c>
    </row>
    <row r="1164" spans="1:8">
      <c r="A1164">
        <v>3</v>
      </c>
      <c r="B1164" t="s">
        <v>32</v>
      </c>
      <c r="C1164">
        <v>2016</v>
      </c>
      <c r="D1164" t="s">
        <v>12</v>
      </c>
      <c r="E1164" t="s">
        <v>139</v>
      </c>
      <c r="F1164" t="s">
        <v>38</v>
      </c>
      <c r="G1164" t="str">
        <f>VLOOKUP(A1164,[1]Kreise!$A$1:$C$53,3,FALSE)</f>
        <v>K033</v>
      </c>
      <c r="H1164">
        <v>356</v>
      </c>
    </row>
    <row r="1165" spans="1:8">
      <c r="A1165">
        <v>4</v>
      </c>
      <c r="B1165" t="s">
        <v>33</v>
      </c>
      <c r="C1165">
        <v>2016</v>
      </c>
      <c r="D1165" t="s">
        <v>12</v>
      </c>
      <c r="E1165" t="s">
        <v>139</v>
      </c>
      <c r="F1165" t="s">
        <v>38</v>
      </c>
      <c r="G1165" t="str">
        <f>VLOOKUP(A1165,[1]Kreise!$A$1:$C$53,3,FALSE)</f>
        <v>K034</v>
      </c>
      <c r="H1165">
        <v>675</v>
      </c>
    </row>
    <row r="1166" spans="1:8">
      <c r="A1166">
        <v>0</v>
      </c>
      <c r="B1166" t="s">
        <v>34</v>
      </c>
      <c r="C1166">
        <v>2016</v>
      </c>
      <c r="D1166" t="s">
        <v>12</v>
      </c>
      <c r="E1166" t="s">
        <v>139</v>
      </c>
      <c r="F1166" t="s">
        <v>38</v>
      </c>
      <c r="G1166" t="str">
        <f>VLOOKUP(A1166,[1]Kreise!$A$1:$C$53,3,FALSE)</f>
        <v>K030</v>
      </c>
      <c r="H1166">
        <v>1415</v>
      </c>
    </row>
    <row r="1167" spans="1:8">
      <c r="A1167">
        <v>1</v>
      </c>
      <c r="B1167" t="s">
        <v>30</v>
      </c>
      <c r="C1167">
        <v>2015</v>
      </c>
      <c r="D1167" t="s">
        <v>12</v>
      </c>
      <c r="E1167" t="s">
        <v>139</v>
      </c>
      <c r="F1167" t="s">
        <v>38</v>
      </c>
      <c r="G1167" t="str">
        <f>VLOOKUP(A1167,[1]Kreise!$A$1:$C$53,3,FALSE)</f>
        <v>K031</v>
      </c>
      <c r="H1167">
        <v>77</v>
      </c>
    </row>
    <row r="1168" spans="1:8">
      <c r="A1168">
        <v>2</v>
      </c>
      <c r="B1168" t="s">
        <v>31</v>
      </c>
      <c r="C1168">
        <v>2015</v>
      </c>
      <c r="D1168" t="s">
        <v>12</v>
      </c>
      <c r="E1168" t="s">
        <v>139</v>
      </c>
      <c r="F1168" t="s">
        <v>38</v>
      </c>
      <c r="G1168" t="str">
        <f>VLOOKUP(A1168,[1]Kreise!$A$1:$C$53,3,FALSE)</f>
        <v>K032</v>
      </c>
      <c r="H1168">
        <v>219</v>
      </c>
    </row>
    <row r="1169" spans="1:8">
      <c r="A1169">
        <v>3</v>
      </c>
      <c r="B1169" t="s">
        <v>32</v>
      </c>
      <c r="C1169">
        <v>2015</v>
      </c>
      <c r="D1169" t="s">
        <v>12</v>
      </c>
      <c r="E1169" t="s">
        <v>139</v>
      </c>
      <c r="F1169" t="s">
        <v>38</v>
      </c>
      <c r="G1169" t="str">
        <f>VLOOKUP(A1169,[1]Kreise!$A$1:$C$53,3,FALSE)</f>
        <v>K033</v>
      </c>
      <c r="H1169">
        <v>257</v>
      </c>
    </row>
    <row r="1170" spans="1:8">
      <c r="A1170">
        <v>4</v>
      </c>
      <c r="B1170" t="s">
        <v>33</v>
      </c>
      <c r="C1170">
        <v>2015</v>
      </c>
      <c r="D1170" t="s">
        <v>12</v>
      </c>
      <c r="E1170" t="s">
        <v>139</v>
      </c>
      <c r="F1170" t="s">
        <v>38</v>
      </c>
      <c r="G1170" t="str">
        <f>VLOOKUP(A1170,[1]Kreise!$A$1:$C$53,3,FALSE)</f>
        <v>K034</v>
      </c>
      <c r="H1170">
        <v>459</v>
      </c>
    </row>
    <row r="1171" spans="1:8">
      <c r="A1171">
        <v>0</v>
      </c>
      <c r="B1171" t="s">
        <v>34</v>
      </c>
      <c r="C1171">
        <v>2015</v>
      </c>
      <c r="D1171" t="s">
        <v>12</v>
      </c>
      <c r="E1171" t="s">
        <v>139</v>
      </c>
      <c r="F1171" t="s">
        <v>38</v>
      </c>
      <c r="G1171" t="str">
        <f>VLOOKUP(A1171,[1]Kreise!$A$1:$C$53,3,FALSE)</f>
        <v>K030</v>
      </c>
      <c r="H1171">
        <v>1012</v>
      </c>
    </row>
    <row r="1172" spans="1:8">
      <c r="A1172">
        <v>1</v>
      </c>
      <c r="B1172" t="s">
        <v>145</v>
      </c>
      <c r="C1172">
        <v>2014</v>
      </c>
      <c r="D1172" t="s">
        <v>12</v>
      </c>
      <c r="E1172" t="s">
        <v>139</v>
      </c>
      <c r="F1172" t="s">
        <v>38</v>
      </c>
      <c r="G1172" t="str">
        <f>VLOOKUP(A1172,[1]Kreise!$A$1:$C$53,3,FALSE)</f>
        <v>K031</v>
      </c>
      <c r="H1172">
        <v>36</v>
      </c>
    </row>
    <row r="1173" spans="1:8">
      <c r="A1173">
        <v>2</v>
      </c>
      <c r="B1173" t="s">
        <v>146</v>
      </c>
      <c r="C1173">
        <v>2014</v>
      </c>
      <c r="D1173" t="s">
        <v>12</v>
      </c>
      <c r="E1173" t="s">
        <v>139</v>
      </c>
      <c r="F1173" t="s">
        <v>38</v>
      </c>
      <c r="G1173" t="str">
        <f>VLOOKUP(A1173,[1]Kreise!$A$1:$C$53,3,FALSE)</f>
        <v>K032</v>
      </c>
      <c r="H1173">
        <v>126</v>
      </c>
    </row>
    <row r="1174" spans="1:8">
      <c r="A1174">
        <v>3</v>
      </c>
      <c r="B1174" t="s">
        <v>147</v>
      </c>
      <c r="C1174">
        <v>2014</v>
      </c>
      <c r="D1174" t="s">
        <v>12</v>
      </c>
      <c r="E1174" t="s">
        <v>139</v>
      </c>
      <c r="F1174" t="s">
        <v>38</v>
      </c>
      <c r="G1174" t="str">
        <f>VLOOKUP(A1174,[1]Kreise!$A$1:$C$53,3,FALSE)</f>
        <v>K033</v>
      </c>
      <c r="H1174">
        <v>120</v>
      </c>
    </row>
    <row r="1175" spans="1:8">
      <c r="A1175">
        <v>4</v>
      </c>
      <c r="B1175" t="s">
        <v>148</v>
      </c>
      <c r="C1175">
        <v>2014</v>
      </c>
      <c r="D1175" t="s">
        <v>12</v>
      </c>
      <c r="E1175" t="s">
        <v>139</v>
      </c>
      <c r="F1175" t="s">
        <v>38</v>
      </c>
      <c r="G1175" t="str">
        <f>VLOOKUP(A1175,[1]Kreise!$A$1:$C$53,3,FALSE)</f>
        <v>K034</v>
      </c>
      <c r="H1175">
        <v>218</v>
      </c>
    </row>
    <row r="1176" spans="1:8">
      <c r="A1176">
        <v>0</v>
      </c>
      <c r="B1176" t="s">
        <v>34</v>
      </c>
      <c r="C1176">
        <v>2014</v>
      </c>
      <c r="D1176" t="s">
        <v>12</v>
      </c>
      <c r="E1176" t="s">
        <v>139</v>
      </c>
      <c r="F1176" t="s">
        <v>38</v>
      </c>
      <c r="G1176" t="str">
        <f>VLOOKUP(A1176,[1]Kreise!$A$1:$C$53,3,FALSE)</f>
        <v>K030</v>
      </c>
      <c r="H1176">
        <v>500</v>
      </c>
    </row>
    <row r="1177" spans="1:8">
      <c r="A1177">
        <v>1</v>
      </c>
      <c r="B1177" t="s">
        <v>30</v>
      </c>
      <c r="C1177">
        <v>2013</v>
      </c>
      <c r="D1177" t="s">
        <v>12</v>
      </c>
      <c r="E1177" t="s">
        <v>139</v>
      </c>
      <c r="F1177" t="s">
        <v>38</v>
      </c>
      <c r="G1177" t="str">
        <f>VLOOKUP(A1177,[1]Kreise!$A$1:$C$53,3,FALSE)</f>
        <v>K031</v>
      </c>
      <c r="H1177" t="s">
        <v>35</v>
      </c>
    </row>
    <row r="1178" spans="1:8">
      <c r="A1178">
        <v>2</v>
      </c>
      <c r="B1178" t="s">
        <v>31</v>
      </c>
      <c r="C1178">
        <v>2013</v>
      </c>
      <c r="D1178" t="s">
        <v>12</v>
      </c>
      <c r="E1178" t="s">
        <v>139</v>
      </c>
      <c r="F1178" t="s">
        <v>38</v>
      </c>
      <c r="G1178" t="str">
        <f>VLOOKUP(A1178,[1]Kreise!$A$1:$C$53,3,FALSE)</f>
        <v>K032</v>
      </c>
      <c r="H1178" t="s">
        <v>35</v>
      </c>
    </row>
    <row r="1179" spans="1:8">
      <c r="A1179">
        <v>3</v>
      </c>
      <c r="B1179" t="s">
        <v>32</v>
      </c>
      <c r="C1179">
        <v>2013</v>
      </c>
      <c r="D1179" t="s">
        <v>12</v>
      </c>
      <c r="E1179" t="s">
        <v>139</v>
      </c>
      <c r="F1179" t="s">
        <v>38</v>
      </c>
      <c r="G1179" t="str">
        <f>VLOOKUP(A1179,[1]Kreise!$A$1:$C$53,3,FALSE)</f>
        <v>K033</v>
      </c>
      <c r="H1179" t="s">
        <v>35</v>
      </c>
    </row>
    <row r="1180" spans="1:8">
      <c r="A1180">
        <v>4</v>
      </c>
      <c r="B1180" t="s">
        <v>33</v>
      </c>
      <c r="C1180">
        <v>2013</v>
      </c>
      <c r="D1180" t="s">
        <v>12</v>
      </c>
      <c r="E1180" t="s">
        <v>139</v>
      </c>
      <c r="F1180" t="s">
        <v>38</v>
      </c>
      <c r="G1180" t="str">
        <f>VLOOKUP(A1180,[1]Kreise!$A$1:$C$53,3,FALSE)</f>
        <v>K034</v>
      </c>
      <c r="H1180" t="s">
        <v>35</v>
      </c>
    </row>
    <row r="1181" spans="1:8">
      <c r="A1181">
        <v>0</v>
      </c>
      <c r="B1181" t="s">
        <v>34</v>
      </c>
      <c r="C1181">
        <v>2013</v>
      </c>
      <c r="D1181" t="s">
        <v>12</v>
      </c>
      <c r="E1181" t="s">
        <v>139</v>
      </c>
      <c r="F1181" t="s">
        <v>38</v>
      </c>
      <c r="G1181" t="str">
        <f>VLOOKUP(A1181,[1]Kreise!$A$1:$C$53,3,FALSE)</f>
        <v>K030</v>
      </c>
      <c r="H1181" t="s">
        <v>35</v>
      </c>
    </row>
    <row r="1182" spans="1:8">
      <c r="A1182">
        <v>1</v>
      </c>
      <c r="B1182" t="s">
        <v>145</v>
      </c>
      <c r="C1182">
        <v>2012</v>
      </c>
      <c r="D1182" t="s">
        <v>12</v>
      </c>
      <c r="E1182" t="s">
        <v>139</v>
      </c>
      <c r="F1182" t="s">
        <v>38</v>
      </c>
      <c r="G1182" t="str">
        <f>VLOOKUP(A1182,[1]Kreise!$A$1:$C$53,3,FALSE)</f>
        <v>K031</v>
      </c>
      <c r="H1182" t="s">
        <v>35</v>
      </c>
    </row>
    <row r="1183" spans="1:8">
      <c r="A1183">
        <v>2</v>
      </c>
      <c r="B1183" t="s">
        <v>146</v>
      </c>
      <c r="C1183">
        <v>2012</v>
      </c>
      <c r="D1183" t="s">
        <v>12</v>
      </c>
      <c r="E1183" t="s">
        <v>139</v>
      </c>
      <c r="F1183" t="s">
        <v>38</v>
      </c>
      <c r="G1183" t="str">
        <f>VLOOKUP(A1183,[1]Kreise!$A$1:$C$53,3,FALSE)</f>
        <v>K032</v>
      </c>
      <c r="H1183" t="s">
        <v>35</v>
      </c>
    </row>
    <row r="1184" spans="1:8">
      <c r="A1184">
        <v>3</v>
      </c>
      <c r="B1184" t="s">
        <v>147</v>
      </c>
      <c r="C1184">
        <v>2012</v>
      </c>
      <c r="D1184" t="s">
        <v>12</v>
      </c>
      <c r="E1184" t="s">
        <v>139</v>
      </c>
      <c r="F1184" t="s">
        <v>38</v>
      </c>
      <c r="G1184" t="str">
        <f>VLOOKUP(A1184,[1]Kreise!$A$1:$C$53,3,FALSE)</f>
        <v>K033</v>
      </c>
      <c r="H1184" t="s">
        <v>35</v>
      </c>
    </row>
    <row r="1185" spans="1:8">
      <c r="A1185">
        <v>4</v>
      </c>
      <c r="B1185" t="s">
        <v>148</v>
      </c>
      <c r="C1185">
        <v>2012</v>
      </c>
      <c r="D1185" t="s">
        <v>12</v>
      </c>
      <c r="E1185" t="s">
        <v>139</v>
      </c>
      <c r="F1185" t="s">
        <v>38</v>
      </c>
      <c r="G1185" t="str">
        <f>VLOOKUP(A1185,[1]Kreise!$A$1:$C$53,3,FALSE)</f>
        <v>K034</v>
      </c>
      <c r="H1185" t="s">
        <v>35</v>
      </c>
    </row>
    <row r="1186" spans="1:8">
      <c r="A1186">
        <v>0</v>
      </c>
      <c r="B1186" t="s">
        <v>34</v>
      </c>
      <c r="C1186">
        <v>2012</v>
      </c>
      <c r="D1186" t="s">
        <v>12</v>
      </c>
      <c r="E1186" t="s">
        <v>139</v>
      </c>
      <c r="F1186" t="s">
        <v>38</v>
      </c>
      <c r="G1186" t="str">
        <f>VLOOKUP(A1186,[1]Kreise!$A$1:$C$53,3,FALSE)</f>
        <v>K030</v>
      </c>
      <c r="H1186" t="s">
        <v>35</v>
      </c>
    </row>
    <row r="1187" spans="1:8">
      <c r="A1187">
        <v>1</v>
      </c>
      <c r="B1187" t="s">
        <v>30</v>
      </c>
      <c r="C1187">
        <v>2011</v>
      </c>
      <c r="D1187" t="s">
        <v>12</v>
      </c>
      <c r="E1187" t="s">
        <v>139</v>
      </c>
      <c r="F1187" t="s">
        <v>38</v>
      </c>
      <c r="G1187" t="str">
        <f>VLOOKUP(A1187,[1]Kreise!$A$1:$C$53,3,FALSE)</f>
        <v>K031</v>
      </c>
      <c r="H1187" t="s">
        <v>35</v>
      </c>
    </row>
    <row r="1188" spans="1:8">
      <c r="A1188">
        <v>2</v>
      </c>
      <c r="B1188" t="s">
        <v>31</v>
      </c>
      <c r="C1188">
        <v>2011</v>
      </c>
      <c r="D1188" t="s">
        <v>12</v>
      </c>
      <c r="E1188" t="s">
        <v>139</v>
      </c>
      <c r="F1188" t="s">
        <v>38</v>
      </c>
      <c r="G1188" t="str">
        <f>VLOOKUP(A1188,[1]Kreise!$A$1:$C$53,3,FALSE)</f>
        <v>K032</v>
      </c>
      <c r="H1188" t="s">
        <v>35</v>
      </c>
    </row>
    <row r="1189" spans="1:8">
      <c r="A1189">
        <v>3</v>
      </c>
      <c r="B1189" t="s">
        <v>32</v>
      </c>
      <c r="C1189">
        <v>2011</v>
      </c>
      <c r="D1189" t="s">
        <v>12</v>
      </c>
      <c r="E1189" t="s">
        <v>139</v>
      </c>
      <c r="F1189" t="s">
        <v>38</v>
      </c>
      <c r="G1189" t="str">
        <f>VLOOKUP(A1189,[1]Kreise!$A$1:$C$53,3,FALSE)</f>
        <v>K033</v>
      </c>
      <c r="H1189" t="s">
        <v>35</v>
      </c>
    </row>
    <row r="1190" spans="1:8">
      <c r="A1190">
        <v>4</v>
      </c>
      <c r="B1190" t="s">
        <v>33</v>
      </c>
      <c r="C1190">
        <v>2011</v>
      </c>
      <c r="D1190" t="s">
        <v>12</v>
      </c>
      <c r="E1190" t="s">
        <v>139</v>
      </c>
      <c r="F1190" t="s">
        <v>38</v>
      </c>
      <c r="G1190" t="str">
        <f>VLOOKUP(A1190,[1]Kreise!$A$1:$C$53,3,FALSE)</f>
        <v>K034</v>
      </c>
      <c r="H1190" t="s">
        <v>35</v>
      </c>
    </row>
    <row r="1191" spans="1:8">
      <c r="A1191">
        <v>0</v>
      </c>
      <c r="B1191" t="s">
        <v>34</v>
      </c>
      <c r="C1191">
        <v>2011</v>
      </c>
      <c r="D1191" t="s">
        <v>12</v>
      </c>
      <c r="E1191" t="s">
        <v>139</v>
      </c>
      <c r="F1191" t="s">
        <v>38</v>
      </c>
      <c r="G1191" t="str">
        <f>VLOOKUP(A1191,[1]Kreise!$A$1:$C$53,3,FALSE)</f>
        <v>K030</v>
      </c>
      <c r="H1191" t="s">
        <v>35</v>
      </c>
    </row>
    <row r="1192" spans="1:8">
      <c r="A1192">
        <v>1</v>
      </c>
      <c r="B1192" t="s">
        <v>145</v>
      </c>
      <c r="C1192">
        <v>2010</v>
      </c>
      <c r="D1192" t="s">
        <v>12</v>
      </c>
      <c r="E1192" t="s">
        <v>139</v>
      </c>
      <c r="F1192" t="s">
        <v>38</v>
      </c>
      <c r="G1192" t="str">
        <f>VLOOKUP(A1192,[1]Kreise!$A$1:$C$53,3,FALSE)</f>
        <v>K031</v>
      </c>
      <c r="H1192" t="s">
        <v>35</v>
      </c>
    </row>
    <row r="1193" spans="1:8">
      <c r="A1193">
        <v>2</v>
      </c>
      <c r="B1193" t="s">
        <v>146</v>
      </c>
      <c r="C1193">
        <v>2010</v>
      </c>
      <c r="D1193" t="s">
        <v>12</v>
      </c>
      <c r="E1193" t="s">
        <v>139</v>
      </c>
      <c r="F1193" t="s">
        <v>38</v>
      </c>
      <c r="G1193" t="str">
        <f>VLOOKUP(A1193,[1]Kreise!$A$1:$C$53,3,FALSE)</f>
        <v>K032</v>
      </c>
      <c r="H1193" t="s">
        <v>35</v>
      </c>
    </row>
    <row r="1194" spans="1:8">
      <c r="A1194">
        <v>3</v>
      </c>
      <c r="B1194" t="s">
        <v>147</v>
      </c>
      <c r="C1194">
        <v>2010</v>
      </c>
      <c r="D1194" t="s">
        <v>12</v>
      </c>
      <c r="E1194" t="s">
        <v>139</v>
      </c>
      <c r="F1194" t="s">
        <v>38</v>
      </c>
      <c r="G1194" t="str">
        <f>VLOOKUP(A1194,[1]Kreise!$A$1:$C$53,3,FALSE)</f>
        <v>K033</v>
      </c>
      <c r="H1194" t="s">
        <v>35</v>
      </c>
    </row>
    <row r="1195" spans="1:8">
      <c r="A1195">
        <v>4</v>
      </c>
      <c r="B1195" t="s">
        <v>148</v>
      </c>
      <c r="C1195">
        <v>2010</v>
      </c>
      <c r="D1195" t="s">
        <v>12</v>
      </c>
      <c r="E1195" t="s">
        <v>139</v>
      </c>
      <c r="F1195" t="s">
        <v>38</v>
      </c>
      <c r="G1195" t="str">
        <f>VLOOKUP(A1195,[1]Kreise!$A$1:$C$53,3,FALSE)</f>
        <v>K034</v>
      </c>
      <c r="H1195" t="s">
        <v>35</v>
      </c>
    </row>
    <row r="1196" spans="1:8">
      <c r="A1196">
        <v>0</v>
      </c>
      <c r="B1196" t="s">
        <v>34</v>
      </c>
      <c r="C1196">
        <v>2010</v>
      </c>
      <c r="D1196" t="s">
        <v>12</v>
      </c>
      <c r="E1196" t="s">
        <v>139</v>
      </c>
      <c r="F1196" t="s">
        <v>38</v>
      </c>
      <c r="G1196" t="str">
        <f>VLOOKUP(A1196,[1]Kreise!$A$1:$C$53,3,FALSE)</f>
        <v>K030</v>
      </c>
      <c r="H1196" t="s">
        <v>35</v>
      </c>
    </row>
    <row r="1197" spans="1:8">
      <c r="A1197">
        <v>1</v>
      </c>
      <c r="B1197" t="s">
        <v>145</v>
      </c>
      <c r="C1197">
        <v>2005</v>
      </c>
      <c r="D1197" t="s">
        <v>12</v>
      </c>
      <c r="E1197" t="s">
        <v>139</v>
      </c>
      <c r="F1197" t="s">
        <v>38</v>
      </c>
      <c r="G1197" t="str">
        <f>VLOOKUP(A1197,[1]Kreise!$A$1:$C$53,3,FALSE)</f>
        <v>K031</v>
      </c>
      <c r="H1197" t="s">
        <v>35</v>
      </c>
    </row>
    <row r="1198" spans="1:8">
      <c r="A1198">
        <v>2</v>
      </c>
      <c r="B1198" t="s">
        <v>146</v>
      </c>
      <c r="C1198">
        <v>2005</v>
      </c>
      <c r="D1198" t="s">
        <v>12</v>
      </c>
      <c r="E1198" t="s">
        <v>139</v>
      </c>
      <c r="F1198" t="s">
        <v>38</v>
      </c>
      <c r="G1198" t="str">
        <f>VLOOKUP(A1198,[1]Kreise!$A$1:$C$53,3,FALSE)</f>
        <v>K032</v>
      </c>
      <c r="H1198" t="s">
        <v>35</v>
      </c>
    </row>
    <row r="1199" spans="1:8">
      <c r="A1199">
        <v>3</v>
      </c>
      <c r="B1199" t="s">
        <v>147</v>
      </c>
      <c r="C1199">
        <v>2005</v>
      </c>
      <c r="D1199" t="s">
        <v>12</v>
      </c>
      <c r="E1199" t="s">
        <v>139</v>
      </c>
      <c r="F1199" t="s">
        <v>38</v>
      </c>
      <c r="G1199" t="str">
        <f>VLOOKUP(A1199,[1]Kreise!$A$1:$C$53,3,FALSE)</f>
        <v>K033</v>
      </c>
      <c r="H1199" t="s">
        <v>35</v>
      </c>
    </row>
    <row r="1200" spans="1:8">
      <c r="A1200">
        <v>4</v>
      </c>
      <c r="B1200" t="s">
        <v>148</v>
      </c>
      <c r="C1200">
        <v>2005</v>
      </c>
      <c r="D1200" t="s">
        <v>12</v>
      </c>
      <c r="E1200" t="s">
        <v>139</v>
      </c>
      <c r="F1200" t="s">
        <v>38</v>
      </c>
      <c r="G1200" t="str">
        <f>VLOOKUP(A1200,[1]Kreise!$A$1:$C$53,3,FALSE)</f>
        <v>K034</v>
      </c>
      <c r="H1200" t="s">
        <v>35</v>
      </c>
    </row>
    <row r="1201" spans="1:8">
      <c r="A1201">
        <v>0</v>
      </c>
      <c r="B1201" t="s">
        <v>34</v>
      </c>
      <c r="C1201">
        <v>2005</v>
      </c>
      <c r="D1201" t="s">
        <v>12</v>
      </c>
      <c r="E1201" t="s">
        <v>139</v>
      </c>
      <c r="F1201" t="s">
        <v>38</v>
      </c>
      <c r="G1201" t="str">
        <f>VLOOKUP(A1201,[1]Kreise!$A$1:$C$53,3,FALSE)</f>
        <v>K030</v>
      </c>
      <c r="H1201" t="s">
        <v>35</v>
      </c>
    </row>
    <row r="1202" spans="1:8">
      <c r="A1202">
        <v>1</v>
      </c>
      <c r="B1202" t="s">
        <v>30</v>
      </c>
      <c r="C1202">
        <v>2020</v>
      </c>
      <c r="D1202" t="s">
        <v>11</v>
      </c>
      <c r="E1202" t="s">
        <v>7</v>
      </c>
      <c r="F1202" t="s">
        <v>38</v>
      </c>
      <c r="G1202" t="str">
        <f>VLOOKUP(A1202,[1]Kreise!$A$1:$C$53,3,FALSE)</f>
        <v>K031</v>
      </c>
      <c r="H1202">
        <v>5303</v>
      </c>
    </row>
    <row r="1203" spans="1:8">
      <c r="A1203">
        <v>2</v>
      </c>
      <c r="B1203" t="s">
        <v>31</v>
      </c>
      <c r="C1203">
        <v>2020</v>
      </c>
      <c r="D1203" t="s">
        <v>11</v>
      </c>
      <c r="E1203" t="s">
        <v>7</v>
      </c>
      <c r="F1203" t="s">
        <v>38</v>
      </c>
      <c r="G1203" t="str">
        <f>VLOOKUP(A1203,[1]Kreise!$A$1:$C$53,3,FALSE)</f>
        <v>K032</v>
      </c>
      <c r="H1203">
        <v>7718</v>
      </c>
    </row>
    <row r="1204" spans="1:8">
      <c r="A1204">
        <v>3</v>
      </c>
      <c r="B1204" t="s">
        <v>32</v>
      </c>
      <c r="C1204">
        <v>2020</v>
      </c>
      <c r="D1204" t="s">
        <v>11</v>
      </c>
      <c r="E1204" t="s">
        <v>7</v>
      </c>
      <c r="F1204" t="s">
        <v>38</v>
      </c>
      <c r="G1204" t="str">
        <f>VLOOKUP(A1204,[1]Kreise!$A$1:$C$53,3,FALSE)</f>
        <v>K033</v>
      </c>
      <c r="H1204">
        <v>6235</v>
      </c>
    </row>
    <row r="1205" spans="1:8">
      <c r="A1205">
        <v>4</v>
      </c>
      <c r="B1205" t="s">
        <v>33</v>
      </c>
      <c r="C1205">
        <v>2020</v>
      </c>
      <c r="D1205" t="s">
        <v>11</v>
      </c>
      <c r="E1205" t="s">
        <v>7</v>
      </c>
      <c r="F1205" t="s">
        <v>38</v>
      </c>
      <c r="G1205" t="str">
        <f>VLOOKUP(A1205,[1]Kreise!$A$1:$C$53,3,FALSE)</f>
        <v>K034</v>
      </c>
      <c r="H1205">
        <v>8180</v>
      </c>
    </row>
    <row r="1206" spans="1:8">
      <c r="A1206">
        <v>0</v>
      </c>
      <c r="B1206" t="s">
        <v>34</v>
      </c>
      <c r="C1206">
        <v>2020</v>
      </c>
      <c r="D1206" t="s">
        <v>11</v>
      </c>
      <c r="E1206" t="s">
        <v>7</v>
      </c>
      <c r="F1206" t="s">
        <v>38</v>
      </c>
      <c r="G1206" t="str">
        <f>VLOOKUP(A1206,[1]Kreise!$A$1:$C$53,3,FALSE)</f>
        <v>K030</v>
      </c>
      <c r="H1206">
        <v>27436</v>
      </c>
    </row>
    <row r="1207" spans="1:8">
      <c r="A1207">
        <v>1</v>
      </c>
      <c r="B1207" t="s">
        <v>30</v>
      </c>
      <c r="C1207">
        <v>2019</v>
      </c>
      <c r="D1207" t="s">
        <v>11</v>
      </c>
      <c r="E1207" t="s">
        <v>7</v>
      </c>
      <c r="F1207" t="s">
        <v>38</v>
      </c>
      <c r="G1207" t="str">
        <f>VLOOKUP(A1207,[1]Kreise!$A$1:$C$53,3,FALSE)</f>
        <v>K031</v>
      </c>
      <c r="H1207">
        <v>5336</v>
      </c>
    </row>
    <row r="1208" spans="1:8">
      <c r="A1208">
        <v>2</v>
      </c>
      <c r="B1208" t="s">
        <v>31</v>
      </c>
      <c r="C1208">
        <v>2019</v>
      </c>
      <c r="D1208" t="s">
        <v>11</v>
      </c>
      <c r="E1208" t="s">
        <v>7</v>
      </c>
      <c r="F1208" t="s">
        <v>38</v>
      </c>
      <c r="G1208" t="str">
        <f>VLOOKUP(A1208,[1]Kreise!$A$1:$C$53,3,FALSE)</f>
        <v>K032</v>
      </c>
      <c r="H1208">
        <v>7950</v>
      </c>
    </row>
    <row r="1209" spans="1:8">
      <c r="A1209">
        <v>3</v>
      </c>
      <c r="B1209" t="s">
        <v>32</v>
      </c>
      <c r="C1209">
        <v>2019</v>
      </c>
      <c r="D1209" t="s">
        <v>11</v>
      </c>
      <c r="E1209" t="s">
        <v>7</v>
      </c>
      <c r="F1209" t="s">
        <v>38</v>
      </c>
      <c r="G1209" t="str">
        <f>VLOOKUP(A1209,[1]Kreise!$A$1:$C$53,3,FALSE)</f>
        <v>K033</v>
      </c>
      <c r="H1209">
        <v>6350</v>
      </c>
    </row>
    <row r="1210" spans="1:8">
      <c r="A1210">
        <v>4</v>
      </c>
      <c r="B1210" t="s">
        <v>33</v>
      </c>
      <c r="C1210">
        <v>2019</v>
      </c>
      <c r="D1210" t="s">
        <v>11</v>
      </c>
      <c r="E1210" t="s">
        <v>7</v>
      </c>
      <c r="F1210" t="s">
        <v>38</v>
      </c>
      <c r="G1210" t="str">
        <f>VLOOKUP(A1210,[1]Kreise!$A$1:$C$53,3,FALSE)</f>
        <v>K034</v>
      </c>
      <c r="H1210">
        <v>8344</v>
      </c>
    </row>
    <row r="1211" spans="1:8">
      <c r="A1211">
        <v>0</v>
      </c>
      <c r="B1211" t="s">
        <v>34</v>
      </c>
      <c r="C1211">
        <v>2019</v>
      </c>
      <c r="D1211" t="s">
        <v>11</v>
      </c>
      <c r="E1211" t="s">
        <v>7</v>
      </c>
      <c r="F1211" t="s">
        <v>38</v>
      </c>
      <c r="G1211" t="str">
        <f>VLOOKUP(A1211,[1]Kreise!$A$1:$C$53,3,FALSE)</f>
        <v>K030</v>
      </c>
      <c r="H1211">
        <v>27980</v>
      </c>
    </row>
    <row r="1212" spans="1:8">
      <c r="A1212">
        <v>1</v>
      </c>
      <c r="B1212" t="s">
        <v>30</v>
      </c>
      <c r="C1212">
        <v>2018</v>
      </c>
      <c r="D1212" t="s">
        <v>11</v>
      </c>
      <c r="E1212" t="s">
        <v>7</v>
      </c>
      <c r="F1212" t="s">
        <v>38</v>
      </c>
      <c r="G1212" t="str">
        <f>VLOOKUP(A1212,[1]Kreise!$A$1:$C$53,3,FALSE)</f>
        <v>K031</v>
      </c>
      <c r="H1212">
        <v>5414</v>
      </c>
    </row>
    <row r="1213" spans="1:8">
      <c r="A1213">
        <v>2</v>
      </c>
      <c r="B1213" t="s">
        <v>31</v>
      </c>
      <c r="C1213">
        <v>2018</v>
      </c>
      <c r="D1213" t="s">
        <v>11</v>
      </c>
      <c r="E1213" t="s">
        <v>7</v>
      </c>
      <c r="F1213" t="s">
        <v>38</v>
      </c>
      <c r="G1213" t="str">
        <f>VLOOKUP(A1213,[1]Kreise!$A$1:$C$53,3,FALSE)</f>
        <v>K032</v>
      </c>
      <c r="H1213">
        <v>7927</v>
      </c>
    </row>
    <row r="1214" spans="1:8">
      <c r="A1214">
        <v>3</v>
      </c>
      <c r="B1214" t="s">
        <v>32</v>
      </c>
      <c r="C1214">
        <v>2018</v>
      </c>
      <c r="D1214" t="s">
        <v>11</v>
      </c>
      <c r="E1214" t="s">
        <v>7</v>
      </c>
      <c r="F1214" t="s">
        <v>38</v>
      </c>
      <c r="G1214" t="str">
        <f>VLOOKUP(A1214,[1]Kreise!$A$1:$C$53,3,FALSE)</f>
        <v>K033</v>
      </c>
      <c r="H1214">
        <v>6450</v>
      </c>
    </row>
    <row r="1215" spans="1:8">
      <c r="A1215">
        <v>4</v>
      </c>
      <c r="B1215" t="s">
        <v>33</v>
      </c>
      <c r="C1215">
        <v>2018</v>
      </c>
      <c r="D1215" t="s">
        <v>11</v>
      </c>
      <c r="E1215" t="s">
        <v>7</v>
      </c>
      <c r="F1215" t="s">
        <v>38</v>
      </c>
      <c r="G1215" t="str">
        <f>VLOOKUP(A1215,[1]Kreise!$A$1:$C$53,3,FALSE)</f>
        <v>K034</v>
      </c>
      <c r="H1215">
        <v>8930</v>
      </c>
    </row>
    <row r="1216" spans="1:8">
      <c r="A1216">
        <v>0</v>
      </c>
      <c r="B1216" t="s">
        <v>34</v>
      </c>
      <c r="C1216">
        <v>2018</v>
      </c>
      <c r="D1216" t="s">
        <v>11</v>
      </c>
      <c r="E1216" t="s">
        <v>7</v>
      </c>
      <c r="F1216" t="s">
        <v>38</v>
      </c>
      <c r="G1216" t="str">
        <f>VLOOKUP(A1216,[1]Kreise!$A$1:$C$53,3,FALSE)</f>
        <v>K030</v>
      </c>
      <c r="H1216">
        <v>28843</v>
      </c>
    </row>
    <row r="1217" spans="1:8">
      <c r="A1217">
        <v>1</v>
      </c>
      <c r="B1217" t="s">
        <v>30</v>
      </c>
      <c r="C1217">
        <v>2017</v>
      </c>
      <c r="D1217" t="s">
        <v>11</v>
      </c>
      <c r="E1217" t="s">
        <v>7</v>
      </c>
      <c r="F1217" t="s">
        <v>38</v>
      </c>
      <c r="G1217" t="str">
        <f>VLOOKUP(A1217,[1]Kreise!$A$1:$C$53,3,FALSE)</f>
        <v>K031</v>
      </c>
      <c r="H1217">
        <v>5394</v>
      </c>
    </row>
    <row r="1218" spans="1:8">
      <c r="A1218">
        <v>2</v>
      </c>
      <c r="B1218" t="s">
        <v>31</v>
      </c>
      <c r="C1218">
        <v>2017</v>
      </c>
      <c r="D1218" t="s">
        <v>11</v>
      </c>
      <c r="E1218" t="s">
        <v>7</v>
      </c>
      <c r="F1218" t="s">
        <v>38</v>
      </c>
      <c r="G1218" t="str">
        <f>VLOOKUP(A1218,[1]Kreise!$A$1:$C$53,3,FALSE)</f>
        <v>K032</v>
      </c>
      <c r="H1218">
        <v>7922</v>
      </c>
    </row>
    <row r="1219" spans="1:8">
      <c r="A1219">
        <v>3</v>
      </c>
      <c r="B1219" t="s">
        <v>32</v>
      </c>
      <c r="C1219">
        <v>2017</v>
      </c>
      <c r="D1219" t="s">
        <v>11</v>
      </c>
      <c r="E1219" t="s">
        <v>7</v>
      </c>
      <c r="F1219" t="s">
        <v>38</v>
      </c>
      <c r="G1219" t="str">
        <f>VLOOKUP(A1219,[1]Kreise!$A$1:$C$53,3,FALSE)</f>
        <v>K033</v>
      </c>
      <c r="H1219">
        <v>6726</v>
      </c>
    </row>
    <row r="1220" spans="1:8">
      <c r="A1220">
        <v>4</v>
      </c>
      <c r="B1220" t="s">
        <v>33</v>
      </c>
      <c r="C1220">
        <v>2017</v>
      </c>
      <c r="D1220" t="s">
        <v>11</v>
      </c>
      <c r="E1220" t="s">
        <v>7</v>
      </c>
      <c r="F1220" t="s">
        <v>38</v>
      </c>
      <c r="G1220" t="str">
        <f>VLOOKUP(A1220,[1]Kreise!$A$1:$C$53,3,FALSE)</f>
        <v>K034</v>
      </c>
      <c r="H1220">
        <v>8876</v>
      </c>
    </row>
    <row r="1221" spans="1:8">
      <c r="A1221">
        <v>0</v>
      </c>
      <c r="B1221" t="s">
        <v>34</v>
      </c>
      <c r="C1221">
        <v>2017</v>
      </c>
      <c r="D1221" t="s">
        <v>11</v>
      </c>
      <c r="E1221" t="s">
        <v>7</v>
      </c>
      <c r="F1221" t="s">
        <v>38</v>
      </c>
      <c r="G1221" t="str">
        <f>VLOOKUP(A1221,[1]Kreise!$A$1:$C$53,3,FALSE)</f>
        <v>K030</v>
      </c>
      <c r="H1221">
        <v>28918</v>
      </c>
    </row>
    <row r="1222" spans="1:8">
      <c r="A1222">
        <v>1</v>
      </c>
      <c r="B1222" t="s">
        <v>30</v>
      </c>
      <c r="C1222">
        <v>2016</v>
      </c>
      <c r="D1222" t="s">
        <v>11</v>
      </c>
      <c r="E1222" t="s">
        <v>7</v>
      </c>
      <c r="F1222" t="s">
        <v>38</v>
      </c>
      <c r="G1222" t="str">
        <f>VLOOKUP(A1222,[1]Kreise!$A$1:$C$53,3,FALSE)</f>
        <v>K031</v>
      </c>
      <c r="H1222">
        <v>5404</v>
      </c>
    </row>
    <row r="1223" spans="1:8">
      <c r="A1223">
        <v>2</v>
      </c>
      <c r="B1223" t="s">
        <v>31</v>
      </c>
      <c r="C1223">
        <v>2016</v>
      </c>
      <c r="D1223" t="s">
        <v>11</v>
      </c>
      <c r="E1223" t="s">
        <v>7</v>
      </c>
      <c r="F1223" t="s">
        <v>38</v>
      </c>
      <c r="G1223" t="str">
        <f>VLOOKUP(A1223,[1]Kreise!$A$1:$C$53,3,FALSE)</f>
        <v>K032</v>
      </c>
      <c r="H1223">
        <v>7807</v>
      </c>
    </row>
    <row r="1224" spans="1:8">
      <c r="A1224">
        <v>3</v>
      </c>
      <c r="B1224" t="s">
        <v>32</v>
      </c>
      <c r="C1224">
        <v>2016</v>
      </c>
      <c r="D1224" t="s">
        <v>11</v>
      </c>
      <c r="E1224" t="s">
        <v>7</v>
      </c>
      <c r="F1224" t="s">
        <v>38</v>
      </c>
      <c r="G1224" t="str">
        <f>VLOOKUP(A1224,[1]Kreise!$A$1:$C$53,3,FALSE)</f>
        <v>K033</v>
      </c>
      <c r="H1224">
        <v>6375</v>
      </c>
    </row>
    <row r="1225" spans="1:8">
      <c r="A1225">
        <v>4</v>
      </c>
      <c r="B1225" t="s">
        <v>33</v>
      </c>
      <c r="C1225">
        <v>2016</v>
      </c>
      <c r="D1225" t="s">
        <v>11</v>
      </c>
      <c r="E1225" t="s">
        <v>7</v>
      </c>
      <c r="F1225" t="s">
        <v>38</v>
      </c>
      <c r="G1225" t="str">
        <f>VLOOKUP(A1225,[1]Kreise!$A$1:$C$53,3,FALSE)</f>
        <v>K034</v>
      </c>
      <c r="H1225">
        <v>8696</v>
      </c>
    </row>
    <row r="1226" spans="1:8">
      <c r="A1226">
        <v>0</v>
      </c>
      <c r="B1226" t="s">
        <v>34</v>
      </c>
      <c r="C1226">
        <v>2016</v>
      </c>
      <c r="D1226" t="s">
        <v>11</v>
      </c>
      <c r="E1226" t="s">
        <v>7</v>
      </c>
      <c r="F1226" t="s">
        <v>38</v>
      </c>
      <c r="G1226" t="str">
        <f>VLOOKUP(A1226,[1]Kreise!$A$1:$C$53,3,FALSE)</f>
        <v>K030</v>
      </c>
      <c r="H1226">
        <v>28365</v>
      </c>
    </row>
    <row r="1227" spans="1:8">
      <c r="A1227">
        <v>1</v>
      </c>
      <c r="B1227" t="s">
        <v>30</v>
      </c>
      <c r="C1227">
        <v>2015</v>
      </c>
      <c r="D1227" t="s">
        <v>11</v>
      </c>
      <c r="E1227" t="s">
        <v>7</v>
      </c>
      <c r="F1227" t="s">
        <v>38</v>
      </c>
      <c r="G1227" t="str">
        <f>VLOOKUP(A1227,[1]Kreise!$A$1:$C$53,3,FALSE)</f>
        <v>K031</v>
      </c>
      <c r="H1227">
        <v>5240</v>
      </c>
    </row>
    <row r="1228" spans="1:8">
      <c r="A1228">
        <v>2</v>
      </c>
      <c r="B1228" t="s">
        <v>31</v>
      </c>
      <c r="C1228">
        <v>2015</v>
      </c>
      <c r="D1228" t="s">
        <v>11</v>
      </c>
      <c r="E1228" t="s">
        <v>7</v>
      </c>
      <c r="F1228" t="s">
        <v>38</v>
      </c>
      <c r="G1228" t="str">
        <f>VLOOKUP(A1228,[1]Kreise!$A$1:$C$53,3,FALSE)</f>
        <v>K032</v>
      </c>
      <c r="H1228">
        <v>7832</v>
      </c>
    </row>
    <row r="1229" spans="1:8">
      <c r="A1229">
        <v>3</v>
      </c>
      <c r="B1229" t="s">
        <v>32</v>
      </c>
      <c r="C1229">
        <v>2015</v>
      </c>
      <c r="D1229" t="s">
        <v>11</v>
      </c>
      <c r="E1229" t="s">
        <v>7</v>
      </c>
      <c r="F1229" t="s">
        <v>38</v>
      </c>
      <c r="G1229" t="str">
        <f>VLOOKUP(A1229,[1]Kreise!$A$1:$C$53,3,FALSE)</f>
        <v>K033</v>
      </c>
      <c r="H1229">
        <v>6581</v>
      </c>
    </row>
    <row r="1230" spans="1:8">
      <c r="A1230">
        <v>4</v>
      </c>
      <c r="B1230" t="s">
        <v>33</v>
      </c>
      <c r="C1230">
        <v>2015</v>
      </c>
      <c r="D1230" t="s">
        <v>11</v>
      </c>
      <c r="E1230" t="s">
        <v>7</v>
      </c>
      <c r="F1230" t="s">
        <v>38</v>
      </c>
      <c r="G1230" t="str">
        <f>VLOOKUP(A1230,[1]Kreise!$A$1:$C$53,3,FALSE)</f>
        <v>K034</v>
      </c>
      <c r="H1230">
        <v>8818</v>
      </c>
    </row>
    <row r="1231" spans="1:8">
      <c r="A1231">
        <v>0</v>
      </c>
      <c r="B1231" t="s">
        <v>34</v>
      </c>
      <c r="C1231">
        <v>2015</v>
      </c>
      <c r="D1231" t="s">
        <v>11</v>
      </c>
      <c r="E1231" t="s">
        <v>7</v>
      </c>
      <c r="F1231" t="s">
        <v>38</v>
      </c>
      <c r="G1231" t="str">
        <f>VLOOKUP(A1231,[1]Kreise!$A$1:$C$53,3,FALSE)</f>
        <v>K030</v>
      </c>
      <c r="H1231">
        <v>28664</v>
      </c>
    </row>
    <row r="1232" spans="1:8">
      <c r="A1232">
        <v>1</v>
      </c>
      <c r="B1232" t="s">
        <v>145</v>
      </c>
      <c r="C1232">
        <v>2014</v>
      </c>
      <c r="D1232" t="s">
        <v>11</v>
      </c>
      <c r="E1232" t="s">
        <v>7</v>
      </c>
      <c r="F1232" t="s">
        <v>38</v>
      </c>
      <c r="G1232" t="str">
        <f>VLOOKUP(A1232,[1]Kreise!$A$1:$C$53,3,FALSE)</f>
        <v>K031</v>
      </c>
      <c r="H1232">
        <v>5718</v>
      </c>
    </row>
    <row r="1233" spans="1:8">
      <c r="A1233">
        <v>2</v>
      </c>
      <c r="B1233" t="s">
        <v>146</v>
      </c>
      <c r="C1233">
        <v>2014</v>
      </c>
      <c r="D1233" t="s">
        <v>11</v>
      </c>
      <c r="E1233" t="s">
        <v>7</v>
      </c>
      <c r="F1233" t="s">
        <v>38</v>
      </c>
      <c r="G1233" t="str">
        <f>VLOOKUP(A1233,[1]Kreise!$A$1:$C$53,3,FALSE)</f>
        <v>K032</v>
      </c>
      <c r="H1233">
        <v>7851</v>
      </c>
    </row>
    <row r="1234" spans="1:8">
      <c r="A1234">
        <v>3</v>
      </c>
      <c r="B1234" t="s">
        <v>147</v>
      </c>
      <c r="C1234">
        <v>2014</v>
      </c>
      <c r="D1234" t="s">
        <v>11</v>
      </c>
      <c r="E1234" t="s">
        <v>7</v>
      </c>
      <c r="F1234" t="s">
        <v>38</v>
      </c>
      <c r="G1234" t="str">
        <f>VLOOKUP(A1234,[1]Kreise!$A$1:$C$53,3,FALSE)</f>
        <v>K033</v>
      </c>
      <c r="H1234">
        <v>6681</v>
      </c>
    </row>
    <row r="1235" spans="1:8">
      <c r="A1235">
        <v>4</v>
      </c>
      <c r="B1235" t="s">
        <v>148</v>
      </c>
      <c r="C1235">
        <v>2014</v>
      </c>
      <c r="D1235" t="s">
        <v>11</v>
      </c>
      <c r="E1235" t="s">
        <v>7</v>
      </c>
      <c r="F1235" t="s">
        <v>38</v>
      </c>
      <c r="G1235" t="str">
        <f>VLOOKUP(A1235,[1]Kreise!$A$1:$C$53,3,FALSE)</f>
        <v>K034</v>
      </c>
      <c r="H1235">
        <v>8859</v>
      </c>
    </row>
    <row r="1236" spans="1:8">
      <c r="A1236">
        <v>0</v>
      </c>
      <c r="B1236" t="s">
        <v>34</v>
      </c>
      <c r="C1236">
        <v>2014</v>
      </c>
      <c r="D1236" t="s">
        <v>11</v>
      </c>
      <c r="E1236" t="s">
        <v>7</v>
      </c>
      <c r="F1236" t="s">
        <v>38</v>
      </c>
      <c r="G1236" t="str">
        <f>VLOOKUP(A1236,[1]Kreise!$A$1:$C$53,3,FALSE)</f>
        <v>K030</v>
      </c>
      <c r="H1236">
        <v>29109</v>
      </c>
    </row>
    <row r="1237" spans="1:8">
      <c r="A1237">
        <v>1</v>
      </c>
      <c r="B1237" t="s">
        <v>30</v>
      </c>
      <c r="C1237">
        <v>2013</v>
      </c>
      <c r="D1237" t="s">
        <v>11</v>
      </c>
      <c r="E1237" t="s">
        <v>7</v>
      </c>
      <c r="F1237" t="s">
        <v>38</v>
      </c>
      <c r="G1237" t="str">
        <f>VLOOKUP(A1237,[1]Kreise!$A$1:$C$53,3,FALSE)</f>
        <v>K031</v>
      </c>
      <c r="H1237">
        <v>5993</v>
      </c>
    </row>
    <row r="1238" spans="1:8">
      <c r="A1238">
        <v>2</v>
      </c>
      <c r="B1238" t="s">
        <v>31</v>
      </c>
      <c r="C1238">
        <v>2013</v>
      </c>
      <c r="D1238" t="s">
        <v>11</v>
      </c>
      <c r="E1238" t="s">
        <v>7</v>
      </c>
      <c r="F1238" t="s">
        <v>38</v>
      </c>
      <c r="G1238" t="str">
        <f>VLOOKUP(A1238,[1]Kreise!$A$1:$C$53,3,FALSE)</f>
        <v>K032</v>
      </c>
      <c r="H1238">
        <v>8151</v>
      </c>
    </row>
    <row r="1239" spans="1:8">
      <c r="A1239">
        <v>3</v>
      </c>
      <c r="B1239" t="s">
        <v>32</v>
      </c>
      <c r="C1239">
        <v>2013</v>
      </c>
      <c r="D1239" t="s">
        <v>11</v>
      </c>
      <c r="E1239" t="s">
        <v>7</v>
      </c>
      <c r="F1239" t="s">
        <v>38</v>
      </c>
      <c r="G1239" t="str">
        <f>VLOOKUP(A1239,[1]Kreise!$A$1:$C$53,3,FALSE)</f>
        <v>K033</v>
      </c>
      <c r="H1239">
        <v>7043</v>
      </c>
    </row>
    <row r="1240" spans="1:8">
      <c r="A1240">
        <v>4</v>
      </c>
      <c r="B1240" t="s">
        <v>33</v>
      </c>
      <c r="C1240">
        <v>2013</v>
      </c>
      <c r="D1240" t="s">
        <v>11</v>
      </c>
      <c r="E1240" t="s">
        <v>7</v>
      </c>
      <c r="F1240" t="s">
        <v>38</v>
      </c>
      <c r="G1240" t="str">
        <f>VLOOKUP(A1240,[1]Kreise!$A$1:$C$53,3,FALSE)</f>
        <v>K034</v>
      </c>
      <c r="H1240">
        <v>9149</v>
      </c>
    </row>
    <row r="1241" spans="1:8">
      <c r="A1241">
        <v>0</v>
      </c>
      <c r="B1241" t="s">
        <v>34</v>
      </c>
      <c r="C1241">
        <v>2013</v>
      </c>
      <c r="D1241" t="s">
        <v>11</v>
      </c>
      <c r="E1241" t="s">
        <v>7</v>
      </c>
      <c r="F1241" t="s">
        <v>38</v>
      </c>
      <c r="G1241" t="str">
        <f>VLOOKUP(A1241,[1]Kreise!$A$1:$C$53,3,FALSE)</f>
        <v>K030</v>
      </c>
      <c r="H1241">
        <v>30336</v>
      </c>
    </row>
    <row r="1242" spans="1:8">
      <c r="A1242">
        <v>1</v>
      </c>
      <c r="B1242" t="s">
        <v>145</v>
      </c>
      <c r="C1242">
        <v>2012</v>
      </c>
      <c r="D1242" t="s">
        <v>11</v>
      </c>
      <c r="E1242" t="s">
        <v>7</v>
      </c>
      <c r="F1242" t="s">
        <v>38</v>
      </c>
      <c r="G1242" t="str">
        <f>VLOOKUP(A1242,[1]Kreise!$A$1:$C$53,3,FALSE)</f>
        <v>K031</v>
      </c>
      <c r="H1242">
        <v>6135</v>
      </c>
    </row>
    <row r="1243" spans="1:8">
      <c r="A1243">
        <v>2</v>
      </c>
      <c r="B1243" t="s">
        <v>146</v>
      </c>
      <c r="C1243">
        <v>2012</v>
      </c>
      <c r="D1243" t="s">
        <v>11</v>
      </c>
      <c r="E1243" t="s">
        <v>7</v>
      </c>
      <c r="F1243" t="s">
        <v>38</v>
      </c>
      <c r="G1243" t="str">
        <f>VLOOKUP(A1243,[1]Kreise!$A$1:$C$53,3,FALSE)</f>
        <v>K032</v>
      </c>
      <c r="H1243">
        <v>8408</v>
      </c>
    </row>
    <row r="1244" spans="1:8">
      <c r="A1244">
        <v>3</v>
      </c>
      <c r="B1244" t="s">
        <v>147</v>
      </c>
      <c r="C1244">
        <v>2012</v>
      </c>
      <c r="D1244" t="s">
        <v>11</v>
      </c>
      <c r="E1244" t="s">
        <v>7</v>
      </c>
      <c r="F1244" t="s">
        <v>38</v>
      </c>
      <c r="G1244" t="str">
        <f>VLOOKUP(A1244,[1]Kreise!$A$1:$C$53,3,FALSE)</f>
        <v>K033</v>
      </c>
      <c r="H1244">
        <v>7321</v>
      </c>
    </row>
    <row r="1245" spans="1:8">
      <c r="A1245">
        <v>4</v>
      </c>
      <c r="B1245" t="s">
        <v>148</v>
      </c>
      <c r="C1245">
        <v>2012</v>
      </c>
      <c r="D1245" t="s">
        <v>11</v>
      </c>
      <c r="E1245" t="s">
        <v>7</v>
      </c>
      <c r="F1245" t="s">
        <v>38</v>
      </c>
      <c r="G1245" t="str">
        <f>VLOOKUP(A1245,[1]Kreise!$A$1:$C$53,3,FALSE)</f>
        <v>K034</v>
      </c>
      <c r="H1245">
        <v>9324</v>
      </c>
    </row>
    <row r="1246" spans="1:8">
      <c r="A1246">
        <v>0</v>
      </c>
      <c r="B1246" t="s">
        <v>34</v>
      </c>
      <c r="C1246">
        <v>2012</v>
      </c>
      <c r="D1246" t="s">
        <v>11</v>
      </c>
      <c r="E1246" t="s">
        <v>7</v>
      </c>
      <c r="F1246" t="s">
        <v>38</v>
      </c>
      <c r="G1246" t="str">
        <f>VLOOKUP(A1246,[1]Kreise!$A$1:$C$53,3,FALSE)</f>
        <v>K030</v>
      </c>
      <c r="H1246">
        <v>31188</v>
      </c>
    </row>
    <row r="1247" spans="1:8">
      <c r="A1247">
        <v>1</v>
      </c>
      <c r="B1247" t="s">
        <v>30</v>
      </c>
      <c r="C1247">
        <v>2011</v>
      </c>
      <c r="D1247" t="s">
        <v>11</v>
      </c>
      <c r="E1247" t="s">
        <v>7</v>
      </c>
      <c r="F1247" t="s">
        <v>38</v>
      </c>
      <c r="G1247" t="str">
        <f>VLOOKUP(A1247,[1]Kreise!$A$1:$C$53,3,FALSE)</f>
        <v>K031</v>
      </c>
      <c r="H1247">
        <v>6279</v>
      </c>
    </row>
    <row r="1248" spans="1:8">
      <c r="A1248">
        <v>2</v>
      </c>
      <c r="B1248" t="s">
        <v>31</v>
      </c>
      <c r="C1248">
        <v>2011</v>
      </c>
      <c r="D1248" t="s">
        <v>11</v>
      </c>
      <c r="E1248" t="s">
        <v>7</v>
      </c>
      <c r="F1248" t="s">
        <v>38</v>
      </c>
      <c r="G1248" t="str">
        <f>VLOOKUP(A1248,[1]Kreise!$A$1:$C$53,3,FALSE)</f>
        <v>K032</v>
      </c>
      <c r="H1248">
        <v>8736</v>
      </c>
    </row>
    <row r="1249" spans="1:8">
      <c r="A1249">
        <v>3</v>
      </c>
      <c r="B1249" t="s">
        <v>32</v>
      </c>
      <c r="C1249">
        <v>2011</v>
      </c>
      <c r="D1249" t="s">
        <v>11</v>
      </c>
      <c r="E1249" t="s">
        <v>7</v>
      </c>
      <c r="F1249" t="s">
        <v>38</v>
      </c>
      <c r="G1249" t="str">
        <f>VLOOKUP(A1249,[1]Kreise!$A$1:$C$53,3,FALSE)</f>
        <v>K033</v>
      </c>
      <c r="H1249">
        <v>7580</v>
      </c>
    </row>
    <row r="1250" spans="1:8">
      <c r="A1250">
        <v>4</v>
      </c>
      <c r="B1250" t="s">
        <v>33</v>
      </c>
      <c r="C1250">
        <v>2011</v>
      </c>
      <c r="D1250" t="s">
        <v>11</v>
      </c>
      <c r="E1250" t="s">
        <v>7</v>
      </c>
      <c r="F1250" t="s">
        <v>38</v>
      </c>
      <c r="G1250" t="str">
        <f>VLOOKUP(A1250,[1]Kreise!$A$1:$C$53,3,FALSE)</f>
        <v>K034</v>
      </c>
      <c r="H1250">
        <v>9755</v>
      </c>
    </row>
    <row r="1251" spans="1:8">
      <c r="A1251">
        <v>0</v>
      </c>
      <c r="B1251" t="s">
        <v>34</v>
      </c>
      <c r="C1251">
        <v>2011</v>
      </c>
      <c r="D1251" t="s">
        <v>11</v>
      </c>
      <c r="E1251" t="s">
        <v>7</v>
      </c>
      <c r="F1251" t="s">
        <v>38</v>
      </c>
      <c r="G1251" t="str">
        <f>VLOOKUP(A1251,[1]Kreise!$A$1:$C$53,3,FALSE)</f>
        <v>K030</v>
      </c>
      <c r="H1251">
        <v>32546</v>
      </c>
    </row>
    <row r="1252" spans="1:8">
      <c r="A1252">
        <v>1</v>
      </c>
      <c r="B1252" t="s">
        <v>145</v>
      </c>
      <c r="C1252">
        <v>2010</v>
      </c>
      <c r="D1252" t="s">
        <v>11</v>
      </c>
      <c r="E1252" t="s">
        <v>7</v>
      </c>
      <c r="F1252" t="s">
        <v>38</v>
      </c>
      <c r="G1252" t="str">
        <f>VLOOKUP(A1252,[1]Kreise!$A$1:$C$53,3,FALSE)</f>
        <v>K031</v>
      </c>
      <c r="H1252">
        <v>6860</v>
      </c>
    </row>
    <row r="1253" spans="1:8">
      <c r="A1253">
        <v>2</v>
      </c>
      <c r="B1253" t="s">
        <v>146</v>
      </c>
      <c r="C1253">
        <v>2010</v>
      </c>
      <c r="D1253" t="s">
        <v>11</v>
      </c>
      <c r="E1253" t="s">
        <v>7</v>
      </c>
      <c r="F1253" t="s">
        <v>38</v>
      </c>
      <c r="G1253" t="str">
        <f>VLOOKUP(A1253,[1]Kreise!$A$1:$C$53,3,FALSE)</f>
        <v>K032</v>
      </c>
      <c r="H1253">
        <v>9063</v>
      </c>
    </row>
    <row r="1254" spans="1:8">
      <c r="A1254">
        <v>3</v>
      </c>
      <c r="B1254" t="s">
        <v>147</v>
      </c>
      <c r="C1254">
        <v>2010</v>
      </c>
      <c r="D1254" t="s">
        <v>11</v>
      </c>
      <c r="E1254" t="s">
        <v>7</v>
      </c>
      <c r="F1254" t="s">
        <v>38</v>
      </c>
      <c r="G1254" t="str">
        <f>VLOOKUP(A1254,[1]Kreise!$A$1:$C$53,3,FALSE)</f>
        <v>K033</v>
      </c>
      <c r="H1254">
        <v>7841</v>
      </c>
    </row>
    <row r="1255" spans="1:8">
      <c r="A1255">
        <v>4</v>
      </c>
      <c r="B1255" t="s">
        <v>148</v>
      </c>
      <c r="C1255">
        <v>2010</v>
      </c>
      <c r="D1255" t="s">
        <v>11</v>
      </c>
      <c r="E1255" t="s">
        <v>7</v>
      </c>
      <c r="F1255" t="s">
        <v>38</v>
      </c>
      <c r="G1255" t="str">
        <f>VLOOKUP(A1255,[1]Kreise!$A$1:$C$53,3,FALSE)</f>
        <v>K034</v>
      </c>
      <c r="H1255">
        <v>10290</v>
      </c>
    </row>
    <row r="1256" spans="1:8">
      <c r="A1256">
        <v>0</v>
      </c>
      <c r="B1256" t="s">
        <v>34</v>
      </c>
      <c r="C1256">
        <v>2010</v>
      </c>
      <c r="D1256" t="s">
        <v>11</v>
      </c>
      <c r="E1256" t="s">
        <v>7</v>
      </c>
      <c r="F1256" t="s">
        <v>38</v>
      </c>
      <c r="G1256" t="str">
        <f>VLOOKUP(A1256,[1]Kreise!$A$1:$C$53,3,FALSE)</f>
        <v>K030</v>
      </c>
      <c r="H1256">
        <v>34054</v>
      </c>
    </row>
    <row r="1257" spans="1:8">
      <c r="A1257">
        <v>1</v>
      </c>
      <c r="B1257" t="s">
        <v>145</v>
      </c>
      <c r="C1257">
        <v>2005</v>
      </c>
      <c r="D1257" t="s">
        <v>11</v>
      </c>
      <c r="E1257" t="s">
        <v>7</v>
      </c>
      <c r="F1257" t="s">
        <v>38</v>
      </c>
      <c r="G1257" t="str">
        <f>VLOOKUP(A1257,[1]Kreise!$A$1:$C$53,3,FALSE)</f>
        <v>K031</v>
      </c>
      <c r="H1257">
        <v>6116</v>
      </c>
    </row>
    <row r="1258" spans="1:8">
      <c r="A1258">
        <v>2</v>
      </c>
      <c r="B1258" t="s">
        <v>146</v>
      </c>
      <c r="C1258">
        <v>2005</v>
      </c>
      <c r="D1258" t="s">
        <v>11</v>
      </c>
      <c r="E1258" t="s">
        <v>7</v>
      </c>
      <c r="F1258" t="s">
        <v>38</v>
      </c>
      <c r="G1258" t="str">
        <f>VLOOKUP(A1258,[1]Kreise!$A$1:$C$53,3,FALSE)</f>
        <v>K032</v>
      </c>
      <c r="H1258">
        <v>7820</v>
      </c>
    </row>
    <row r="1259" spans="1:8">
      <c r="A1259">
        <v>3</v>
      </c>
      <c r="B1259" t="s">
        <v>147</v>
      </c>
      <c r="C1259">
        <v>2005</v>
      </c>
      <c r="D1259" t="s">
        <v>11</v>
      </c>
      <c r="E1259" t="s">
        <v>7</v>
      </c>
      <c r="F1259" t="s">
        <v>38</v>
      </c>
      <c r="G1259" t="str">
        <f>VLOOKUP(A1259,[1]Kreise!$A$1:$C$53,3,FALSE)</f>
        <v>K033</v>
      </c>
      <c r="H1259">
        <v>6699</v>
      </c>
    </row>
    <row r="1260" spans="1:8">
      <c r="A1260">
        <v>4</v>
      </c>
      <c r="B1260" t="s">
        <v>148</v>
      </c>
      <c r="C1260">
        <v>2005</v>
      </c>
      <c r="D1260" t="s">
        <v>11</v>
      </c>
      <c r="E1260" t="s">
        <v>7</v>
      </c>
      <c r="F1260" t="s">
        <v>38</v>
      </c>
      <c r="G1260" t="str">
        <f>VLOOKUP(A1260,[1]Kreise!$A$1:$C$53,3,FALSE)</f>
        <v>K034</v>
      </c>
      <c r="H1260">
        <v>8900</v>
      </c>
    </row>
    <row r="1261" spans="1:8">
      <c r="A1261">
        <v>0</v>
      </c>
      <c r="B1261" t="s">
        <v>34</v>
      </c>
      <c r="C1261">
        <v>2005</v>
      </c>
      <c r="D1261" t="s">
        <v>11</v>
      </c>
      <c r="E1261" t="s">
        <v>7</v>
      </c>
      <c r="F1261" t="s">
        <v>38</v>
      </c>
      <c r="G1261" t="str">
        <f>VLOOKUP(A1261,[1]Kreise!$A$1:$C$53,3,FALSE)</f>
        <v>K030</v>
      </c>
      <c r="H1261">
        <v>29535</v>
      </c>
    </row>
    <row r="1262" spans="1:8">
      <c r="A1262">
        <v>1</v>
      </c>
      <c r="B1262" t="s">
        <v>30</v>
      </c>
      <c r="C1262">
        <v>2020</v>
      </c>
      <c r="D1262" t="s">
        <v>12</v>
      </c>
      <c r="E1262" t="s">
        <v>7</v>
      </c>
      <c r="F1262" t="s">
        <v>38</v>
      </c>
      <c r="G1262" t="str">
        <f>VLOOKUP(A1262,[1]Kreise!$A$1:$C$53,3,FALSE)</f>
        <v>K031</v>
      </c>
      <c r="H1262">
        <v>336</v>
      </c>
    </row>
    <row r="1263" spans="1:8">
      <c r="A1263">
        <v>2</v>
      </c>
      <c r="B1263" t="s">
        <v>31</v>
      </c>
      <c r="C1263">
        <v>2020</v>
      </c>
      <c r="D1263" t="s">
        <v>12</v>
      </c>
      <c r="E1263" t="s">
        <v>7</v>
      </c>
      <c r="F1263" t="s">
        <v>38</v>
      </c>
      <c r="G1263" t="str">
        <f>VLOOKUP(A1263,[1]Kreise!$A$1:$C$53,3,FALSE)</f>
        <v>K032</v>
      </c>
      <c r="H1263">
        <v>431</v>
      </c>
    </row>
    <row r="1264" spans="1:8">
      <c r="A1264">
        <v>3</v>
      </c>
      <c r="B1264" t="s">
        <v>32</v>
      </c>
      <c r="C1264">
        <v>2020</v>
      </c>
      <c r="D1264" t="s">
        <v>12</v>
      </c>
      <c r="E1264" t="s">
        <v>7</v>
      </c>
      <c r="F1264" t="s">
        <v>38</v>
      </c>
      <c r="G1264" t="str">
        <f>VLOOKUP(A1264,[1]Kreise!$A$1:$C$53,3,FALSE)</f>
        <v>K033</v>
      </c>
      <c r="H1264">
        <v>238</v>
      </c>
    </row>
    <row r="1265" spans="1:8">
      <c r="A1265">
        <v>4</v>
      </c>
      <c r="B1265" t="s">
        <v>33</v>
      </c>
      <c r="C1265">
        <v>2020</v>
      </c>
      <c r="D1265" t="s">
        <v>12</v>
      </c>
      <c r="E1265" t="s">
        <v>7</v>
      </c>
      <c r="F1265" t="s">
        <v>38</v>
      </c>
      <c r="G1265" t="str">
        <f>VLOOKUP(A1265,[1]Kreise!$A$1:$C$53,3,FALSE)</f>
        <v>K034</v>
      </c>
      <c r="H1265">
        <v>399</v>
      </c>
    </row>
    <row r="1266" spans="1:8">
      <c r="A1266">
        <v>0</v>
      </c>
      <c r="B1266" t="s">
        <v>34</v>
      </c>
      <c r="C1266">
        <v>2020</v>
      </c>
      <c r="D1266" t="s">
        <v>12</v>
      </c>
      <c r="E1266" t="s">
        <v>7</v>
      </c>
      <c r="F1266" t="s">
        <v>38</v>
      </c>
      <c r="G1266" t="str">
        <f>VLOOKUP(A1266,[1]Kreise!$A$1:$C$53,3,FALSE)</f>
        <v>K030</v>
      </c>
      <c r="H1266">
        <v>1404</v>
      </c>
    </row>
    <row r="1267" spans="1:8">
      <c r="A1267">
        <v>1</v>
      </c>
      <c r="B1267" t="s">
        <v>30</v>
      </c>
      <c r="C1267">
        <v>2019</v>
      </c>
      <c r="D1267" t="s">
        <v>12</v>
      </c>
      <c r="E1267" t="s">
        <v>7</v>
      </c>
      <c r="F1267" t="s">
        <v>38</v>
      </c>
      <c r="G1267" t="str">
        <f>VLOOKUP(A1267,[1]Kreise!$A$1:$C$53,3,FALSE)</f>
        <v>K031</v>
      </c>
      <c r="H1267">
        <v>261</v>
      </c>
    </row>
    <row r="1268" spans="1:8">
      <c r="A1268">
        <v>2</v>
      </c>
      <c r="B1268" t="s">
        <v>31</v>
      </c>
      <c r="C1268">
        <v>2019</v>
      </c>
      <c r="D1268" t="s">
        <v>12</v>
      </c>
      <c r="E1268" t="s">
        <v>7</v>
      </c>
      <c r="F1268" t="s">
        <v>38</v>
      </c>
      <c r="G1268" t="str">
        <f>VLOOKUP(A1268,[1]Kreise!$A$1:$C$53,3,FALSE)</f>
        <v>K032</v>
      </c>
      <c r="H1268">
        <v>397</v>
      </c>
    </row>
    <row r="1269" spans="1:8">
      <c r="A1269">
        <v>3</v>
      </c>
      <c r="B1269" t="s">
        <v>32</v>
      </c>
      <c r="C1269">
        <v>2019</v>
      </c>
      <c r="D1269" t="s">
        <v>12</v>
      </c>
      <c r="E1269" t="s">
        <v>7</v>
      </c>
      <c r="F1269" t="s">
        <v>38</v>
      </c>
      <c r="G1269" t="str">
        <f>VLOOKUP(A1269,[1]Kreise!$A$1:$C$53,3,FALSE)</f>
        <v>K033</v>
      </c>
      <c r="H1269">
        <v>187</v>
      </c>
    </row>
    <row r="1270" spans="1:8">
      <c r="A1270">
        <v>4</v>
      </c>
      <c r="B1270" t="s">
        <v>33</v>
      </c>
      <c r="C1270">
        <v>2019</v>
      </c>
      <c r="D1270" t="s">
        <v>12</v>
      </c>
      <c r="E1270" t="s">
        <v>7</v>
      </c>
      <c r="F1270" t="s">
        <v>38</v>
      </c>
      <c r="G1270" t="str">
        <f>VLOOKUP(A1270,[1]Kreise!$A$1:$C$53,3,FALSE)</f>
        <v>K034</v>
      </c>
      <c r="H1270">
        <v>304</v>
      </c>
    </row>
    <row r="1271" spans="1:8">
      <c r="A1271">
        <v>0</v>
      </c>
      <c r="B1271" t="s">
        <v>34</v>
      </c>
      <c r="C1271">
        <v>2019</v>
      </c>
      <c r="D1271" t="s">
        <v>12</v>
      </c>
      <c r="E1271" t="s">
        <v>7</v>
      </c>
      <c r="F1271" t="s">
        <v>38</v>
      </c>
      <c r="G1271" t="str">
        <f>VLOOKUP(A1271,[1]Kreise!$A$1:$C$53,3,FALSE)</f>
        <v>K030</v>
      </c>
      <c r="H1271">
        <v>1149</v>
      </c>
    </row>
    <row r="1272" spans="1:8">
      <c r="A1272">
        <v>1</v>
      </c>
      <c r="B1272" t="s">
        <v>30</v>
      </c>
      <c r="C1272">
        <v>2018</v>
      </c>
      <c r="D1272" t="s">
        <v>12</v>
      </c>
      <c r="E1272" t="s">
        <v>7</v>
      </c>
      <c r="F1272" t="s">
        <v>38</v>
      </c>
      <c r="G1272" t="str">
        <f>VLOOKUP(A1272,[1]Kreise!$A$1:$C$53,3,FALSE)</f>
        <v>K031</v>
      </c>
      <c r="H1272">
        <v>229</v>
      </c>
    </row>
    <row r="1273" spans="1:8">
      <c r="A1273">
        <v>2</v>
      </c>
      <c r="B1273" t="s">
        <v>31</v>
      </c>
      <c r="C1273">
        <v>2018</v>
      </c>
      <c r="D1273" t="s">
        <v>12</v>
      </c>
      <c r="E1273" t="s">
        <v>7</v>
      </c>
      <c r="F1273" t="s">
        <v>38</v>
      </c>
      <c r="G1273" t="str">
        <f>VLOOKUP(A1273,[1]Kreise!$A$1:$C$53,3,FALSE)</f>
        <v>K032</v>
      </c>
      <c r="H1273">
        <v>346</v>
      </c>
    </row>
    <row r="1274" spans="1:8">
      <c r="A1274">
        <v>3</v>
      </c>
      <c r="B1274" t="s">
        <v>32</v>
      </c>
      <c r="C1274">
        <v>2018</v>
      </c>
      <c r="D1274" t="s">
        <v>12</v>
      </c>
      <c r="E1274" t="s">
        <v>7</v>
      </c>
      <c r="F1274" t="s">
        <v>38</v>
      </c>
      <c r="G1274" t="str">
        <f>VLOOKUP(A1274,[1]Kreise!$A$1:$C$53,3,FALSE)</f>
        <v>K033</v>
      </c>
      <c r="H1274">
        <v>179</v>
      </c>
    </row>
    <row r="1275" spans="1:8">
      <c r="A1275">
        <v>4</v>
      </c>
      <c r="B1275" t="s">
        <v>33</v>
      </c>
      <c r="C1275">
        <v>2018</v>
      </c>
      <c r="D1275" t="s">
        <v>12</v>
      </c>
      <c r="E1275" t="s">
        <v>7</v>
      </c>
      <c r="F1275" t="s">
        <v>38</v>
      </c>
      <c r="G1275" t="str">
        <f>VLOOKUP(A1275,[1]Kreise!$A$1:$C$53,3,FALSE)</f>
        <v>K034</v>
      </c>
      <c r="H1275">
        <v>293</v>
      </c>
    </row>
    <row r="1276" spans="1:8">
      <c r="A1276">
        <v>0</v>
      </c>
      <c r="B1276" t="s">
        <v>34</v>
      </c>
      <c r="C1276">
        <v>2018</v>
      </c>
      <c r="D1276" t="s">
        <v>12</v>
      </c>
      <c r="E1276" t="s">
        <v>7</v>
      </c>
      <c r="F1276" t="s">
        <v>38</v>
      </c>
      <c r="G1276" t="str">
        <f>VLOOKUP(A1276,[1]Kreise!$A$1:$C$53,3,FALSE)</f>
        <v>K030</v>
      </c>
      <c r="H1276">
        <v>1047</v>
      </c>
    </row>
    <row r="1277" spans="1:8">
      <c r="A1277">
        <v>1</v>
      </c>
      <c r="B1277" t="s">
        <v>30</v>
      </c>
      <c r="C1277">
        <v>2017</v>
      </c>
      <c r="D1277" t="s">
        <v>12</v>
      </c>
      <c r="E1277" t="s">
        <v>7</v>
      </c>
      <c r="F1277" t="s">
        <v>38</v>
      </c>
      <c r="G1277" t="str">
        <f>VLOOKUP(A1277,[1]Kreise!$A$1:$C$53,3,FALSE)</f>
        <v>K031</v>
      </c>
      <c r="H1277">
        <v>250</v>
      </c>
    </row>
    <row r="1278" spans="1:8">
      <c r="A1278">
        <v>2</v>
      </c>
      <c r="B1278" t="s">
        <v>31</v>
      </c>
      <c r="C1278">
        <v>2017</v>
      </c>
      <c r="D1278" t="s">
        <v>12</v>
      </c>
      <c r="E1278" t="s">
        <v>7</v>
      </c>
      <c r="F1278" t="s">
        <v>38</v>
      </c>
      <c r="G1278" t="str">
        <f>VLOOKUP(A1278,[1]Kreise!$A$1:$C$53,3,FALSE)</f>
        <v>K032</v>
      </c>
      <c r="H1278">
        <v>381</v>
      </c>
    </row>
    <row r="1279" spans="1:8">
      <c r="A1279">
        <v>3</v>
      </c>
      <c r="B1279" t="s">
        <v>32</v>
      </c>
      <c r="C1279">
        <v>2017</v>
      </c>
      <c r="D1279" t="s">
        <v>12</v>
      </c>
      <c r="E1279" t="s">
        <v>7</v>
      </c>
      <c r="F1279" t="s">
        <v>38</v>
      </c>
      <c r="G1279" t="str">
        <f>VLOOKUP(A1279,[1]Kreise!$A$1:$C$53,3,FALSE)</f>
        <v>K033</v>
      </c>
      <c r="H1279">
        <v>168</v>
      </c>
    </row>
    <row r="1280" spans="1:8">
      <c r="A1280">
        <v>4</v>
      </c>
      <c r="B1280" t="s">
        <v>33</v>
      </c>
      <c r="C1280">
        <v>2017</v>
      </c>
      <c r="D1280" t="s">
        <v>12</v>
      </c>
      <c r="E1280" t="s">
        <v>7</v>
      </c>
      <c r="F1280" t="s">
        <v>38</v>
      </c>
      <c r="G1280" t="str">
        <f>VLOOKUP(A1280,[1]Kreise!$A$1:$C$53,3,FALSE)</f>
        <v>K034</v>
      </c>
      <c r="H1280">
        <v>274</v>
      </c>
    </row>
    <row r="1281" spans="1:8">
      <c r="A1281">
        <v>0</v>
      </c>
      <c r="B1281" t="s">
        <v>34</v>
      </c>
      <c r="C1281">
        <v>2017</v>
      </c>
      <c r="D1281" t="s">
        <v>12</v>
      </c>
      <c r="E1281" t="s">
        <v>7</v>
      </c>
      <c r="F1281" t="s">
        <v>38</v>
      </c>
      <c r="G1281" t="str">
        <f>VLOOKUP(A1281,[1]Kreise!$A$1:$C$53,3,FALSE)</f>
        <v>K030</v>
      </c>
      <c r="H1281">
        <v>1073</v>
      </c>
    </row>
    <row r="1282" spans="1:8">
      <c r="A1282">
        <v>1</v>
      </c>
      <c r="B1282" t="s">
        <v>30</v>
      </c>
      <c r="C1282">
        <v>2016</v>
      </c>
      <c r="D1282" t="s">
        <v>12</v>
      </c>
      <c r="E1282" t="s">
        <v>7</v>
      </c>
      <c r="F1282" t="s">
        <v>38</v>
      </c>
      <c r="G1282" t="str">
        <f>VLOOKUP(A1282,[1]Kreise!$A$1:$C$53,3,FALSE)</f>
        <v>K031</v>
      </c>
      <c r="H1282">
        <v>218</v>
      </c>
    </row>
    <row r="1283" spans="1:8">
      <c r="A1283">
        <v>2</v>
      </c>
      <c r="B1283" t="s">
        <v>31</v>
      </c>
      <c r="C1283">
        <v>2016</v>
      </c>
      <c r="D1283" t="s">
        <v>12</v>
      </c>
      <c r="E1283" t="s">
        <v>7</v>
      </c>
      <c r="F1283" t="s">
        <v>38</v>
      </c>
      <c r="G1283" t="str">
        <f>VLOOKUP(A1283,[1]Kreise!$A$1:$C$53,3,FALSE)</f>
        <v>K032</v>
      </c>
      <c r="H1283">
        <v>290</v>
      </c>
    </row>
    <row r="1284" spans="1:8">
      <c r="A1284">
        <v>3</v>
      </c>
      <c r="B1284" t="s">
        <v>32</v>
      </c>
      <c r="C1284">
        <v>2016</v>
      </c>
      <c r="D1284" t="s">
        <v>12</v>
      </c>
      <c r="E1284" t="s">
        <v>7</v>
      </c>
      <c r="F1284" t="s">
        <v>38</v>
      </c>
      <c r="G1284" t="str">
        <f>VLOOKUP(A1284,[1]Kreise!$A$1:$C$53,3,FALSE)</f>
        <v>K033</v>
      </c>
      <c r="H1284">
        <v>147</v>
      </c>
    </row>
    <row r="1285" spans="1:8">
      <c r="A1285">
        <v>4</v>
      </c>
      <c r="B1285" t="s">
        <v>33</v>
      </c>
      <c r="C1285">
        <v>2016</v>
      </c>
      <c r="D1285" t="s">
        <v>12</v>
      </c>
      <c r="E1285" t="s">
        <v>7</v>
      </c>
      <c r="F1285" t="s">
        <v>38</v>
      </c>
      <c r="G1285" t="str">
        <f>VLOOKUP(A1285,[1]Kreise!$A$1:$C$53,3,FALSE)</f>
        <v>K034</v>
      </c>
      <c r="H1285">
        <v>228</v>
      </c>
    </row>
    <row r="1286" spans="1:8">
      <c r="A1286">
        <v>0</v>
      </c>
      <c r="B1286" t="s">
        <v>34</v>
      </c>
      <c r="C1286">
        <v>2016</v>
      </c>
      <c r="D1286" t="s">
        <v>12</v>
      </c>
      <c r="E1286" t="s">
        <v>7</v>
      </c>
      <c r="F1286" t="s">
        <v>38</v>
      </c>
      <c r="G1286" t="str">
        <f>VLOOKUP(A1286,[1]Kreise!$A$1:$C$53,3,FALSE)</f>
        <v>K030</v>
      </c>
      <c r="H1286">
        <v>883</v>
      </c>
    </row>
    <row r="1287" spans="1:8">
      <c r="A1287">
        <v>1</v>
      </c>
      <c r="B1287" t="s">
        <v>30</v>
      </c>
      <c r="C1287">
        <v>2015</v>
      </c>
      <c r="D1287" t="s">
        <v>12</v>
      </c>
      <c r="E1287" t="s">
        <v>7</v>
      </c>
      <c r="F1287" t="s">
        <v>38</v>
      </c>
      <c r="G1287" t="str">
        <f>VLOOKUP(A1287,[1]Kreise!$A$1:$C$53,3,FALSE)</f>
        <v>K031</v>
      </c>
      <c r="H1287">
        <v>147</v>
      </c>
    </row>
    <row r="1288" spans="1:8">
      <c r="A1288">
        <v>2</v>
      </c>
      <c r="B1288" t="s">
        <v>31</v>
      </c>
      <c r="C1288">
        <v>2015</v>
      </c>
      <c r="D1288" t="s">
        <v>12</v>
      </c>
      <c r="E1288" t="s">
        <v>7</v>
      </c>
      <c r="F1288" t="s">
        <v>38</v>
      </c>
      <c r="G1288" t="str">
        <f>VLOOKUP(A1288,[1]Kreise!$A$1:$C$53,3,FALSE)</f>
        <v>K032</v>
      </c>
      <c r="H1288">
        <v>287</v>
      </c>
    </row>
    <row r="1289" spans="1:8">
      <c r="A1289">
        <v>3</v>
      </c>
      <c r="B1289" t="s">
        <v>32</v>
      </c>
      <c r="C1289">
        <v>2015</v>
      </c>
      <c r="D1289" t="s">
        <v>12</v>
      </c>
      <c r="E1289" t="s">
        <v>7</v>
      </c>
      <c r="F1289" t="s">
        <v>38</v>
      </c>
      <c r="G1289" t="str">
        <f>VLOOKUP(A1289,[1]Kreise!$A$1:$C$53,3,FALSE)</f>
        <v>K033</v>
      </c>
      <c r="H1289">
        <v>97</v>
      </c>
    </row>
    <row r="1290" spans="1:8">
      <c r="A1290">
        <v>4</v>
      </c>
      <c r="B1290" t="s">
        <v>33</v>
      </c>
      <c r="C1290">
        <v>2015</v>
      </c>
      <c r="D1290" t="s">
        <v>12</v>
      </c>
      <c r="E1290" t="s">
        <v>7</v>
      </c>
      <c r="F1290" t="s">
        <v>38</v>
      </c>
      <c r="G1290" t="str">
        <f>VLOOKUP(A1290,[1]Kreise!$A$1:$C$53,3,FALSE)</f>
        <v>K034</v>
      </c>
      <c r="H1290">
        <v>195</v>
      </c>
    </row>
    <row r="1291" spans="1:8">
      <c r="A1291">
        <v>0</v>
      </c>
      <c r="B1291" t="s">
        <v>34</v>
      </c>
      <c r="C1291">
        <v>2015</v>
      </c>
      <c r="D1291" t="s">
        <v>12</v>
      </c>
      <c r="E1291" t="s">
        <v>7</v>
      </c>
      <c r="F1291" t="s">
        <v>38</v>
      </c>
      <c r="G1291" t="str">
        <f>VLOOKUP(A1291,[1]Kreise!$A$1:$C$53,3,FALSE)</f>
        <v>K030</v>
      </c>
      <c r="H1291">
        <v>726</v>
      </c>
    </row>
    <row r="1292" spans="1:8">
      <c r="A1292">
        <v>1</v>
      </c>
      <c r="B1292" t="s">
        <v>145</v>
      </c>
      <c r="C1292">
        <v>2014</v>
      </c>
      <c r="D1292" t="s">
        <v>12</v>
      </c>
      <c r="E1292" t="s">
        <v>7</v>
      </c>
      <c r="F1292" t="s">
        <v>38</v>
      </c>
      <c r="G1292" t="str">
        <f>VLOOKUP(A1292,[1]Kreise!$A$1:$C$53,3,FALSE)</f>
        <v>K031</v>
      </c>
      <c r="H1292">
        <v>165</v>
      </c>
    </row>
    <row r="1293" spans="1:8">
      <c r="A1293">
        <v>2</v>
      </c>
      <c r="B1293" t="s">
        <v>146</v>
      </c>
      <c r="C1293">
        <v>2014</v>
      </c>
      <c r="D1293" t="s">
        <v>12</v>
      </c>
      <c r="E1293" t="s">
        <v>7</v>
      </c>
      <c r="F1293" t="s">
        <v>38</v>
      </c>
      <c r="G1293" t="str">
        <f>VLOOKUP(A1293,[1]Kreise!$A$1:$C$53,3,FALSE)</f>
        <v>K032</v>
      </c>
      <c r="H1293">
        <v>274</v>
      </c>
    </row>
    <row r="1294" spans="1:8">
      <c r="A1294">
        <v>3</v>
      </c>
      <c r="B1294" t="s">
        <v>147</v>
      </c>
      <c r="C1294">
        <v>2014</v>
      </c>
      <c r="D1294" t="s">
        <v>12</v>
      </c>
      <c r="E1294" t="s">
        <v>7</v>
      </c>
      <c r="F1294" t="s">
        <v>38</v>
      </c>
      <c r="G1294" t="str">
        <f>VLOOKUP(A1294,[1]Kreise!$A$1:$C$53,3,FALSE)</f>
        <v>K033</v>
      </c>
      <c r="H1294">
        <v>117</v>
      </c>
    </row>
    <row r="1295" spans="1:8">
      <c r="A1295">
        <v>4</v>
      </c>
      <c r="B1295" t="s">
        <v>148</v>
      </c>
      <c r="C1295">
        <v>2014</v>
      </c>
      <c r="D1295" t="s">
        <v>12</v>
      </c>
      <c r="E1295" t="s">
        <v>7</v>
      </c>
      <c r="F1295" t="s">
        <v>38</v>
      </c>
      <c r="G1295" t="str">
        <f>VLOOKUP(A1295,[1]Kreise!$A$1:$C$53,3,FALSE)</f>
        <v>K034</v>
      </c>
      <c r="H1295">
        <v>217</v>
      </c>
    </row>
    <row r="1296" spans="1:8">
      <c r="A1296">
        <v>0</v>
      </c>
      <c r="B1296" t="s">
        <v>34</v>
      </c>
      <c r="C1296">
        <v>2014</v>
      </c>
      <c r="D1296" t="s">
        <v>12</v>
      </c>
      <c r="E1296" t="s">
        <v>7</v>
      </c>
      <c r="F1296" t="s">
        <v>38</v>
      </c>
      <c r="G1296" t="str">
        <f>VLOOKUP(A1296,[1]Kreise!$A$1:$C$53,3,FALSE)</f>
        <v>K030</v>
      </c>
      <c r="H1296">
        <v>773</v>
      </c>
    </row>
    <row r="1297" spans="1:8">
      <c r="A1297">
        <v>1</v>
      </c>
      <c r="B1297" t="s">
        <v>30</v>
      </c>
      <c r="C1297">
        <v>2013</v>
      </c>
      <c r="D1297" t="s">
        <v>12</v>
      </c>
      <c r="E1297" t="s">
        <v>7</v>
      </c>
      <c r="F1297" t="s">
        <v>38</v>
      </c>
      <c r="G1297" t="str">
        <f>VLOOKUP(A1297,[1]Kreise!$A$1:$C$53,3,FALSE)</f>
        <v>K031</v>
      </c>
      <c r="H1297">
        <v>164</v>
      </c>
    </row>
    <row r="1298" spans="1:8">
      <c r="A1298">
        <v>2</v>
      </c>
      <c r="B1298" t="s">
        <v>31</v>
      </c>
      <c r="C1298">
        <v>2013</v>
      </c>
      <c r="D1298" t="s">
        <v>12</v>
      </c>
      <c r="E1298" t="s">
        <v>7</v>
      </c>
      <c r="F1298" t="s">
        <v>38</v>
      </c>
      <c r="G1298" t="str">
        <f>VLOOKUP(A1298,[1]Kreise!$A$1:$C$53,3,FALSE)</f>
        <v>K032</v>
      </c>
      <c r="H1298">
        <v>360</v>
      </c>
    </row>
    <row r="1299" spans="1:8">
      <c r="A1299">
        <v>3</v>
      </c>
      <c r="B1299" t="s">
        <v>32</v>
      </c>
      <c r="C1299">
        <v>2013</v>
      </c>
      <c r="D1299" t="s">
        <v>12</v>
      </c>
      <c r="E1299" t="s">
        <v>7</v>
      </c>
      <c r="F1299" t="s">
        <v>38</v>
      </c>
      <c r="G1299" t="str">
        <f>VLOOKUP(A1299,[1]Kreise!$A$1:$C$53,3,FALSE)</f>
        <v>K033</v>
      </c>
      <c r="H1299">
        <v>95</v>
      </c>
    </row>
    <row r="1300" spans="1:8">
      <c r="A1300">
        <v>4</v>
      </c>
      <c r="B1300" t="s">
        <v>33</v>
      </c>
      <c r="C1300">
        <v>2013</v>
      </c>
      <c r="D1300" t="s">
        <v>12</v>
      </c>
      <c r="E1300" t="s">
        <v>7</v>
      </c>
      <c r="F1300" t="s">
        <v>38</v>
      </c>
      <c r="G1300" t="str">
        <f>VLOOKUP(A1300,[1]Kreise!$A$1:$C$53,3,FALSE)</f>
        <v>K034</v>
      </c>
      <c r="H1300">
        <v>218</v>
      </c>
    </row>
    <row r="1301" spans="1:8">
      <c r="A1301">
        <v>0</v>
      </c>
      <c r="B1301" t="s">
        <v>34</v>
      </c>
      <c r="C1301">
        <v>2013</v>
      </c>
      <c r="D1301" t="s">
        <v>12</v>
      </c>
      <c r="E1301" t="s">
        <v>7</v>
      </c>
      <c r="F1301" t="s">
        <v>38</v>
      </c>
      <c r="G1301" t="str">
        <f>VLOOKUP(A1301,[1]Kreise!$A$1:$C$53,3,FALSE)</f>
        <v>K030</v>
      </c>
      <c r="H1301">
        <v>837</v>
      </c>
    </row>
    <row r="1302" spans="1:8">
      <c r="A1302">
        <v>1</v>
      </c>
      <c r="B1302" t="s">
        <v>145</v>
      </c>
      <c r="C1302">
        <v>2012</v>
      </c>
      <c r="D1302" t="s">
        <v>12</v>
      </c>
      <c r="E1302" t="s">
        <v>7</v>
      </c>
      <c r="F1302" t="s">
        <v>38</v>
      </c>
      <c r="G1302" t="str">
        <f>VLOOKUP(A1302,[1]Kreise!$A$1:$C$53,3,FALSE)</f>
        <v>K031</v>
      </c>
      <c r="H1302">
        <v>179</v>
      </c>
    </row>
    <row r="1303" spans="1:8">
      <c r="A1303">
        <v>2</v>
      </c>
      <c r="B1303" t="s">
        <v>146</v>
      </c>
      <c r="C1303">
        <v>2012</v>
      </c>
      <c r="D1303" t="s">
        <v>12</v>
      </c>
      <c r="E1303" t="s">
        <v>7</v>
      </c>
      <c r="F1303" t="s">
        <v>38</v>
      </c>
      <c r="G1303" t="str">
        <f>VLOOKUP(A1303,[1]Kreise!$A$1:$C$53,3,FALSE)</f>
        <v>K032</v>
      </c>
      <c r="H1303">
        <v>407</v>
      </c>
    </row>
    <row r="1304" spans="1:8">
      <c r="A1304">
        <v>3</v>
      </c>
      <c r="B1304" t="s">
        <v>147</v>
      </c>
      <c r="C1304">
        <v>2012</v>
      </c>
      <c r="D1304" t="s">
        <v>12</v>
      </c>
      <c r="E1304" t="s">
        <v>7</v>
      </c>
      <c r="F1304" t="s">
        <v>38</v>
      </c>
      <c r="G1304" t="str">
        <f>VLOOKUP(A1304,[1]Kreise!$A$1:$C$53,3,FALSE)</f>
        <v>K033</v>
      </c>
      <c r="H1304">
        <v>117</v>
      </c>
    </row>
    <row r="1305" spans="1:8">
      <c r="A1305">
        <v>4</v>
      </c>
      <c r="B1305" t="s">
        <v>148</v>
      </c>
      <c r="C1305">
        <v>2012</v>
      </c>
      <c r="D1305" t="s">
        <v>12</v>
      </c>
      <c r="E1305" t="s">
        <v>7</v>
      </c>
      <c r="F1305" t="s">
        <v>38</v>
      </c>
      <c r="G1305" t="str">
        <f>VLOOKUP(A1305,[1]Kreise!$A$1:$C$53,3,FALSE)</f>
        <v>K034</v>
      </c>
      <c r="H1305">
        <v>202</v>
      </c>
    </row>
    <row r="1306" spans="1:8">
      <c r="A1306">
        <v>0</v>
      </c>
      <c r="B1306" t="s">
        <v>34</v>
      </c>
      <c r="C1306">
        <v>2012</v>
      </c>
      <c r="D1306" t="s">
        <v>12</v>
      </c>
      <c r="E1306" t="s">
        <v>7</v>
      </c>
      <c r="F1306" t="s">
        <v>38</v>
      </c>
      <c r="G1306" t="str">
        <f>VLOOKUP(A1306,[1]Kreise!$A$1:$C$53,3,FALSE)</f>
        <v>K030</v>
      </c>
      <c r="H1306">
        <v>905</v>
      </c>
    </row>
    <row r="1307" spans="1:8">
      <c r="A1307">
        <v>1</v>
      </c>
      <c r="B1307" t="s">
        <v>30</v>
      </c>
      <c r="C1307">
        <v>2011</v>
      </c>
      <c r="D1307" t="s">
        <v>12</v>
      </c>
      <c r="E1307" t="s">
        <v>7</v>
      </c>
      <c r="F1307" t="s">
        <v>38</v>
      </c>
      <c r="G1307" t="str">
        <f>VLOOKUP(A1307,[1]Kreise!$A$1:$C$53,3,FALSE)</f>
        <v>K031</v>
      </c>
      <c r="H1307">
        <v>189</v>
      </c>
    </row>
    <row r="1308" spans="1:8">
      <c r="A1308">
        <v>2</v>
      </c>
      <c r="B1308" t="s">
        <v>31</v>
      </c>
      <c r="C1308">
        <v>2011</v>
      </c>
      <c r="D1308" t="s">
        <v>12</v>
      </c>
      <c r="E1308" t="s">
        <v>7</v>
      </c>
      <c r="F1308" t="s">
        <v>38</v>
      </c>
      <c r="G1308" t="str">
        <f>VLOOKUP(A1308,[1]Kreise!$A$1:$C$53,3,FALSE)</f>
        <v>K032</v>
      </c>
      <c r="H1308">
        <v>443</v>
      </c>
    </row>
    <row r="1309" spans="1:8">
      <c r="A1309">
        <v>3</v>
      </c>
      <c r="B1309" t="s">
        <v>32</v>
      </c>
      <c r="C1309">
        <v>2011</v>
      </c>
      <c r="D1309" t="s">
        <v>12</v>
      </c>
      <c r="E1309" t="s">
        <v>7</v>
      </c>
      <c r="F1309" t="s">
        <v>38</v>
      </c>
      <c r="G1309" t="str">
        <f>VLOOKUP(A1309,[1]Kreise!$A$1:$C$53,3,FALSE)</f>
        <v>K033</v>
      </c>
      <c r="H1309">
        <v>138</v>
      </c>
    </row>
    <row r="1310" spans="1:8">
      <c r="A1310">
        <v>4</v>
      </c>
      <c r="B1310" t="s">
        <v>33</v>
      </c>
      <c r="C1310">
        <v>2011</v>
      </c>
      <c r="D1310" t="s">
        <v>12</v>
      </c>
      <c r="E1310" t="s">
        <v>7</v>
      </c>
      <c r="F1310" t="s">
        <v>38</v>
      </c>
      <c r="G1310" t="str">
        <f>VLOOKUP(A1310,[1]Kreise!$A$1:$C$53,3,FALSE)</f>
        <v>K034</v>
      </c>
      <c r="H1310">
        <v>243</v>
      </c>
    </row>
    <row r="1311" spans="1:8">
      <c r="A1311">
        <v>0</v>
      </c>
      <c r="B1311" t="s">
        <v>34</v>
      </c>
      <c r="C1311">
        <v>2011</v>
      </c>
      <c r="D1311" t="s">
        <v>12</v>
      </c>
      <c r="E1311" t="s">
        <v>7</v>
      </c>
      <c r="F1311" t="s">
        <v>38</v>
      </c>
      <c r="G1311" t="str">
        <f>VLOOKUP(A1311,[1]Kreise!$A$1:$C$53,3,FALSE)</f>
        <v>K030</v>
      </c>
      <c r="H1311">
        <v>1013</v>
      </c>
    </row>
    <row r="1312" spans="1:8">
      <c r="A1312">
        <v>1</v>
      </c>
      <c r="B1312" t="s">
        <v>145</v>
      </c>
      <c r="C1312">
        <v>2010</v>
      </c>
      <c r="D1312" t="s">
        <v>12</v>
      </c>
      <c r="E1312" t="s">
        <v>7</v>
      </c>
      <c r="F1312" t="s">
        <v>38</v>
      </c>
      <c r="G1312" t="str">
        <f>VLOOKUP(A1312,[1]Kreise!$A$1:$C$53,3,FALSE)</f>
        <v>K031</v>
      </c>
      <c r="H1312">
        <v>210</v>
      </c>
    </row>
    <row r="1313" spans="1:8">
      <c r="A1313">
        <v>2</v>
      </c>
      <c r="B1313" t="s">
        <v>146</v>
      </c>
      <c r="C1313">
        <v>2010</v>
      </c>
      <c r="D1313" t="s">
        <v>12</v>
      </c>
      <c r="E1313" t="s">
        <v>7</v>
      </c>
      <c r="F1313" t="s">
        <v>38</v>
      </c>
      <c r="G1313" t="str">
        <f>VLOOKUP(A1313,[1]Kreise!$A$1:$C$53,3,FALSE)</f>
        <v>K032</v>
      </c>
      <c r="H1313">
        <v>411</v>
      </c>
    </row>
    <row r="1314" spans="1:8">
      <c r="A1314">
        <v>3</v>
      </c>
      <c r="B1314" t="s">
        <v>147</v>
      </c>
      <c r="C1314">
        <v>2010</v>
      </c>
      <c r="D1314" t="s">
        <v>12</v>
      </c>
      <c r="E1314" t="s">
        <v>7</v>
      </c>
      <c r="F1314" t="s">
        <v>38</v>
      </c>
      <c r="G1314" t="str">
        <f>VLOOKUP(A1314,[1]Kreise!$A$1:$C$53,3,FALSE)</f>
        <v>K033</v>
      </c>
      <c r="H1314">
        <v>135</v>
      </c>
    </row>
    <row r="1315" spans="1:8">
      <c r="A1315">
        <v>4</v>
      </c>
      <c r="B1315" t="s">
        <v>148</v>
      </c>
      <c r="C1315">
        <v>2010</v>
      </c>
      <c r="D1315" t="s">
        <v>12</v>
      </c>
      <c r="E1315" t="s">
        <v>7</v>
      </c>
      <c r="F1315" t="s">
        <v>38</v>
      </c>
      <c r="G1315" t="str">
        <f>VLOOKUP(A1315,[1]Kreise!$A$1:$C$53,3,FALSE)</f>
        <v>K034</v>
      </c>
      <c r="H1315">
        <v>230</v>
      </c>
    </row>
    <row r="1316" spans="1:8">
      <c r="A1316">
        <v>0</v>
      </c>
      <c r="B1316" t="s">
        <v>34</v>
      </c>
      <c r="C1316">
        <v>2010</v>
      </c>
      <c r="D1316" t="s">
        <v>12</v>
      </c>
      <c r="E1316" t="s">
        <v>7</v>
      </c>
      <c r="F1316" t="s">
        <v>38</v>
      </c>
      <c r="G1316" t="str">
        <f>VLOOKUP(A1316,[1]Kreise!$A$1:$C$53,3,FALSE)</f>
        <v>K030</v>
      </c>
      <c r="H1316">
        <v>986</v>
      </c>
    </row>
    <row r="1317" spans="1:8">
      <c r="A1317">
        <v>1</v>
      </c>
      <c r="B1317" t="s">
        <v>145</v>
      </c>
      <c r="C1317">
        <v>2005</v>
      </c>
      <c r="D1317" t="s">
        <v>12</v>
      </c>
      <c r="E1317" t="s">
        <v>7</v>
      </c>
      <c r="F1317" t="s">
        <v>38</v>
      </c>
      <c r="G1317" t="str">
        <f>VLOOKUP(A1317,[1]Kreise!$A$1:$C$53,3,FALSE)</f>
        <v>K031</v>
      </c>
      <c r="H1317">
        <v>196</v>
      </c>
    </row>
    <row r="1318" spans="1:8">
      <c r="A1318">
        <v>2</v>
      </c>
      <c r="B1318" t="s">
        <v>146</v>
      </c>
      <c r="C1318">
        <v>2005</v>
      </c>
      <c r="D1318" t="s">
        <v>12</v>
      </c>
      <c r="E1318" t="s">
        <v>7</v>
      </c>
      <c r="F1318" t="s">
        <v>38</v>
      </c>
      <c r="G1318" t="str">
        <f>VLOOKUP(A1318,[1]Kreise!$A$1:$C$53,3,FALSE)</f>
        <v>K032</v>
      </c>
      <c r="H1318">
        <v>496</v>
      </c>
    </row>
    <row r="1319" spans="1:8">
      <c r="A1319">
        <v>3</v>
      </c>
      <c r="B1319" t="s">
        <v>147</v>
      </c>
      <c r="C1319">
        <v>2005</v>
      </c>
      <c r="D1319" t="s">
        <v>12</v>
      </c>
      <c r="E1319" t="s">
        <v>7</v>
      </c>
      <c r="F1319" t="s">
        <v>38</v>
      </c>
      <c r="G1319" t="str">
        <f>VLOOKUP(A1319,[1]Kreise!$A$1:$C$53,3,FALSE)</f>
        <v>K033</v>
      </c>
      <c r="H1319">
        <v>131</v>
      </c>
    </row>
    <row r="1320" spans="1:8">
      <c r="A1320">
        <v>4</v>
      </c>
      <c r="B1320" t="s">
        <v>148</v>
      </c>
      <c r="C1320">
        <v>2005</v>
      </c>
      <c r="D1320" t="s">
        <v>12</v>
      </c>
      <c r="E1320" t="s">
        <v>7</v>
      </c>
      <c r="F1320" t="s">
        <v>38</v>
      </c>
      <c r="G1320" t="str">
        <f>VLOOKUP(A1320,[1]Kreise!$A$1:$C$53,3,FALSE)</f>
        <v>K034</v>
      </c>
      <c r="H1320">
        <v>238</v>
      </c>
    </row>
    <row r="1321" spans="1:8">
      <c r="A1321">
        <v>0</v>
      </c>
      <c r="B1321" t="s">
        <v>34</v>
      </c>
      <c r="C1321">
        <v>2005</v>
      </c>
      <c r="D1321" t="s">
        <v>12</v>
      </c>
      <c r="E1321" t="s">
        <v>7</v>
      </c>
      <c r="F1321" t="s">
        <v>38</v>
      </c>
      <c r="G1321" t="str">
        <f>VLOOKUP(A1321,[1]Kreise!$A$1:$C$53,3,FALSE)</f>
        <v>K030</v>
      </c>
      <c r="H1321">
        <v>1061</v>
      </c>
    </row>
    <row r="1322" spans="1:8">
      <c r="A1322">
        <v>1</v>
      </c>
      <c r="B1322" t="s">
        <v>30</v>
      </c>
      <c r="C1322">
        <v>2020</v>
      </c>
      <c r="D1322" t="s">
        <v>11</v>
      </c>
      <c r="E1322" t="s">
        <v>115</v>
      </c>
      <c r="F1322" t="s">
        <v>38</v>
      </c>
      <c r="G1322" t="str">
        <f>VLOOKUP(A1322,[1]Kreise!$A$1:$C$53,3,FALSE)</f>
        <v>K031</v>
      </c>
      <c r="H1322">
        <v>2882</v>
      </c>
    </row>
    <row r="1323" spans="1:8">
      <c r="A1323">
        <v>2</v>
      </c>
      <c r="B1323" t="s">
        <v>31</v>
      </c>
      <c r="C1323">
        <v>2020</v>
      </c>
      <c r="D1323" t="s">
        <v>11</v>
      </c>
      <c r="E1323" t="s">
        <v>115</v>
      </c>
      <c r="F1323" t="s">
        <v>38</v>
      </c>
      <c r="G1323" t="str">
        <f>VLOOKUP(A1323,[1]Kreise!$A$1:$C$53,3,FALSE)</f>
        <v>K032</v>
      </c>
      <c r="H1323">
        <v>3862</v>
      </c>
    </row>
    <row r="1324" spans="1:8">
      <c r="A1324">
        <v>3</v>
      </c>
      <c r="B1324" t="s">
        <v>32</v>
      </c>
      <c r="C1324">
        <v>2020</v>
      </c>
      <c r="D1324" t="s">
        <v>11</v>
      </c>
      <c r="E1324" t="s">
        <v>115</v>
      </c>
      <c r="F1324" t="s">
        <v>38</v>
      </c>
      <c r="G1324" t="str">
        <f>VLOOKUP(A1324,[1]Kreise!$A$1:$C$53,3,FALSE)</f>
        <v>K033</v>
      </c>
      <c r="H1324">
        <v>1881</v>
      </c>
    </row>
    <row r="1325" spans="1:8">
      <c r="A1325">
        <v>4</v>
      </c>
      <c r="B1325" t="s">
        <v>33</v>
      </c>
      <c r="C1325">
        <v>2020</v>
      </c>
      <c r="D1325" t="s">
        <v>11</v>
      </c>
      <c r="E1325" t="s">
        <v>115</v>
      </c>
      <c r="F1325" t="s">
        <v>38</v>
      </c>
      <c r="G1325" t="str">
        <f>VLOOKUP(A1325,[1]Kreise!$A$1:$C$53,3,FALSE)</f>
        <v>K034</v>
      </c>
      <c r="H1325">
        <v>2826</v>
      </c>
    </row>
    <row r="1326" spans="1:8">
      <c r="A1326">
        <v>0</v>
      </c>
      <c r="B1326" t="s">
        <v>34</v>
      </c>
      <c r="C1326">
        <v>2020</v>
      </c>
      <c r="D1326" t="s">
        <v>11</v>
      </c>
      <c r="E1326" t="s">
        <v>115</v>
      </c>
      <c r="F1326" t="s">
        <v>38</v>
      </c>
      <c r="G1326" t="str">
        <f>VLOOKUP(A1326,[1]Kreise!$A$1:$C$53,3,FALSE)</f>
        <v>K030</v>
      </c>
      <c r="H1326">
        <v>11451</v>
      </c>
    </row>
    <row r="1327" spans="1:8">
      <c r="A1327">
        <v>1</v>
      </c>
      <c r="B1327" t="s">
        <v>30</v>
      </c>
      <c r="C1327">
        <v>2019</v>
      </c>
      <c r="D1327" t="s">
        <v>11</v>
      </c>
      <c r="E1327" t="s">
        <v>115</v>
      </c>
      <c r="F1327" t="s">
        <v>38</v>
      </c>
      <c r="G1327" t="str">
        <f>VLOOKUP(A1327,[1]Kreise!$A$1:$C$53,3,FALSE)</f>
        <v>K031</v>
      </c>
      <c r="H1327">
        <v>3015</v>
      </c>
    </row>
    <row r="1328" spans="1:8">
      <c r="A1328">
        <v>2</v>
      </c>
      <c r="B1328" t="s">
        <v>31</v>
      </c>
      <c r="C1328">
        <v>2019</v>
      </c>
      <c r="D1328" t="s">
        <v>11</v>
      </c>
      <c r="E1328" t="s">
        <v>115</v>
      </c>
      <c r="F1328" t="s">
        <v>38</v>
      </c>
      <c r="G1328" t="str">
        <f>VLOOKUP(A1328,[1]Kreise!$A$1:$C$53,3,FALSE)</f>
        <v>K032</v>
      </c>
      <c r="H1328">
        <v>3963</v>
      </c>
    </row>
    <row r="1329" spans="1:8">
      <c r="A1329">
        <v>3</v>
      </c>
      <c r="B1329" t="s">
        <v>32</v>
      </c>
      <c r="C1329">
        <v>2019</v>
      </c>
      <c r="D1329" t="s">
        <v>11</v>
      </c>
      <c r="E1329" t="s">
        <v>115</v>
      </c>
      <c r="F1329" t="s">
        <v>38</v>
      </c>
      <c r="G1329" t="str">
        <f>VLOOKUP(A1329,[1]Kreise!$A$1:$C$53,3,FALSE)</f>
        <v>K033</v>
      </c>
      <c r="H1329">
        <v>1860</v>
      </c>
    </row>
    <row r="1330" spans="1:8">
      <c r="A1330">
        <v>4</v>
      </c>
      <c r="B1330" t="s">
        <v>33</v>
      </c>
      <c r="C1330">
        <v>2019</v>
      </c>
      <c r="D1330" t="s">
        <v>11</v>
      </c>
      <c r="E1330" t="s">
        <v>115</v>
      </c>
      <c r="F1330" t="s">
        <v>38</v>
      </c>
      <c r="G1330" t="str">
        <f>VLOOKUP(A1330,[1]Kreise!$A$1:$C$53,3,FALSE)</f>
        <v>K034</v>
      </c>
      <c r="H1330">
        <v>2814</v>
      </c>
    </row>
    <row r="1331" spans="1:8">
      <c r="A1331">
        <v>0</v>
      </c>
      <c r="B1331" t="s">
        <v>34</v>
      </c>
      <c r="C1331">
        <v>2019</v>
      </c>
      <c r="D1331" t="s">
        <v>11</v>
      </c>
      <c r="E1331" t="s">
        <v>115</v>
      </c>
      <c r="F1331" t="s">
        <v>38</v>
      </c>
      <c r="G1331" t="str">
        <f>VLOOKUP(A1331,[1]Kreise!$A$1:$C$53,3,FALSE)</f>
        <v>K030</v>
      </c>
      <c r="H1331">
        <v>11652</v>
      </c>
    </row>
    <row r="1332" spans="1:8">
      <c r="A1332">
        <v>1</v>
      </c>
      <c r="B1332" t="s">
        <v>30</v>
      </c>
      <c r="C1332">
        <v>2018</v>
      </c>
      <c r="D1332" t="s">
        <v>11</v>
      </c>
      <c r="E1332" t="s">
        <v>115</v>
      </c>
      <c r="F1332" t="s">
        <v>38</v>
      </c>
      <c r="G1332" t="str">
        <f>VLOOKUP(A1332,[1]Kreise!$A$1:$C$53,3,FALSE)</f>
        <v>K031</v>
      </c>
      <c r="H1332">
        <v>2866</v>
      </c>
    </row>
    <row r="1333" spans="1:8">
      <c r="A1333">
        <v>2</v>
      </c>
      <c r="B1333" t="s">
        <v>31</v>
      </c>
      <c r="C1333">
        <v>2018</v>
      </c>
      <c r="D1333" t="s">
        <v>11</v>
      </c>
      <c r="E1333" t="s">
        <v>115</v>
      </c>
      <c r="F1333" t="s">
        <v>38</v>
      </c>
      <c r="G1333" t="str">
        <f>VLOOKUP(A1333,[1]Kreise!$A$1:$C$53,3,FALSE)</f>
        <v>K032</v>
      </c>
      <c r="H1333">
        <v>3885</v>
      </c>
    </row>
    <row r="1334" spans="1:8">
      <c r="A1334">
        <v>3</v>
      </c>
      <c r="B1334" t="s">
        <v>32</v>
      </c>
      <c r="C1334">
        <v>2018</v>
      </c>
      <c r="D1334" t="s">
        <v>11</v>
      </c>
      <c r="E1334" t="s">
        <v>115</v>
      </c>
      <c r="F1334" t="s">
        <v>38</v>
      </c>
      <c r="G1334" t="str">
        <f>VLOOKUP(A1334,[1]Kreise!$A$1:$C$53,3,FALSE)</f>
        <v>K033</v>
      </c>
      <c r="H1334">
        <v>1892</v>
      </c>
    </row>
    <row r="1335" spans="1:8">
      <c r="A1335">
        <v>4</v>
      </c>
      <c r="B1335" t="s">
        <v>33</v>
      </c>
      <c r="C1335">
        <v>2018</v>
      </c>
      <c r="D1335" t="s">
        <v>11</v>
      </c>
      <c r="E1335" t="s">
        <v>115</v>
      </c>
      <c r="F1335" t="s">
        <v>38</v>
      </c>
      <c r="G1335" t="str">
        <f>VLOOKUP(A1335,[1]Kreise!$A$1:$C$53,3,FALSE)</f>
        <v>K034</v>
      </c>
      <c r="H1335">
        <v>2840</v>
      </c>
    </row>
    <row r="1336" spans="1:8">
      <c r="A1336">
        <v>0</v>
      </c>
      <c r="B1336" t="s">
        <v>34</v>
      </c>
      <c r="C1336">
        <v>2018</v>
      </c>
      <c r="D1336" t="s">
        <v>11</v>
      </c>
      <c r="E1336" t="s">
        <v>115</v>
      </c>
      <c r="F1336" t="s">
        <v>38</v>
      </c>
      <c r="G1336" t="str">
        <f>VLOOKUP(A1336,[1]Kreise!$A$1:$C$53,3,FALSE)</f>
        <v>K030</v>
      </c>
      <c r="H1336">
        <v>11483</v>
      </c>
    </row>
    <row r="1337" spans="1:8">
      <c r="A1337">
        <v>1</v>
      </c>
      <c r="B1337" t="s">
        <v>30</v>
      </c>
      <c r="C1337">
        <v>2017</v>
      </c>
      <c r="D1337" t="s">
        <v>11</v>
      </c>
      <c r="E1337" t="s">
        <v>115</v>
      </c>
      <c r="F1337" t="s">
        <v>38</v>
      </c>
      <c r="G1337" t="str">
        <f>VLOOKUP(A1337,[1]Kreise!$A$1:$C$53,3,FALSE)</f>
        <v>K031</v>
      </c>
      <c r="H1337">
        <v>2866</v>
      </c>
    </row>
    <row r="1338" spans="1:8">
      <c r="A1338">
        <v>2</v>
      </c>
      <c r="B1338" t="s">
        <v>31</v>
      </c>
      <c r="C1338">
        <v>2017</v>
      </c>
      <c r="D1338" t="s">
        <v>11</v>
      </c>
      <c r="E1338" t="s">
        <v>115</v>
      </c>
      <c r="F1338" t="s">
        <v>38</v>
      </c>
      <c r="G1338" t="str">
        <f>VLOOKUP(A1338,[1]Kreise!$A$1:$C$53,3,FALSE)</f>
        <v>K032</v>
      </c>
      <c r="H1338">
        <v>3899</v>
      </c>
    </row>
    <row r="1339" spans="1:8">
      <c r="A1339">
        <v>3</v>
      </c>
      <c r="B1339" t="s">
        <v>32</v>
      </c>
      <c r="C1339">
        <v>2017</v>
      </c>
      <c r="D1339" t="s">
        <v>11</v>
      </c>
      <c r="E1339" t="s">
        <v>115</v>
      </c>
      <c r="F1339" t="s">
        <v>38</v>
      </c>
      <c r="G1339" t="str">
        <f>VLOOKUP(A1339,[1]Kreise!$A$1:$C$53,3,FALSE)</f>
        <v>K033</v>
      </c>
      <c r="H1339">
        <v>1816</v>
      </c>
    </row>
    <row r="1340" spans="1:8">
      <c r="A1340">
        <v>4</v>
      </c>
      <c r="B1340" t="s">
        <v>33</v>
      </c>
      <c r="C1340">
        <v>2017</v>
      </c>
      <c r="D1340" t="s">
        <v>11</v>
      </c>
      <c r="E1340" t="s">
        <v>115</v>
      </c>
      <c r="F1340" t="s">
        <v>38</v>
      </c>
      <c r="G1340" t="str">
        <f>VLOOKUP(A1340,[1]Kreise!$A$1:$C$53,3,FALSE)</f>
        <v>K034</v>
      </c>
      <c r="H1340">
        <v>2706</v>
      </c>
    </row>
    <row r="1341" spans="1:8">
      <c r="A1341">
        <v>0</v>
      </c>
      <c r="B1341" t="s">
        <v>34</v>
      </c>
      <c r="C1341">
        <v>2017</v>
      </c>
      <c r="D1341" t="s">
        <v>11</v>
      </c>
      <c r="E1341" t="s">
        <v>115</v>
      </c>
      <c r="F1341" t="s">
        <v>38</v>
      </c>
      <c r="G1341" t="str">
        <f>VLOOKUP(A1341,[1]Kreise!$A$1:$C$53,3,FALSE)</f>
        <v>K030</v>
      </c>
      <c r="H1341">
        <v>11287</v>
      </c>
    </row>
    <row r="1342" spans="1:8">
      <c r="A1342">
        <v>1</v>
      </c>
      <c r="B1342" t="s">
        <v>30</v>
      </c>
      <c r="C1342">
        <v>2016</v>
      </c>
      <c r="D1342" t="s">
        <v>11</v>
      </c>
      <c r="E1342" t="s">
        <v>115</v>
      </c>
      <c r="F1342" t="s">
        <v>38</v>
      </c>
      <c r="G1342" t="str">
        <f>VLOOKUP(A1342,[1]Kreise!$A$1:$C$53,3,FALSE)</f>
        <v>K031</v>
      </c>
      <c r="H1342">
        <v>2606</v>
      </c>
    </row>
    <row r="1343" spans="1:8">
      <c r="A1343">
        <v>2</v>
      </c>
      <c r="B1343" t="s">
        <v>31</v>
      </c>
      <c r="C1343">
        <v>2016</v>
      </c>
      <c r="D1343" t="s">
        <v>11</v>
      </c>
      <c r="E1343" t="s">
        <v>115</v>
      </c>
      <c r="F1343" t="s">
        <v>38</v>
      </c>
      <c r="G1343" t="str">
        <f>VLOOKUP(A1343,[1]Kreise!$A$1:$C$53,3,FALSE)</f>
        <v>K032</v>
      </c>
      <c r="H1343">
        <v>3437</v>
      </c>
    </row>
    <row r="1344" spans="1:8">
      <c r="A1344">
        <v>3</v>
      </c>
      <c r="B1344" t="s">
        <v>32</v>
      </c>
      <c r="C1344">
        <v>2016</v>
      </c>
      <c r="D1344" t="s">
        <v>11</v>
      </c>
      <c r="E1344" t="s">
        <v>115</v>
      </c>
      <c r="F1344" t="s">
        <v>38</v>
      </c>
      <c r="G1344" t="str">
        <f>VLOOKUP(A1344,[1]Kreise!$A$1:$C$53,3,FALSE)</f>
        <v>K033</v>
      </c>
      <c r="H1344">
        <v>1610</v>
      </c>
    </row>
    <row r="1345" spans="1:8">
      <c r="A1345">
        <v>4</v>
      </c>
      <c r="B1345" t="s">
        <v>33</v>
      </c>
      <c r="C1345">
        <v>2016</v>
      </c>
      <c r="D1345" t="s">
        <v>11</v>
      </c>
      <c r="E1345" t="s">
        <v>115</v>
      </c>
      <c r="F1345" t="s">
        <v>38</v>
      </c>
      <c r="G1345" t="str">
        <f>VLOOKUP(A1345,[1]Kreise!$A$1:$C$53,3,FALSE)</f>
        <v>K034</v>
      </c>
      <c r="H1345">
        <v>2489</v>
      </c>
    </row>
    <row r="1346" spans="1:8">
      <c r="A1346">
        <v>0</v>
      </c>
      <c r="B1346" t="s">
        <v>34</v>
      </c>
      <c r="C1346">
        <v>2016</v>
      </c>
      <c r="D1346" t="s">
        <v>11</v>
      </c>
      <c r="E1346" t="s">
        <v>115</v>
      </c>
      <c r="F1346" t="s">
        <v>38</v>
      </c>
      <c r="G1346" t="str">
        <f>VLOOKUP(A1346,[1]Kreise!$A$1:$C$53,3,FALSE)</f>
        <v>K030</v>
      </c>
      <c r="H1346">
        <v>10142</v>
      </c>
    </row>
    <row r="1347" spans="1:8">
      <c r="A1347">
        <v>1</v>
      </c>
      <c r="B1347" t="s">
        <v>30</v>
      </c>
      <c r="C1347">
        <v>2015</v>
      </c>
      <c r="D1347" t="s">
        <v>11</v>
      </c>
      <c r="E1347" t="s">
        <v>115</v>
      </c>
      <c r="F1347" t="s">
        <v>38</v>
      </c>
      <c r="G1347" t="str">
        <f>VLOOKUP(A1347,[1]Kreise!$A$1:$C$53,3,FALSE)</f>
        <v>K031</v>
      </c>
      <c r="H1347">
        <v>2591</v>
      </c>
    </row>
    <row r="1348" spans="1:8">
      <c r="A1348">
        <v>2</v>
      </c>
      <c r="B1348" t="s">
        <v>31</v>
      </c>
      <c r="C1348">
        <v>2015</v>
      </c>
      <c r="D1348" t="s">
        <v>11</v>
      </c>
      <c r="E1348" t="s">
        <v>115</v>
      </c>
      <c r="F1348" t="s">
        <v>38</v>
      </c>
      <c r="G1348" t="str">
        <f>VLOOKUP(A1348,[1]Kreise!$A$1:$C$53,3,FALSE)</f>
        <v>K032</v>
      </c>
      <c r="H1348">
        <v>3205</v>
      </c>
    </row>
    <row r="1349" spans="1:8">
      <c r="A1349">
        <v>3</v>
      </c>
      <c r="B1349" t="s">
        <v>32</v>
      </c>
      <c r="C1349">
        <v>2015</v>
      </c>
      <c r="D1349" t="s">
        <v>11</v>
      </c>
      <c r="E1349" t="s">
        <v>115</v>
      </c>
      <c r="F1349" t="s">
        <v>38</v>
      </c>
      <c r="G1349" t="str">
        <f>VLOOKUP(A1349,[1]Kreise!$A$1:$C$53,3,FALSE)</f>
        <v>K033</v>
      </c>
      <c r="H1349">
        <v>1499</v>
      </c>
    </row>
    <row r="1350" spans="1:8">
      <c r="A1350">
        <v>4</v>
      </c>
      <c r="B1350" t="s">
        <v>33</v>
      </c>
      <c r="C1350">
        <v>2015</v>
      </c>
      <c r="D1350" t="s">
        <v>11</v>
      </c>
      <c r="E1350" t="s">
        <v>115</v>
      </c>
      <c r="F1350" t="s">
        <v>38</v>
      </c>
      <c r="G1350" t="str">
        <f>VLOOKUP(A1350,[1]Kreise!$A$1:$C$53,3,FALSE)</f>
        <v>K034</v>
      </c>
      <c r="H1350">
        <v>2723</v>
      </c>
    </row>
    <row r="1351" spans="1:8">
      <c r="A1351">
        <v>0</v>
      </c>
      <c r="B1351" t="s">
        <v>34</v>
      </c>
      <c r="C1351">
        <v>2015</v>
      </c>
      <c r="D1351" t="s">
        <v>11</v>
      </c>
      <c r="E1351" t="s">
        <v>115</v>
      </c>
      <c r="F1351" t="s">
        <v>38</v>
      </c>
      <c r="G1351" t="str">
        <f>VLOOKUP(A1351,[1]Kreise!$A$1:$C$53,3,FALSE)</f>
        <v>K030</v>
      </c>
      <c r="H1351">
        <v>10018</v>
      </c>
    </row>
    <row r="1352" spans="1:8">
      <c r="A1352">
        <v>1</v>
      </c>
      <c r="B1352" t="s">
        <v>145</v>
      </c>
      <c r="C1352">
        <v>2014</v>
      </c>
      <c r="D1352" t="s">
        <v>11</v>
      </c>
      <c r="E1352" t="s">
        <v>115</v>
      </c>
      <c r="F1352" t="s">
        <v>38</v>
      </c>
      <c r="G1352" t="str">
        <f>VLOOKUP(A1352,[1]Kreise!$A$1:$C$53,3,FALSE)</f>
        <v>K031</v>
      </c>
      <c r="H1352">
        <v>2354</v>
      </c>
    </row>
    <row r="1353" spans="1:8">
      <c r="A1353">
        <v>2</v>
      </c>
      <c r="B1353" t="s">
        <v>146</v>
      </c>
      <c r="C1353">
        <v>2014</v>
      </c>
      <c r="D1353" t="s">
        <v>11</v>
      </c>
      <c r="E1353" t="s">
        <v>115</v>
      </c>
      <c r="F1353" t="s">
        <v>38</v>
      </c>
      <c r="G1353" t="str">
        <f>VLOOKUP(A1353,[1]Kreise!$A$1:$C$53,3,FALSE)</f>
        <v>K032</v>
      </c>
      <c r="H1353">
        <v>3242</v>
      </c>
    </row>
    <row r="1354" spans="1:8">
      <c r="A1354">
        <v>3</v>
      </c>
      <c r="B1354" t="s">
        <v>147</v>
      </c>
      <c r="C1354">
        <v>2014</v>
      </c>
      <c r="D1354" t="s">
        <v>11</v>
      </c>
      <c r="E1354" t="s">
        <v>115</v>
      </c>
      <c r="F1354" t="s">
        <v>38</v>
      </c>
      <c r="G1354" t="str">
        <f>VLOOKUP(A1354,[1]Kreise!$A$1:$C$53,3,FALSE)</f>
        <v>K033</v>
      </c>
      <c r="H1354">
        <v>1084</v>
      </c>
    </row>
    <row r="1355" spans="1:8">
      <c r="A1355">
        <v>4</v>
      </c>
      <c r="B1355" t="s">
        <v>148</v>
      </c>
      <c r="C1355">
        <v>2014</v>
      </c>
      <c r="D1355" t="s">
        <v>11</v>
      </c>
      <c r="E1355" t="s">
        <v>115</v>
      </c>
      <c r="F1355" t="s">
        <v>38</v>
      </c>
      <c r="G1355" t="str">
        <f>VLOOKUP(A1355,[1]Kreise!$A$1:$C$53,3,FALSE)</f>
        <v>K034</v>
      </c>
      <c r="H1355">
        <v>2686</v>
      </c>
    </row>
    <row r="1356" spans="1:8">
      <c r="A1356">
        <v>0</v>
      </c>
      <c r="B1356" t="s">
        <v>34</v>
      </c>
      <c r="C1356">
        <v>2014</v>
      </c>
      <c r="D1356" t="s">
        <v>11</v>
      </c>
      <c r="E1356" t="s">
        <v>115</v>
      </c>
      <c r="F1356" t="s">
        <v>38</v>
      </c>
      <c r="G1356" t="str">
        <f>VLOOKUP(A1356,[1]Kreise!$A$1:$C$53,3,FALSE)</f>
        <v>K030</v>
      </c>
      <c r="H1356">
        <v>9366</v>
      </c>
    </row>
    <row r="1357" spans="1:8">
      <c r="A1357">
        <v>1</v>
      </c>
      <c r="B1357" t="s">
        <v>30</v>
      </c>
      <c r="C1357">
        <v>2013</v>
      </c>
      <c r="D1357" t="s">
        <v>11</v>
      </c>
      <c r="E1357" t="s">
        <v>115</v>
      </c>
      <c r="F1357" t="s">
        <v>38</v>
      </c>
      <c r="G1357" t="str">
        <f>VLOOKUP(A1357,[1]Kreise!$A$1:$C$53,3,FALSE)</f>
        <v>K031</v>
      </c>
      <c r="H1357">
        <v>2461</v>
      </c>
    </row>
    <row r="1358" spans="1:8">
      <c r="A1358">
        <v>2</v>
      </c>
      <c r="B1358" t="s">
        <v>31</v>
      </c>
      <c r="C1358">
        <v>2013</v>
      </c>
      <c r="D1358" t="s">
        <v>11</v>
      </c>
      <c r="E1358" t="s">
        <v>115</v>
      </c>
      <c r="F1358" t="s">
        <v>38</v>
      </c>
      <c r="G1358" t="str">
        <f>VLOOKUP(A1358,[1]Kreise!$A$1:$C$53,3,FALSE)</f>
        <v>K032</v>
      </c>
      <c r="H1358">
        <v>3160</v>
      </c>
    </row>
    <row r="1359" spans="1:8">
      <c r="A1359">
        <v>3</v>
      </c>
      <c r="B1359" t="s">
        <v>32</v>
      </c>
      <c r="C1359">
        <v>2013</v>
      </c>
      <c r="D1359" t="s">
        <v>11</v>
      </c>
      <c r="E1359" t="s">
        <v>115</v>
      </c>
      <c r="F1359" t="s">
        <v>38</v>
      </c>
      <c r="G1359" t="str">
        <f>VLOOKUP(A1359,[1]Kreise!$A$1:$C$53,3,FALSE)</f>
        <v>K033</v>
      </c>
      <c r="H1359">
        <v>811</v>
      </c>
    </row>
    <row r="1360" spans="1:8">
      <c r="A1360">
        <v>4</v>
      </c>
      <c r="B1360" t="s">
        <v>33</v>
      </c>
      <c r="C1360">
        <v>2013</v>
      </c>
      <c r="D1360" t="s">
        <v>11</v>
      </c>
      <c r="E1360" t="s">
        <v>115</v>
      </c>
      <c r="F1360" t="s">
        <v>38</v>
      </c>
      <c r="G1360" t="str">
        <f>VLOOKUP(A1360,[1]Kreise!$A$1:$C$53,3,FALSE)</f>
        <v>K034</v>
      </c>
      <c r="H1360">
        <v>2505</v>
      </c>
    </row>
    <row r="1361" spans="1:8">
      <c r="A1361">
        <v>0</v>
      </c>
      <c r="B1361" t="s">
        <v>34</v>
      </c>
      <c r="C1361">
        <v>2013</v>
      </c>
      <c r="D1361" t="s">
        <v>11</v>
      </c>
      <c r="E1361" t="s">
        <v>115</v>
      </c>
      <c r="F1361" t="s">
        <v>38</v>
      </c>
      <c r="G1361" t="str">
        <f>VLOOKUP(A1361,[1]Kreise!$A$1:$C$53,3,FALSE)</f>
        <v>K030</v>
      </c>
      <c r="H1361">
        <v>8937</v>
      </c>
    </row>
    <row r="1362" spans="1:8">
      <c r="A1362">
        <v>1</v>
      </c>
      <c r="B1362" t="s">
        <v>145</v>
      </c>
      <c r="C1362">
        <v>2012</v>
      </c>
      <c r="D1362" t="s">
        <v>11</v>
      </c>
      <c r="E1362" t="s">
        <v>115</v>
      </c>
      <c r="F1362" t="s">
        <v>38</v>
      </c>
      <c r="G1362" t="str">
        <f>VLOOKUP(A1362,[1]Kreise!$A$1:$C$53,3,FALSE)</f>
        <v>K031</v>
      </c>
      <c r="H1362">
        <v>1668</v>
      </c>
    </row>
    <row r="1363" spans="1:8">
      <c r="A1363">
        <v>2</v>
      </c>
      <c r="B1363" t="s">
        <v>146</v>
      </c>
      <c r="C1363">
        <v>2012</v>
      </c>
      <c r="D1363" t="s">
        <v>11</v>
      </c>
      <c r="E1363" t="s">
        <v>115</v>
      </c>
      <c r="F1363" t="s">
        <v>38</v>
      </c>
      <c r="G1363" t="str">
        <f>VLOOKUP(A1363,[1]Kreise!$A$1:$C$53,3,FALSE)</f>
        <v>K032</v>
      </c>
      <c r="H1363">
        <v>2629</v>
      </c>
    </row>
    <row r="1364" spans="1:8">
      <c r="A1364">
        <v>3</v>
      </c>
      <c r="B1364" t="s">
        <v>147</v>
      </c>
      <c r="C1364">
        <v>2012</v>
      </c>
      <c r="D1364" t="s">
        <v>11</v>
      </c>
      <c r="E1364" t="s">
        <v>115</v>
      </c>
      <c r="F1364" t="s">
        <v>38</v>
      </c>
      <c r="G1364" t="str">
        <f>VLOOKUP(A1364,[1]Kreise!$A$1:$C$53,3,FALSE)</f>
        <v>K033</v>
      </c>
      <c r="H1364">
        <v>540</v>
      </c>
    </row>
    <row r="1365" spans="1:8">
      <c r="A1365">
        <v>4</v>
      </c>
      <c r="B1365" t="s">
        <v>148</v>
      </c>
      <c r="C1365">
        <v>2012</v>
      </c>
      <c r="D1365" t="s">
        <v>11</v>
      </c>
      <c r="E1365" t="s">
        <v>115</v>
      </c>
      <c r="F1365" t="s">
        <v>38</v>
      </c>
      <c r="G1365" t="str">
        <f>VLOOKUP(A1365,[1]Kreise!$A$1:$C$53,3,FALSE)</f>
        <v>K034</v>
      </c>
      <c r="H1365">
        <v>1762</v>
      </c>
    </row>
    <row r="1366" spans="1:8">
      <c r="A1366">
        <v>0</v>
      </c>
      <c r="B1366" t="s">
        <v>34</v>
      </c>
      <c r="C1366">
        <v>2012</v>
      </c>
      <c r="D1366" t="s">
        <v>11</v>
      </c>
      <c r="E1366" t="s">
        <v>115</v>
      </c>
      <c r="F1366" t="s">
        <v>38</v>
      </c>
      <c r="G1366" t="str">
        <f>VLOOKUP(A1366,[1]Kreise!$A$1:$C$53,3,FALSE)</f>
        <v>K030</v>
      </c>
      <c r="H1366">
        <v>6599</v>
      </c>
    </row>
    <row r="1367" spans="1:8">
      <c r="A1367">
        <v>1</v>
      </c>
      <c r="B1367" t="s">
        <v>30</v>
      </c>
      <c r="C1367">
        <v>2011</v>
      </c>
      <c r="D1367" t="s">
        <v>11</v>
      </c>
      <c r="E1367" t="s">
        <v>115</v>
      </c>
      <c r="F1367" t="s">
        <v>38</v>
      </c>
      <c r="G1367" t="str">
        <f>VLOOKUP(A1367,[1]Kreise!$A$1:$C$53,3,FALSE)</f>
        <v>K031</v>
      </c>
      <c r="H1367">
        <v>1205</v>
      </c>
    </row>
    <row r="1368" spans="1:8">
      <c r="A1368">
        <v>2</v>
      </c>
      <c r="B1368" t="s">
        <v>31</v>
      </c>
      <c r="C1368">
        <v>2011</v>
      </c>
      <c r="D1368" t="s">
        <v>11</v>
      </c>
      <c r="E1368" t="s">
        <v>115</v>
      </c>
      <c r="F1368" t="s">
        <v>38</v>
      </c>
      <c r="G1368" t="str">
        <f>VLOOKUP(A1368,[1]Kreise!$A$1:$C$53,3,FALSE)</f>
        <v>K032</v>
      </c>
      <c r="H1368">
        <v>1658</v>
      </c>
    </row>
    <row r="1369" spans="1:8">
      <c r="A1369">
        <v>3</v>
      </c>
      <c r="B1369" t="s">
        <v>32</v>
      </c>
      <c r="C1369">
        <v>2011</v>
      </c>
      <c r="D1369" t="s">
        <v>11</v>
      </c>
      <c r="E1369" t="s">
        <v>115</v>
      </c>
      <c r="F1369" t="s">
        <v>38</v>
      </c>
      <c r="G1369" t="str">
        <f>VLOOKUP(A1369,[1]Kreise!$A$1:$C$53,3,FALSE)</f>
        <v>K033</v>
      </c>
      <c r="H1369">
        <v>383</v>
      </c>
    </row>
    <row r="1370" spans="1:8">
      <c r="A1370">
        <v>4</v>
      </c>
      <c r="B1370" t="s">
        <v>33</v>
      </c>
      <c r="C1370">
        <v>2011</v>
      </c>
      <c r="D1370" t="s">
        <v>11</v>
      </c>
      <c r="E1370" t="s">
        <v>115</v>
      </c>
      <c r="F1370" t="s">
        <v>38</v>
      </c>
      <c r="G1370" t="str">
        <f>VLOOKUP(A1370,[1]Kreise!$A$1:$C$53,3,FALSE)</f>
        <v>K034</v>
      </c>
      <c r="H1370">
        <v>1435</v>
      </c>
    </row>
    <row r="1371" spans="1:8">
      <c r="A1371">
        <v>0</v>
      </c>
      <c r="B1371" t="s">
        <v>34</v>
      </c>
      <c r="C1371">
        <v>2011</v>
      </c>
      <c r="D1371" t="s">
        <v>11</v>
      </c>
      <c r="E1371" t="s">
        <v>115</v>
      </c>
      <c r="F1371" t="s">
        <v>38</v>
      </c>
      <c r="G1371" t="str">
        <f>VLOOKUP(A1371,[1]Kreise!$A$1:$C$53,3,FALSE)</f>
        <v>K030</v>
      </c>
      <c r="H1371">
        <v>4681</v>
      </c>
    </row>
    <row r="1372" spans="1:8">
      <c r="A1372">
        <v>1</v>
      </c>
      <c r="B1372" t="s">
        <v>145</v>
      </c>
      <c r="C1372">
        <v>2010</v>
      </c>
      <c r="D1372" t="s">
        <v>11</v>
      </c>
      <c r="E1372" t="s">
        <v>115</v>
      </c>
      <c r="F1372" t="s">
        <v>38</v>
      </c>
      <c r="G1372" t="str">
        <f>VLOOKUP(A1372,[1]Kreise!$A$1:$C$53,3,FALSE)</f>
        <v>K031</v>
      </c>
      <c r="H1372">
        <v>1185</v>
      </c>
    </row>
    <row r="1373" spans="1:8">
      <c r="A1373">
        <v>2</v>
      </c>
      <c r="B1373" t="s">
        <v>146</v>
      </c>
      <c r="C1373">
        <v>2010</v>
      </c>
      <c r="D1373" t="s">
        <v>11</v>
      </c>
      <c r="E1373" t="s">
        <v>115</v>
      </c>
      <c r="F1373" t="s">
        <v>38</v>
      </c>
      <c r="G1373" t="str">
        <f>VLOOKUP(A1373,[1]Kreise!$A$1:$C$53,3,FALSE)</f>
        <v>K032</v>
      </c>
      <c r="H1373">
        <v>1643</v>
      </c>
    </row>
    <row r="1374" spans="1:8">
      <c r="A1374">
        <v>3</v>
      </c>
      <c r="B1374" t="s">
        <v>147</v>
      </c>
      <c r="C1374">
        <v>2010</v>
      </c>
      <c r="D1374" t="s">
        <v>11</v>
      </c>
      <c r="E1374" t="s">
        <v>115</v>
      </c>
      <c r="F1374" t="s">
        <v>38</v>
      </c>
      <c r="G1374" t="str">
        <f>VLOOKUP(A1374,[1]Kreise!$A$1:$C$53,3,FALSE)</f>
        <v>K033</v>
      </c>
      <c r="H1374">
        <v>349</v>
      </c>
    </row>
    <row r="1375" spans="1:8">
      <c r="A1375">
        <v>4</v>
      </c>
      <c r="B1375" t="s">
        <v>148</v>
      </c>
      <c r="C1375">
        <v>2010</v>
      </c>
      <c r="D1375" t="s">
        <v>11</v>
      </c>
      <c r="E1375" t="s">
        <v>115</v>
      </c>
      <c r="F1375" t="s">
        <v>38</v>
      </c>
      <c r="G1375" t="str">
        <f>VLOOKUP(A1375,[1]Kreise!$A$1:$C$53,3,FALSE)</f>
        <v>K034</v>
      </c>
      <c r="H1375">
        <v>1315</v>
      </c>
    </row>
    <row r="1376" spans="1:8">
      <c r="A1376">
        <v>0</v>
      </c>
      <c r="B1376" t="s">
        <v>34</v>
      </c>
      <c r="C1376">
        <v>2010</v>
      </c>
      <c r="D1376" t="s">
        <v>11</v>
      </c>
      <c r="E1376" t="s">
        <v>115</v>
      </c>
      <c r="F1376" t="s">
        <v>38</v>
      </c>
      <c r="G1376" t="str">
        <f>VLOOKUP(A1376,[1]Kreise!$A$1:$C$53,3,FALSE)</f>
        <v>K030</v>
      </c>
      <c r="H1376">
        <v>4492</v>
      </c>
    </row>
    <row r="1377" spans="1:8">
      <c r="A1377">
        <v>1</v>
      </c>
      <c r="B1377" t="s">
        <v>145</v>
      </c>
      <c r="C1377">
        <v>2005</v>
      </c>
      <c r="D1377" t="s">
        <v>11</v>
      </c>
      <c r="E1377" t="s">
        <v>115</v>
      </c>
      <c r="F1377" t="s">
        <v>38</v>
      </c>
      <c r="G1377" t="str">
        <f>VLOOKUP(A1377,[1]Kreise!$A$1:$C$53,3,FALSE)</f>
        <v>K031</v>
      </c>
      <c r="H1377">
        <v>1045</v>
      </c>
    </row>
    <row r="1378" spans="1:8">
      <c r="A1378">
        <v>2</v>
      </c>
      <c r="B1378" t="s">
        <v>146</v>
      </c>
      <c r="C1378">
        <v>2005</v>
      </c>
      <c r="D1378" t="s">
        <v>11</v>
      </c>
      <c r="E1378" t="s">
        <v>115</v>
      </c>
      <c r="F1378" t="s">
        <v>38</v>
      </c>
      <c r="G1378" t="str">
        <f>VLOOKUP(A1378,[1]Kreise!$A$1:$C$53,3,FALSE)</f>
        <v>K032</v>
      </c>
      <c r="H1378">
        <v>1511</v>
      </c>
    </row>
    <row r="1379" spans="1:8">
      <c r="A1379">
        <v>3</v>
      </c>
      <c r="B1379" t="s">
        <v>147</v>
      </c>
      <c r="C1379">
        <v>2005</v>
      </c>
      <c r="D1379" t="s">
        <v>11</v>
      </c>
      <c r="E1379" t="s">
        <v>115</v>
      </c>
      <c r="F1379" t="s">
        <v>38</v>
      </c>
      <c r="G1379" t="str">
        <f>VLOOKUP(A1379,[1]Kreise!$A$1:$C$53,3,FALSE)</f>
        <v>K033</v>
      </c>
      <c r="H1379">
        <v>316</v>
      </c>
    </row>
    <row r="1380" spans="1:8">
      <c r="A1380">
        <v>4</v>
      </c>
      <c r="B1380" t="s">
        <v>148</v>
      </c>
      <c r="C1380">
        <v>2005</v>
      </c>
      <c r="D1380" t="s">
        <v>11</v>
      </c>
      <c r="E1380" t="s">
        <v>115</v>
      </c>
      <c r="F1380" t="s">
        <v>38</v>
      </c>
      <c r="G1380" t="str">
        <f>VLOOKUP(A1380,[1]Kreise!$A$1:$C$53,3,FALSE)</f>
        <v>K034</v>
      </c>
      <c r="H1380">
        <v>1222</v>
      </c>
    </row>
    <row r="1381" spans="1:8">
      <c r="A1381">
        <v>0</v>
      </c>
      <c r="B1381" t="s">
        <v>34</v>
      </c>
      <c r="C1381">
        <v>2005</v>
      </c>
      <c r="D1381" t="s">
        <v>11</v>
      </c>
      <c r="E1381" t="s">
        <v>115</v>
      </c>
      <c r="F1381" t="s">
        <v>38</v>
      </c>
      <c r="G1381" t="str">
        <f>VLOOKUP(A1381,[1]Kreise!$A$1:$C$53,3,FALSE)</f>
        <v>K030</v>
      </c>
      <c r="H1381">
        <v>4094</v>
      </c>
    </row>
    <row r="1382" spans="1:8">
      <c r="A1382">
        <v>1</v>
      </c>
      <c r="B1382" t="s">
        <v>30</v>
      </c>
      <c r="C1382">
        <v>2020</v>
      </c>
      <c r="D1382" t="s">
        <v>12</v>
      </c>
      <c r="E1382" t="s">
        <v>115</v>
      </c>
      <c r="F1382" t="s">
        <v>38</v>
      </c>
      <c r="G1382" t="str">
        <f>VLOOKUP(A1382,[1]Kreise!$A$1:$C$53,3,FALSE)</f>
        <v>K031</v>
      </c>
      <c r="H1382">
        <v>263</v>
      </c>
    </row>
    <row r="1383" spans="1:8">
      <c r="A1383">
        <v>2</v>
      </c>
      <c r="B1383" t="s">
        <v>31</v>
      </c>
      <c r="C1383">
        <v>2020</v>
      </c>
      <c r="D1383" t="s">
        <v>12</v>
      </c>
      <c r="E1383" t="s">
        <v>115</v>
      </c>
      <c r="F1383" t="s">
        <v>38</v>
      </c>
      <c r="G1383" t="str">
        <f>VLOOKUP(A1383,[1]Kreise!$A$1:$C$53,3,FALSE)</f>
        <v>K032</v>
      </c>
      <c r="H1383">
        <v>636</v>
      </c>
    </row>
    <row r="1384" spans="1:8">
      <c r="A1384">
        <v>3</v>
      </c>
      <c r="B1384" t="s">
        <v>32</v>
      </c>
      <c r="C1384">
        <v>2020</v>
      </c>
      <c r="D1384" t="s">
        <v>12</v>
      </c>
      <c r="E1384" t="s">
        <v>115</v>
      </c>
      <c r="F1384" t="s">
        <v>38</v>
      </c>
      <c r="G1384" t="str">
        <f>VLOOKUP(A1384,[1]Kreise!$A$1:$C$53,3,FALSE)</f>
        <v>K033</v>
      </c>
      <c r="H1384">
        <v>167</v>
      </c>
    </row>
    <row r="1385" spans="1:8">
      <c r="A1385">
        <v>4</v>
      </c>
      <c r="B1385" t="s">
        <v>33</v>
      </c>
      <c r="C1385">
        <v>2020</v>
      </c>
      <c r="D1385" t="s">
        <v>12</v>
      </c>
      <c r="E1385" t="s">
        <v>115</v>
      </c>
      <c r="F1385" t="s">
        <v>38</v>
      </c>
      <c r="G1385" t="str">
        <f>VLOOKUP(A1385,[1]Kreise!$A$1:$C$53,3,FALSE)</f>
        <v>K034</v>
      </c>
      <c r="H1385">
        <v>220</v>
      </c>
    </row>
    <row r="1386" spans="1:8">
      <c r="A1386">
        <v>0</v>
      </c>
      <c r="B1386" t="s">
        <v>34</v>
      </c>
      <c r="C1386">
        <v>2020</v>
      </c>
      <c r="D1386" t="s">
        <v>12</v>
      </c>
      <c r="E1386" t="s">
        <v>115</v>
      </c>
      <c r="F1386" t="s">
        <v>38</v>
      </c>
      <c r="G1386" t="str">
        <f>VLOOKUP(A1386,[1]Kreise!$A$1:$C$53,3,FALSE)</f>
        <v>K030</v>
      </c>
      <c r="H1386">
        <v>1286</v>
      </c>
    </row>
    <row r="1387" spans="1:8">
      <c r="A1387">
        <v>1</v>
      </c>
      <c r="B1387" t="s">
        <v>30</v>
      </c>
      <c r="C1387">
        <v>2019</v>
      </c>
      <c r="D1387" t="s">
        <v>12</v>
      </c>
      <c r="E1387" t="s">
        <v>115</v>
      </c>
      <c r="F1387" t="s">
        <v>38</v>
      </c>
      <c r="G1387" t="str">
        <f>VLOOKUP(A1387,[1]Kreise!$A$1:$C$53,3,FALSE)</f>
        <v>K031</v>
      </c>
      <c r="H1387">
        <v>214</v>
      </c>
    </row>
    <row r="1388" spans="1:8">
      <c r="A1388">
        <v>2</v>
      </c>
      <c r="B1388" t="s">
        <v>31</v>
      </c>
      <c r="C1388">
        <v>2019</v>
      </c>
      <c r="D1388" t="s">
        <v>12</v>
      </c>
      <c r="E1388" t="s">
        <v>115</v>
      </c>
      <c r="F1388" t="s">
        <v>38</v>
      </c>
      <c r="G1388" t="str">
        <f>VLOOKUP(A1388,[1]Kreise!$A$1:$C$53,3,FALSE)</f>
        <v>K032</v>
      </c>
      <c r="H1388">
        <v>536</v>
      </c>
    </row>
    <row r="1389" spans="1:8">
      <c r="A1389">
        <v>3</v>
      </c>
      <c r="B1389" t="s">
        <v>32</v>
      </c>
      <c r="C1389">
        <v>2019</v>
      </c>
      <c r="D1389" t="s">
        <v>12</v>
      </c>
      <c r="E1389" t="s">
        <v>115</v>
      </c>
      <c r="F1389" t="s">
        <v>38</v>
      </c>
      <c r="G1389" t="str">
        <f>VLOOKUP(A1389,[1]Kreise!$A$1:$C$53,3,FALSE)</f>
        <v>K033</v>
      </c>
      <c r="H1389">
        <v>129</v>
      </c>
    </row>
    <row r="1390" spans="1:8">
      <c r="A1390">
        <v>4</v>
      </c>
      <c r="B1390" t="s">
        <v>33</v>
      </c>
      <c r="C1390">
        <v>2019</v>
      </c>
      <c r="D1390" t="s">
        <v>12</v>
      </c>
      <c r="E1390" t="s">
        <v>115</v>
      </c>
      <c r="F1390" t="s">
        <v>38</v>
      </c>
      <c r="G1390" t="str">
        <f>VLOOKUP(A1390,[1]Kreise!$A$1:$C$53,3,FALSE)</f>
        <v>K034</v>
      </c>
      <c r="H1390">
        <v>189</v>
      </c>
    </row>
    <row r="1391" spans="1:8">
      <c r="A1391">
        <v>0</v>
      </c>
      <c r="B1391" t="s">
        <v>34</v>
      </c>
      <c r="C1391">
        <v>2019</v>
      </c>
      <c r="D1391" t="s">
        <v>12</v>
      </c>
      <c r="E1391" t="s">
        <v>115</v>
      </c>
      <c r="F1391" t="s">
        <v>38</v>
      </c>
      <c r="G1391" t="str">
        <f>VLOOKUP(A1391,[1]Kreise!$A$1:$C$53,3,FALSE)</f>
        <v>K030</v>
      </c>
      <c r="H1391">
        <v>1068</v>
      </c>
    </row>
    <row r="1392" spans="1:8">
      <c r="A1392">
        <v>1</v>
      </c>
      <c r="B1392" t="s">
        <v>30</v>
      </c>
      <c r="C1392">
        <v>2018</v>
      </c>
      <c r="D1392" t="s">
        <v>12</v>
      </c>
      <c r="E1392" t="s">
        <v>115</v>
      </c>
      <c r="F1392" t="s">
        <v>38</v>
      </c>
      <c r="G1392" t="str">
        <f>VLOOKUP(A1392,[1]Kreise!$A$1:$C$53,3,FALSE)</f>
        <v>K031</v>
      </c>
      <c r="H1392">
        <v>216</v>
      </c>
    </row>
    <row r="1393" spans="1:8">
      <c r="A1393">
        <v>2</v>
      </c>
      <c r="B1393" t="s">
        <v>31</v>
      </c>
      <c r="C1393">
        <v>2018</v>
      </c>
      <c r="D1393" t="s">
        <v>12</v>
      </c>
      <c r="E1393" t="s">
        <v>115</v>
      </c>
      <c r="F1393" t="s">
        <v>38</v>
      </c>
      <c r="G1393" t="str">
        <f>VLOOKUP(A1393,[1]Kreise!$A$1:$C$53,3,FALSE)</f>
        <v>K032</v>
      </c>
      <c r="H1393">
        <v>435</v>
      </c>
    </row>
    <row r="1394" spans="1:8">
      <c r="A1394">
        <v>3</v>
      </c>
      <c r="B1394" t="s">
        <v>32</v>
      </c>
      <c r="C1394">
        <v>2018</v>
      </c>
      <c r="D1394" t="s">
        <v>12</v>
      </c>
      <c r="E1394" t="s">
        <v>115</v>
      </c>
      <c r="F1394" t="s">
        <v>38</v>
      </c>
      <c r="G1394" t="str">
        <f>VLOOKUP(A1394,[1]Kreise!$A$1:$C$53,3,FALSE)</f>
        <v>K033</v>
      </c>
      <c r="H1394">
        <v>123</v>
      </c>
    </row>
    <row r="1395" spans="1:8">
      <c r="A1395">
        <v>4</v>
      </c>
      <c r="B1395" t="s">
        <v>33</v>
      </c>
      <c r="C1395">
        <v>2018</v>
      </c>
      <c r="D1395" t="s">
        <v>12</v>
      </c>
      <c r="E1395" t="s">
        <v>115</v>
      </c>
      <c r="F1395" t="s">
        <v>38</v>
      </c>
      <c r="G1395" t="str">
        <f>VLOOKUP(A1395,[1]Kreise!$A$1:$C$53,3,FALSE)</f>
        <v>K034</v>
      </c>
      <c r="H1395">
        <v>167</v>
      </c>
    </row>
    <row r="1396" spans="1:8">
      <c r="A1396">
        <v>0</v>
      </c>
      <c r="B1396" t="s">
        <v>34</v>
      </c>
      <c r="C1396">
        <v>2018</v>
      </c>
      <c r="D1396" t="s">
        <v>12</v>
      </c>
      <c r="E1396" t="s">
        <v>115</v>
      </c>
      <c r="F1396" t="s">
        <v>38</v>
      </c>
      <c r="G1396" t="str">
        <f>VLOOKUP(A1396,[1]Kreise!$A$1:$C$53,3,FALSE)</f>
        <v>K030</v>
      </c>
      <c r="H1396">
        <v>941</v>
      </c>
    </row>
    <row r="1397" spans="1:8">
      <c r="A1397">
        <v>1</v>
      </c>
      <c r="B1397" t="s">
        <v>30</v>
      </c>
      <c r="C1397">
        <v>2017</v>
      </c>
      <c r="D1397" t="s">
        <v>12</v>
      </c>
      <c r="E1397" t="s">
        <v>115</v>
      </c>
      <c r="F1397" t="s">
        <v>38</v>
      </c>
      <c r="G1397" t="str">
        <f>VLOOKUP(A1397,[1]Kreise!$A$1:$C$53,3,FALSE)</f>
        <v>K031</v>
      </c>
      <c r="H1397">
        <v>157</v>
      </c>
    </row>
    <row r="1398" spans="1:8">
      <c r="A1398">
        <v>2</v>
      </c>
      <c r="B1398" t="s">
        <v>31</v>
      </c>
      <c r="C1398">
        <v>2017</v>
      </c>
      <c r="D1398" t="s">
        <v>12</v>
      </c>
      <c r="E1398" t="s">
        <v>115</v>
      </c>
      <c r="F1398" t="s">
        <v>38</v>
      </c>
      <c r="G1398" t="str">
        <f>VLOOKUP(A1398,[1]Kreise!$A$1:$C$53,3,FALSE)</f>
        <v>K032</v>
      </c>
      <c r="H1398">
        <v>385</v>
      </c>
    </row>
    <row r="1399" spans="1:8">
      <c r="A1399">
        <v>3</v>
      </c>
      <c r="B1399" t="s">
        <v>32</v>
      </c>
      <c r="C1399">
        <v>2017</v>
      </c>
      <c r="D1399" t="s">
        <v>12</v>
      </c>
      <c r="E1399" t="s">
        <v>115</v>
      </c>
      <c r="F1399" t="s">
        <v>38</v>
      </c>
      <c r="G1399" t="str">
        <f>VLOOKUP(A1399,[1]Kreise!$A$1:$C$53,3,FALSE)</f>
        <v>K033</v>
      </c>
      <c r="H1399">
        <v>89</v>
      </c>
    </row>
    <row r="1400" spans="1:8">
      <c r="A1400">
        <v>4</v>
      </c>
      <c r="B1400" t="s">
        <v>33</v>
      </c>
      <c r="C1400">
        <v>2017</v>
      </c>
      <c r="D1400" t="s">
        <v>12</v>
      </c>
      <c r="E1400" t="s">
        <v>115</v>
      </c>
      <c r="F1400" t="s">
        <v>38</v>
      </c>
      <c r="G1400" t="str">
        <f>VLOOKUP(A1400,[1]Kreise!$A$1:$C$53,3,FALSE)</f>
        <v>K034</v>
      </c>
      <c r="H1400">
        <v>125</v>
      </c>
    </row>
    <row r="1401" spans="1:8">
      <c r="A1401">
        <v>0</v>
      </c>
      <c r="B1401" t="s">
        <v>34</v>
      </c>
      <c r="C1401">
        <v>2017</v>
      </c>
      <c r="D1401" t="s">
        <v>12</v>
      </c>
      <c r="E1401" t="s">
        <v>115</v>
      </c>
      <c r="F1401" t="s">
        <v>38</v>
      </c>
      <c r="G1401" t="str">
        <f>VLOOKUP(A1401,[1]Kreise!$A$1:$C$53,3,FALSE)</f>
        <v>K030</v>
      </c>
      <c r="H1401">
        <v>756</v>
      </c>
    </row>
    <row r="1402" spans="1:8">
      <c r="A1402">
        <v>1</v>
      </c>
      <c r="B1402" t="s">
        <v>30</v>
      </c>
      <c r="C1402">
        <v>2016</v>
      </c>
      <c r="D1402" t="s">
        <v>12</v>
      </c>
      <c r="E1402" t="s">
        <v>115</v>
      </c>
      <c r="F1402" t="s">
        <v>38</v>
      </c>
      <c r="G1402" t="str">
        <f>VLOOKUP(A1402,[1]Kreise!$A$1:$C$53,3,FALSE)</f>
        <v>K031</v>
      </c>
      <c r="H1402">
        <v>107</v>
      </c>
    </row>
    <row r="1403" spans="1:8">
      <c r="A1403">
        <v>2</v>
      </c>
      <c r="B1403" t="s">
        <v>31</v>
      </c>
      <c r="C1403">
        <v>2016</v>
      </c>
      <c r="D1403" t="s">
        <v>12</v>
      </c>
      <c r="E1403" t="s">
        <v>115</v>
      </c>
      <c r="F1403" t="s">
        <v>38</v>
      </c>
      <c r="G1403" t="str">
        <f>VLOOKUP(A1403,[1]Kreise!$A$1:$C$53,3,FALSE)</f>
        <v>K032</v>
      </c>
      <c r="H1403">
        <v>281</v>
      </c>
    </row>
    <row r="1404" spans="1:8">
      <c r="A1404">
        <v>3</v>
      </c>
      <c r="B1404" t="s">
        <v>32</v>
      </c>
      <c r="C1404">
        <v>2016</v>
      </c>
      <c r="D1404" t="s">
        <v>12</v>
      </c>
      <c r="E1404" t="s">
        <v>115</v>
      </c>
      <c r="F1404" t="s">
        <v>38</v>
      </c>
      <c r="G1404" t="str">
        <f>VLOOKUP(A1404,[1]Kreise!$A$1:$C$53,3,FALSE)</f>
        <v>K033</v>
      </c>
      <c r="H1404">
        <v>45</v>
      </c>
    </row>
    <row r="1405" spans="1:8">
      <c r="A1405">
        <v>4</v>
      </c>
      <c r="B1405" t="s">
        <v>33</v>
      </c>
      <c r="C1405">
        <v>2016</v>
      </c>
      <c r="D1405" t="s">
        <v>12</v>
      </c>
      <c r="E1405" t="s">
        <v>115</v>
      </c>
      <c r="F1405" t="s">
        <v>38</v>
      </c>
      <c r="G1405" t="str">
        <f>VLOOKUP(A1405,[1]Kreise!$A$1:$C$53,3,FALSE)</f>
        <v>K034</v>
      </c>
      <c r="H1405">
        <v>114</v>
      </c>
    </row>
    <row r="1406" spans="1:8">
      <c r="A1406">
        <v>0</v>
      </c>
      <c r="B1406" t="s">
        <v>34</v>
      </c>
      <c r="C1406">
        <v>2016</v>
      </c>
      <c r="D1406" t="s">
        <v>12</v>
      </c>
      <c r="E1406" t="s">
        <v>115</v>
      </c>
      <c r="F1406" t="s">
        <v>38</v>
      </c>
      <c r="G1406" t="str">
        <f>VLOOKUP(A1406,[1]Kreise!$A$1:$C$53,3,FALSE)</f>
        <v>K030</v>
      </c>
      <c r="H1406">
        <v>547</v>
      </c>
    </row>
    <row r="1407" spans="1:8">
      <c r="A1407">
        <v>1</v>
      </c>
      <c r="B1407" t="s">
        <v>30</v>
      </c>
      <c r="C1407">
        <v>2015</v>
      </c>
      <c r="D1407" t="s">
        <v>12</v>
      </c>
      <c r="E1407" t="s">
        <v>115</v>
      </c>
      <c r="F1407" t="s">
        <v>38</v>
      </c>
      <c r="G1407" t="str">
        <f>VLOOKUP(A1407,[1]Kreise!$A$1:$C$53,3,FALSE)</f>
        <v>K031</v>
      </c>
      <c r="H1407">
        <v>118</v>
      </c>
    </row>
    <row r="1408" spans="1:8">
      <c r="A1408">
        <v>2</v>
      </c>
      <c r="B1408" t="s">
        <v>31</v>
      </c>
      <c r="C1408">
        <v>2015</v>
      </c>
      <c r="D1408" t="s">
        <v>12</v>
      </c>
      <c r="E1408" t="s">
        <v>115</v>
      </c>
      <c r="F1408" t="s">
        <v>38</v>
      </c>
      <c r="G1408" t="str">
        <f>VLOOKUP(A1408,[1]Kreise!$A$1:$C$53,3,FALSE)</f>
        <v>K032</v>
      </c>
      <c r="H1408">
        <v>291</v>
      </c>
    </row>
    <row r="1409" spans="1:8">
      <c r="A1409">
        <v>3</v>
      </c>
      <c r="B1409" t="s">
        <v>32</v>
      </c>
      <c r="C1409">
        <v>2015</v>
      </c>
      <c r="D1409" t="s">
        <v>12</v>
      </c>
      <c r="E1409" t="s">
        <v>115</v>
      </c>
      <c r="F1409" t="s">
        <v>38</v>
      </c>
      <c r="G1409" t="str">
        <f>VLOOKUP(A1409,[1]Kreise!$A$1:$C$53,3,FALSE)</f>
        <v>K033</v>
      </c>
      <c r="H1409">
        <v>45</v>
      </c>
    </row>
    <row r="1410" spans="1:8">
      <c r="A1410">
        <v>4</v>
      </c>
      <c r="B1410" t="s">
        <v>33</v>
      </c>
      <c r="C1410">
        <v>2015</v>
      </c>
      <c r="D1410" t="s">
        <v>12</v>
      </c>
      <c r="E1410" t="s">
        <v>115</v>
      </c>
      <c r="F1410" t="s">
        <v>38</v>
      </c>
      <c r="G1410" t="str">
        <f>VLOOKUP(A1410,[1]Kreise!$A$1:$C$53,3,FALSE)</f>
        <v>K034</v>
      </c>
      <c r="H1410">
        <v>75</v>
      </c>
    </row>
    <row r="1411" spans="1:8">
      <c r="A1411">
        <v>0</v>
      </c>
      <c r="B1411" t="s">
        <v>34</v>
      </c>
      <c r="C1411">
        <v>2015</v>
      </c>
      <c r="D1411" t="s">
        <v>12</v>
      </c>
      <c r="E1411" t="s">
        <v>115</v>
      </c>
      <c r="F1411" t="s">
        <v>38</v>
      </c>
      <c r="G1411" t="str">
        <f>VLOOKUP(A1411,[1]Kreise!$A$1:$C$53,3,FALSE)</f>
        <v>K030</v>
      </c>
      <c r="H1411">
        <v>529</v>
      </c>
    </row>
    <row r="1412" spans="1:8">
      <c r="A1412">
        <v>1</v>
      </c>
      <c r="B1412" t="s">
        <v>145</v>
      </c>
      <c r="C1412">
        <v>2014</v>
      </c>
      <c r="D1412" t="s">
        <v>12</v>
      </c>
      <c r="E1412" t="s">
        <v>115</v>
      </c>
      <c r="F1412" t="s">
        <v>38</v>
      </c>
      <c r="G1412" t="str">
        <f>VLOOKUP(A1412,[1]Kreise!$A$1:$C$53,3,FALSE)</f>
        <v>K031</v>
      </c>
      <c r="H1412">
        <v>91</v>
      </c>
    </row>
    <row r="1413" spans="1:8">
      <c r="A1413">
        <v>2</v>
      </c>
      <c r="B1413" t="s">
        <v>146</v>
      </c>
      <c r="C1413">
        <v>2014</v>
      </c>
      <c r="D1413" t="s">
        <v>12</v>
      </c>
      <c r="E1413" t="s">
        <v>115</v>
      </c>
      <c r="F1413" t="s">
        <v>38</v>
      </c>
      <c r="G1413" t="str">
        <f>VLOOKUP(A1413,[1]Kreise!$A$1:$C$53,3,FALSE)</f>
        <v>K032</v>
      </c>
      <c r="H1413">
        <v>258</v>
      </c>
    </row>
    <row r="1414" spans="1:8">
      <c r="A1414">
        <v>3</v>
      </c>
      <c r="B1414" t="s">
        <v>147</v>
      </c>
      <c r="C1414">
        <v>2014</v>
      </c>
      <c r="D1414" t="s">
        <v>12</v>
      </c>
      <c r="E1414" t="s">
        <v>115</v>
      </c>
      <c r="F1414" t="s">
        <v>38</v>
      </c>
      <c r="G1414" t="str">
        <f>VLOOKUP(A1414,[1]Kreise!$A$1:$C$53,3,FALSE)</f>
        <v>K033</v>
      </c>
      <c r="H1414">
        <v>34</v>
      </c>
    </row>
    <row r="1415" spans="1:8">
      <c r="A1415">
        <v>4</v>
      </c>
      <c r="B1415" t="s">
        <v>148</v>
      </c>
      <c r="C1415">
        <v>2014</v>
      </c>
      <c r="D1415" t="s">
        <v>12</v>
      </c>
      <c r="E1415" t="s">
        <v>115</v>
      </c>
      <c r="F1415" t="s">
        <v>38</v>
      </c>
      <c r="G1415" t="str">
        <f>VLOOKUP(A1415,[1]Kreise!$A$1:$C$53,3,FALSE)</f>
        <v>K034</v>
      </c>
      <c r="H1415">
        <v>67</v>
      </c>
    </row>
    <row r="1416" spans="1:8">
      <c r="A1416">
        <v>0</v>
      </c>
      <c r="B1416" t="s">
        <v>34</v>
      </c>
      <c r="C1416">
        <v>2014</v>
      </c>
      <c r="D1416" t="s">
        <v>12</v>
      </c>
      <c r="E1416" t="s">
        <v>115</v>
      </c>
      <c r="F1416" t="s">
        <v>38</v>
      </c>
      <c r="G1416" t="str">
        <f>VLOOKUP(A1416,[1]Kreise!$A$1:$C$53,3,FALSE)</f>
        <v>K030</v>
      </c>
      <c r="H1416">
        <v>450</v>
      </c>
    </row>
    <row r="1417" spans="1:8">
      <c r="A1417">
        <v>1</v>
      </c>
      <c r="B1417" t="s">
        <v>30</v>
      </c>
      <c r="C1417">
        <v>2013</v>
      </c>
      <c r="D1417" t="s">
        <v>12</v>
      </c>
      <c r="E1417" t="s">
        <v>115</v>
      </c>
      <c r="F1417" t="s">
        <v>38</v>
      </c>
      <c r="G1417" t="str">
        <f>VLOOKUP(A1417,[1]Kreise!$A$1:$C$53,3,FALSE)</f>
        <v>K031</v>
      </c>
      <c r="H1417">
        <v>80</v>
      </c>
    </row>
    <row r="1418" spans="1:8">
      <c r="A1418">
        <v>2</v>
      </c>
      <c r="B1418" t="s">
        <v>31</v>
      </c>
      <c r="C1418">
        <v>2013</v>
      </c>
      <c r="D1418" t="s">
        <v>12</v>
      </c>
      <c r="E1418" t="s">
        <v>115</v>
      </c>
      <c r="F1418" t="s">
        <v>38</v>
      </c>
      <c r="G1418" t="str">
        <f>VLOOKUP(A1418,[1]Kreise!$A$1:$C$53,3,FALSE)</f>
        <v>K032</v>
      </c>
      <c r="H1418">
        <v>249</v>
      </c>
    </row>
    <row r="1419" spans="1:8">
      <c r="A1419">
        <v>3</v>
      </c>
      <c r="B1419" t="s">
        <v>32</v>
      </c>
      <c r="C1419">
        <v>2013</v>
      </c>
      <c r="D1419" t="s">
        <v>12</v>
      </c>
      <c r="E1419" t="s">
        <v>115</v>
      </c>
      <c r="F1419" t="s">
        <v>38</v>
      </c>
      <c r="G1419" t="str">
        <f>VLOOKUP(A1419,[1]Kreise!$A$1:$C$53,3,FALSE)</f>
        <v>K033</v>
      </c>
      <c r="H1419">
        <v>14</v>
      </c>
    </row>
    <row r="1420" spans="1:8">
      <c r="A1420">
        <v>4</v>
      </c>
      <c r="B1420" t="s">
        <v>33</v>
      </c>
      <c r="C1420">
        <v>2013</v>
      </c>
      <c r="D1420" t="s">
        <v>12</v>
      </c>
      <c r="E1420" t="s">
        <v>115</v>
      </c>
      <c r="F1420" t="s">
        <v>38</v>
      </c>
      <c r="G1420" t="str">
        <f>VLOOKUP(A1420,[1]Kreise!$A$1:$C$53,3,FALSE)</f>
        <v>K034</v>
      </c>
      <c r="H1420">
        <v>46</v>
      </c>
    </row>
    <row r="1421" spans="1:8">
      <c r="A1421">
        <v>0</v>
      </c>
      <c r="B1421" t="s">
        <v>34</v>
      </c>
      <c r="C1421">
        <v>2013</v>
      </c>
      <c r="D1421" t="s">
        <v>12</v>
      </c>
      <c r="E1421" t="s">
        <v>115</v>
      </c>
      <c r="F1421" t="s">
        <v>38</v>
      </c>
      <c r="G1421" t="str">
        <f>VLOOKUP(A1421,[1]Kreise!$A$1:$C$53,3,FALSE)</f>
        <v>K030</v>
      </c>
      <c r="H1421">
        <v>389</v>
      </c>
    </row>
    <row r="1422" spans="1:8">
      <c r="A1422">
        <v>1</v>
      </c>
      <c r="B1422" t="s">
        <v>145</v>
      </c>
      <c r="C1422">
        <v>2012</v>
      </c>
      <c r="D1422" t="s">
        <v>12</v>
      </c>
      <c r="E1422" t="s">
        <v>115</v>
      </c>
      <c r="F1422" t="s">
        <v>38</v>
      </c>
      <c r="G1422" t="str">
        <f>VLOOKUP(A1422,[1]Kreise!$A$1:$C$53,3,FALSE)</f>
        <v>K031</v>
      </c>
      <c r="H1422">
        <v>95</v>
      </c>
    </row>
    <row r="1423" spans="1:8">
      <c r="A1423">
        <v>2</v>
      </c>
      <c r="B1423" t="s">
        <v>146</v>
      </c>
      <c r="C1423">
        <v>2012</v>
      </c>
      <c r="D1423" t="s">
        <v>12</v>
      </c>
      <c r="E1423" t="s">
        <v>115</v>
      </c>
      <c r="F1423" t="s">
        <v>38</v>
      </c>
      <c r="G1423" t="str">
        <f>VLOOKUP(A1423,[1]Kreise!$A$1:$C$53,3,FALSE)</f>
        <v>K032</v>
      </c>
      <c r="H1423">
        <v>244</v>
      </c>
    </row>
    <row r="1424" spans="1:8">
      <c r="A1424">
        <v>3</v>
      </c>
      <c r="B1424" t="s">
        <v>147</v>
      </c>
      <c r="C1424">
        <v>2012</v>
      </c>
      <c r="D1424" t="s">
        <v>12</v>
      </c>
      <c r="E1424" t="s">
        <v>115</v>
      </c>
      <c r="F1424" t="s">
        <v>38</v>
      </c>
      <c r="G1424" t="str">
        <f>VLOOKUP(A1424,[1]Kreise!$A$1:$C$53,3,FALSE)</f>
        <v>K033</v>
      </c>
      <c r="H1424">
        <v>7</v>
      </c>
    </row>
    <row r="1425" spans="1:8">
      <c r="A1425">
        <v>4</v>
      </c>
      <c r="B1425" t="s">
        <v>148</v>
      </c>
      <c r="C1425">
        <v>2012</v>
      </c>
      <c r="D1425" t="s">
        <v>12</v>
      </c>
      <c r="E1425" t="s">
        <v>115</v>
      </c>
      <c r="F1425" t="s">
        <v>38</v>
      </c>
      <c r="G1425" t="str">
        <f>VLOOKUP(A1425,[1]Kreise!$A$1:$C$53,3,FALSE)</f>
        <v>K034</v>
      </c>
      <c r="H1425">
        <v>26</v>
      </c>
    </row>
    <row r="1426" spans="1:8">
      <c r="A1426">
        <v>0</v>
      </c>
      <c r="B1426" t="s">
        <v>34</v>
      </c>
      <c r="C1426">
        <v>2012</v>
      </c>
      <c r="D1426" t="s">
        <v>12</v>
      </c>
      <c r="E1426" t="s">
        <v>115</v>
      </c>
      <c r="F1426" t="s">
        <v>38</v>
      </c>
      <c r="G1426" t="str">
        <f>VLOOKUP(A1426,[1]Kreise!$A$1:$C$53,3,FALSE)</f>
        <v>K030</v>
      </c>
      <c r="H1426">
        <v>372</v>
      </c>
    </row>
    <row r="1427" spans="1:8">
      <c r="A1427">
        <v>1</v>
      </c>
      <c r="B1427" t="s">
        <v>30</v>
      </c>
      <c r="C1427">
        <v>2011</v>
      </c>
      <c r="D1427" t="s">
        <v>12</v>
      </c>
      <c r="E1427" t="s">
        <v>115</v>
      </c>
      <c r="F1427" t="s">
        <v>38</v>
      </c>
      <c r="G1427" t="str">
        <f>VLOOKUP(A1427,[1]Kreise!$A$1:$C$53,3,FALSE)</f>
        <v>K031</v>
      </c>
      <c r="H1427">
        <v>66</v>
      </c>
    </row>
    <row r="1428" spans="1:8">
      <c r="A1428">
        <v>2</v>
      </c>
      <c r="B1428" t="s">
        <v>31</v>
      </c>
      <c r="C1428">
        <v>2011</v>
      </c>
      <c r="D1428" t="s">
        <v>12</v>
      </c>
      <c r="E1428" t="s">
        <v>115</v>
      </c>
      <c r="F1428" t="s">
        <v>38</v>
      </c>
      <c r="G1428" t="str">
        <f>VLOOKUP(A1428,[1]Kreise!$A$1:$C$53,3,FALSE)</f>
        <v>K032</v>
      </c>
      <c r="H1428">
        <v>185</v>
      </c>
    </row>
    <row r="1429" spans="1:8">
      <c r="A1429">
        <v>3</v>
      </c>
      <c r="B1429" t="s">
        <v>32</v>
      </c>
      <c r="C1429">
        <v>2011</v>
      </c>
      <c r="D1429" t="s">
        <v>12</v>
      </c>
      <c r="E1429" t="s">
        <v>115</v>
      </c>
      <c r="F1429" t="s">
        <v>38</v>
      </c>
      <c r="G1429" t="str">
        <f>VLOOKUP(A1429,[1]Kreise!$A$1:$C$53,3,FALSE)</f>
        <v>K033</v>
      </c>
      <c r="H1429">
        <v>1</v>
      </c>
    </row>
    <row r="1430" spans="1:8">
      <c r="A1430">
        <v>4</v>
      </c>
      <c r="B1430" t="s">
        <v>33</v>
      </c>
      <c r="C1430">
        <v>2011</v>
      </c>
      <c r="D1430" t="s">
        <v>12</v>
      </c>
      <c r="E1430" t="s">
        <v>115</v>
      </c>
      <c r="F1430" t="s">
        <v>38</v>
      </c>
      <c r="G1430" t="str">
        <f>VLOOKUP(A1430,[1]Kreise!$A$1:$C$53,3,FALSE)</f>
        <v>K034</v>
      </c>
      <c r="H1430">
        <v>21</v>
      </c>
    </row>
    <row r="1431" spans="1:8">
      <c r="A1431">
        <v>0</v>
      </c>
      <c r="B1431" t="s">
        <v>34</v>
      </c>
      <c r="C1431">
        <v>2011</v>
      </c>
      <c r="D1431" t="s">
        <v>12</v>
      </c>
      <c r="E1431" t="s">
        <v>115</v>
      </c>
      <c r="F1431" t="s">
        <v>38</v>
      </c>
      <c r="G1431" t="str">
        <f>VLOOKUP(A1431,[1]Kreise!$A$1:$C$53,3,FALSE)</f>
        <v>K030</v>
      </c>
      <c r="H1431">
        <v>273</v>
      </c>
    </row>
    <row r="1432" spans="1:8">
      <c r="A1432">
        <v>1</v>
      </c>
      <c r="B1432" t="s">
        <v>145</v>
      </c>
      <c r="C1432">
        <v>2010</v>
      </c>
      <c r="D1432" t="s">
        <v>12</v>
      </c>
      <c r="E1432" t="s">
        <v>115</v>
      </c>
      <c r="F1432" t="s">
        <v>38</v>
      </c>
      <c r="G1432" t="str">
        <f>VLOOKUP(A1432,[1]Kreise!$A$1:$C$53,3,FALSE)</f>
        <v>K031</v>
      </c>
      <c r="H1432">
        <v>61</v>
      </c>
    </row>
    <row r="1433" spans="1:8">
      <c r="A1433">
        <v>2</v>
      </c>
      <c r="B1433" t="s">
        <v>146</v>
      </c>
      <c r="C1433">
        <v>2010</v>
      </c>
      <c r="D1433" t="s">
        <v>12</v>
      </c>
      <c r="E1433" t="s">
        <v>115</v>
      </c>
      <c r="F1433" t="s">
        <v>38</v>
      </c>
      <c r="G1433" t="str">
        <f>VLOOKUP(A1433,[1]Kreise!$A$1:$C$53,3,FALSE)</f>
        <v>K032</v>
      </c>
      <c r="H1433">
        <v>147</v>
      </c>
    </row>
    <row r="1434" spans="1:8">
      <c r="A1434">
        <v>3</v>
      </c>
      <c r="B1434" t="s">
        <v>147</v>
      </c>
      <c r="C1434">
        <v>2010</v>
      </c>
      <c r="D1434" t="s">
        <v>12</v>
      </c>
      <c r="E1434" t="s">
        <v>115</v>
      </c>
      <c r="F1434" t="s">
        <v>38</v>
      </c>
      <c r="G1434" t="str">
        <f>VLOOKUP(A1434,[1]Kreise!$A$1:$C$53,3,FALSE)</f>
        <v>K033</v>
      </c>
      <c r="H1434">
        <v>2</v>
      </c>
    </row>
    <row r="1435" spans="1:8">
      <c r="A1435">
        <v>4</v>
      </c>
      <c r="B1435" t="s">
        <v>148</v>
      </c>
      <c r="C1435">
        <v>2010</v>
      </c>
      <c r="D1435" t="s">
        <v>12</v>
      </c>
      <c r="E1435" t="s">
        <v>115</v>
      </c>
      <c r="F1435" t="s">
        <v>38</v>
      </c>
      <c r="G1435" t="str">
        <f>VLOOKUP(A1435,[1]Kreise!$A$1:$C$53,3,FALSE)</f>
        <v>K034</v>
      </c>
      <c r="H1435">
        <v>22</v>
      </c>
    </row>
    <row r="1436" spans="1:8">
      <c r="A1436">
        <v>0</v>
      </c>
      <c r="B1436" t="s">
        <v>34</v>
      </c>
      <c r="C1436">
        <v>2010</v>
      </c>
      <c r="D1436" t="s">
        <v>12</v>
      </c>
      <c r="E1436" t="s">
        <v>115</v>
      </c>
      <c r="F1436" t="s">
        <v>38</v>
      </c>
      <c r="G1436" t="str">
        <f>VLOOKUP(A1436,[1]Kreise!$A$1:$C$53,3,FALSE)</f>
        <v>K030</v>
      </c>
      <c r="H1436">
        <v>232</v>
      </c>
    </row>
    <row r="1437" spans="1:8">
      <c r="A1437">
        <v>1</v>
      </c>
      <c r="B1437" t="s">
        <v>145</v>
      </c>
      <c r="C1437">
        <v>2005</v>
      </c>
      <c r="D1437" t="s">
        <v>12</v>
      </c>
      <c r="E1437" t="s">
        <v>115</v>
      </c>
      <c r="F1437" t="s">
        <v>38</v>
      </c>
      <c r="G1437" t="str">
        <f>VLOOKUP(A1437,[1]Kreise!$A$1:$C$53,3,FALSE)</f>
        <v>K031</v>
      </c>
      <c r="H1437">
        <v>67</v>
      </c>
    </row>
    <row r="1438" spans="1:8">
      <c r="A1438">
        <v>2</v>
      </c>
      <c r="B1438" t="s">
        <v>146</v>
      </c>
      <c r="C1438">
        <v>2005</v>
      </c>
      <c r="D1438" t="s">
        <v>12</v>
      </c>
      <c r="E1438" t="s">
        <v>115</v>
      </c>
      <c r="F1438" t="s">
        <v>38</v>
      </c>
      <c r="G1438" t="str">
        <f>VLOOKUP(A1438,[1]Kreise!$A$1:$C$53,3,FALSE)</f>
        <v>K032</v>
      </c>
      <c r="H1438">
        <v>141</v>
      </c>
    </row>
    <row r="1439" spans="1:8">
      <c r="A1439">
        <v>3</v>
      </c>
      <c r="B1439" t="s">
        <v>147</v>
      </c>
      <c r="C1439">
        <v>2005</v>
      </c>
      <c r="D1439" t="s">
        <v>12</v>
      </c>
      <c r="E1439" t="s">
        <v>115</v>
      </c>
      <c r="F1439" t="s">
        <v>38</v>
      </c>
      <c r="G1439" t="str">
        <f>VLOOKUP(A1439,[1]Kreise!$A$1:$C$53,3,FALSE)</f>
        <v>K033</v>
      </c>
      <c r="H1439">
        <v>0</v>
      </c>
    </row>
    <row r="1440" spans="1:8">
      <c r="A1440">
        <v>4</v>
      </c>
      <c r="B1440" t="s">
        <v>148</v>
      </c>
      <c r="C1440">
        <v>2005</v>
      </c>
      <c r="D1440" t="s">
        <v>12</v>
      </c>
      <c r="E1440" t="s">
        <v>115</v>
      </c>
      <c r="F1440" t="s">
        <v>38</v>
      </c>
      <c r="G1440" t="str">
        <f>VLOOKUP(A1440,[1]Kreise!$A$1:$C$53,3,FALSE)</f>
        <v>K034</v>
      </c>
      <c r="H1440">
        <v>42</v>
      </c>
    </row>
    <row r="1441" spans="1:8">
      <c r="A1441">
        <v>0</v>
      </c>
      <c r="B1441" t="s">
        <v>34</v>
      </c>
      <c r="C1441">
        <v>2005</v>
      </c>
      <c r="D1441" t="s">
        <v>12</v>
      </c>
      <c r="E1441" t="s">
        <v>115</v>
      </c>
      <c r="F1441" t="s">
        <v>38</v>
      </c>
      <c r="G1441" t="str">
        <f>VLOOKUP(A1441,[1]Kreise!$A$1:$C$53,3,FALSE)</f>
        <v>K030</v>
      </c>
      <c r="H1441">
        <v>250</v>
      </c>
    </row>
    <row r="1442" spans="1:8">
      <c r="A1442">
        <v>1</v>
      </c>
      <c r="B1442" t="s">
        <v>30</v>
      </c>
      <c r="C1442">
        <v>2020</v>
      </c>
      <c r="D1442" t="s">
        <v>11</v>
      </c>
      <c r="E1442" t="s">
        <v>9</v>
      </c>
      <c r="F1442" t="s">
        <v>38</v>
      </c>
      <c r="G1442" t="str">
        <f>VLOOKUP(A1442,[1]Kreise!$A$1:$C$53,3,FALSE)</f>
        <v>K031</v>
      </c>
      <c r="H1442">
        <v>251</v>
      </c>
    </row>
    <row r="1443" spans="1:8">
      <c r="A1443">
        <v>2</v>
      </c>
      <c r="B1443" t="s">
        <v>31</v>
      </c>
      <c r="C1443">
        <v>2020</v>
      </c>
      <c r="D1443" t="s">
        <v>11</v>
      </c>
      <c r="E1443" t="s">
        <v>9</v>
      </c>
      <c r="F1443" t="s">
        <v>38</v>
      </c>
      <c r="G1443" t="str">
        <f>VLOOKUP(A1443,[1]Kreise!$A$1:$C$53,3,FALSE)</f>
        <v>K032</v>
      </c>
      <c r="H1443">
        <v>281</v>
      </c>
    </row>
    <row r="1444" spans="1:8">
      <c r="A1444">
        <v>3</v>
      </c>
      <c r="B1444" t="s">
        <v>32</v>
      </c>
      <c r="C1444">
        <v>2020</v>
      </c>
      <c r="D1444" t="s">
        <v>11</v>
      </c>
      <c r="E1444" t="s">
        <v>9</v>
      </c>
      <c r="F1444" t="s">
        <v>38</v>
      </c>
      <c r="G1444" t="str">
        <f>VLOOKUP(A1444,[1]Kreise!$A$1:$C$53,3,FALSE)</f>
        <v>K033</v>
      </c>
      <c r="H1444">
        <v>178</v>
      </c>
    </row>
    <row r="1445" spans="1:8">
      <c r="A1445">
        <v>4</v>
      </c>
      <c r="B1445" t="s">
        <v>33</v>
      </c>
      <c r="C1445">
        <v>2020</v>
      </c>
      <c r="D1445" t="s">
        <v>11</v>
      </c>
      <c r="E1445" t="s">
        <v>9</v>
      </c>
      <c r="F1445" t="s">
        <v>38</v>
      </c>
      <c r="G1445" t="str">
        <f>VLOOKUP(A1445,[1]Kreise!$A$1:$C$53,3,FALSE)</f>
        <v>K034</v>
      </c>
      <c r="H1445">
        <v>528</v>
      </c>
    </row>
    <row r="1446" spans="1:8">
      <c r="A1446">
        <v>0</v>
      </c>
      <c r="B1446" t="s">
        <v>34</v>
      </c>
      <c r="C1446">
        <v>2020</v>
      </c>
      <c r="D1446" t="s">
        <v>11</v>
      </c>
      <c r="E1446" t="s">
        <v>9</v>
      </c>
      <c r="F1446" t="s">
        <v>38</v>
      </c>
      <c r="G1446" t="str">
        <f>VLOOKUP(A1446,[1]Kreise!$A$1:$C$53,3,FALSE)</f>
        <v>K030</v>
      </c>
      <c r="H1446">
        <v>1238</v>
      </c>
    </row>
    <row r="1447" spans="1:8">
      <c r="A1447">
        <v>1</v>
      </c>
      <c r="B1447" t="s">
        <v>30</v>
      </c>
      <c r="C1447">
        <v>2019</v>
      </c>
      <c r="D1447" t="s">
        <v>11</v>
      </c>
      <c r="E1447" t="s">
        <v>9</v>
      </c>
      <c r="F1447" t="s">
        <v>38</v>
      </c>
      <c r="G1447" t="str">
        <f>VLOOKUP(A1447,[1]Kreise!$A$1:$C$53,3,FALSE)</f>
        <v>K031</v>
      </c>
      <c r="H1447">
        <v>385</v>
      </c>
    </row>
    <row r="1448" spans="1:8">
      <c r="A1448">
        <v>2</v>
      </c>
      <c r="B1448" t="s">
        <v>31</v>
      </c>
      <c r="C1448">
        <v>2019</v>
      </c>
      <c r="D1448" t="s">
        <v>11</v>
      </c>
      <c r="E1448" t="s">
        <v>9</v>
      </c>
      <c r="F1448" t="s">
        <v>38</v>
      </c>
      <c r="G1448" t="str">
        <f>VLOOKUP(A1448,[1]Kreise!$A$1:$C$53,3,FALSE)</f>
        <v>K032</v>
      </c>
      <c r="H1448">
        <v>512</v>
      </c>
    </row>
    <row r="1449" spans="1:8">
      <c r="A1449">
        <v>3</v>
      </c>
      <c r="B1449" t="s">
        <v>32</v>
      </c>
      <c r="C1449">
        <v>2019</v>
      </c>
      <c r="D1449" t="s">
        <v>11</v>
      </c>
      <c r="E1449" t="s">
        <v>9</v>
      </c>
      <c r="F1449" t="s">
        <v>38</v>
      </c>
      <c r="G1449" t="str">
        <f>VLOOKUP(A1449,[1]Kreise!$A$1:$C$53,3,FALSE)</f>
        <v>K033</v>
      </c>
      <c r="H1449">
        <v>325</v>
      </c>
    </row>
    <row r="1450" spans="1:8">
      <c r="A1450">
        <v>4</v>
      </c>
      <c r="B1450" t="s">
        <v>33</v>
      </c>
      <c r="C1450">
        <v>2019</v>
      </c>
      <c r="D1450" t="s">
        <v>11</v>
      </c>
      <c r="E1450" t="s">
        <v>9</v>
      </c>
      <c r="F1450" t="s">
        <v>38</v>
      </c>
      <c r="G1450" t="str">
        <f>VLOOKUP(A1450,[1]Kreise!$A$1:$C$53,3,FALSE)</f>
        <v>K034</v>
      </c>
      <c r="H1450">
        <v>979</v>
      </c>
    </row>
    <row r="1451" spans="1:8">
      <c r="A1451">
        <v>0</v>
      </c>
      <c r="B1451" t="s">
        <v>34</v>
      </c>
      <c r="C1451">
        <v>2019</v>
      </c>
      <c r="D1451" t="s">
        <v>11</v>
      </c>
      <c r="E1451" t="s">
        <v>9</v>
      </c>
      <c r="F1451" t="s">
        <v>38</v>
      </c>
      <c r="G1451" t="str">
        <f>VLOOKUP(A1451,[1]Kreise!$A$1:$C$53,3,FALSE)</f>
        <v>K030</v>
      </c>
      <c r="H1451">
        <v>2201</v>
      </c>
    </row>
    <row r="1452" spans="1:8">
      <c r="A1452">
        <v>1</v>
      </c>
      <c r="B1452" t="s">
        <v>30</v>
      </c>
      <c r="C1452">
        <v>2018</v>
      </c>
      <c r="D1452" t="s">
        <v>11</v>
      </c>
      <c r="E1452" t="s">
        <v>9</v>
      </c>
      <c r="F1452" t="s">
        <v>38</v>
      </c>
      <c r="G1452" t="str">
        <f>VLOOKUP(A1452,[1]Kreise!$A$1:$C$53,3,FALSE)</f>
        <v>K031</v>
      </c>
      <c r="H1452">
        <v>311</v>
      </c>
    </row>
    <row r="1453" spans="1:8">
      <c r="A1453">
        <v>2</v>
      </c>
      <c r="B1453" t="s">
        <v>31</v>
      </c>
      <c r="C1453">
        <v>2018</v>
      </c>
      <c r="D1453" t="s">
        <v>11</v>
      </c>
      <c r="E1453" t="s">
        <v>9</v>
      </c>
      <c r="F1453" t="s">
        <v>38</v>
      </c>
      <c r="G1453" t="str">
        <f>VLOOKUP(A1453,[1]Kreise!$A$1:$C$53,3,FALSE)</f>
        <v>K032</v>
      </c>
      <c r="H1453">
        <v>498</v>
      </c>
    </row>
    <row r="1454" spans="1:8">
      <c r="A1454">
        <v>3</v>
      </c>
      <c r="B1454" t="s">
        <v>32</v>
      </c>
      <c r="C1454">
        <v>2018</v>
      </c>
      <c r="D1454" t="s">
        <v>11</v>
      </c>
      <c r="E1454" t="s">
        <v>9</v>
      </c>
      <c r="F1454" t="s">
        <v>38</v>
      </c>
      <c r="G1454" t="str">
        <f>VLOOKUP(A1454,[1]Kreise!$A$1:$C$53,3,FALSE)</f>
        <v>K033</v>
      </c>
      <c r="H1454">
        <v>292</v>
      </c>
    </row>
    <row r="1455" spans="1:8">
      <c r="A1455">
        <v>4</v>
      </c>
      <c r="B1455" t="s">
        <v>33</v>
      </c>
      <c r="C1455">
        <v>2018</v>
      </c>
      <c r="D1455" t="s">
        <v>11</v>
      </c>
      <c r="E1455" t="s">
        <v>9</v>
      </c>
      <c r="F1455" t="s">
        <v>38</v>
      </c>
      <c r="G1455" t="str">
        <f>VLOOKUP(A1455,[1]Kreise!$A$1:$C$53,3,FALSE)</f>
        <v>K034</v>
      </c>
      <c r="H1455">
        <v>754</v>
      </c>
    </row>
    <row r="1456" spans="1:8">
      <c r="A1456">
        <v>0</v>
      </c>
      <c r="B1456" t="s">
        <v>34</v>
      </c>
      <c r="C1456">
        <v>2018</v>
      </c>
      <c r="D1456" t="s">
        <v>11</v>
      </c>
      <c r="E1456" t="s">
        <v>9</v>
      </c>
      <c r="F1456" t="s">
        <v>38</v>
      </c>
      <c r="G1456" t="str">
        <f>VLOOKUP(A1456,[1]Kreise!$A$1:$C$53,3,FALSE)</f>
        <v>K030</v>
      </c>
      <c r="H1456">
        <v>1855</v>
      </c>
    </row>
    <row r="1457" spans="1:8">
      <c r="A1457">
        <v>1</v>
      </c>
      <c r="B1457" t="s">
        <v>30</v>
      </c>
      <c r="C1457">
        <v>2017</v>
      </c>
      <c r="D1457" t="s">
        <v>11</v>
      </c>
      <c r="E1457" t="s">
        <v>9</v>
      </c>
      <c r="F1457" t="s">
        <v>38</v>
      </c>
      <c r="G1457" t="str">
        <f>VLOOKUP(A1457,[1]Kreise!$A$1:$C$53,3,FALSE)</f>
        <v>K031</v>
      </c>
      <c r="H1457">
        <v>318</v>
      </c>
    </row>
    <row r="1458" spans="1:8">
      <c r="A1458">
        <v>2</v>
      </c>
      <c r="B1458" t="s">
        <v>31</v>
      </c>
      <c r="C1458">
        <v>2017</v>
      </c>
      <c r="D1458" t="s">
        <v>11</v>
      </c>
      <c r="E1458" t="s">
        <v>9</v>
      </c>
      <c r="F1458" t="s">
        <v>38</v>
      </c>
      <c r="G1458" t="str">
        <f>VLOOKUP(A1458,[1]Kreise!$A$1:$C$53,3,FALSE)</f>
        <v>K032</v>
      </c>
      <c r="H1458">
        <v>476</v>
      </c>
    </row>
    <row r="1459" spans="1:8">
      <c r="A1459">
        <v>3</v>
      </c>
      <c r="B1459" t="s">
        <v>32</v>
      </c>
      <c r="C1459">
        <v>2017</v>
      </c>
      <c r="D1459" t="s">
        <v>11</v>
      </c>
      <c r="E1459" t="s">
        <v>9</v>
      </c>
      <c r="F1459" t="s">
        <v>38</v>
      </c>
      <c r="G1459" t="str">
        <f>VLOOKUP(A1459,[1]Kreise!$A$1:$C$53,3,FALSE)</f>
        <v>K033</v>
      </c>
      <c r="H1459">
        <v>289</v>
      </c>
    </row>
    <row r="1460" spans="1:8">
      <c r="A1460">
        <v>4</v>
      </c>
      <c r="B1460" t="s">
        <v>33</v>
      </c>
      <c r="C1460">
        <v>2017</v>
      </c>
      <c r="D1460" t="s">
        <v>11</v>
      </c>
      <c r="E1460" t="s">
        <v>9</v>
      </c>
      <c r="F1460" t="s">
        <v>38</v>
      </c>
      <c r="G1460" t="str">
        <f>VLOOKUP(A1460,[1]Kreise!$A$1:$C$53,3,FALSE)</f>
        <v>K034</v>
      </c>
      <c r="H1460">
        <v>859</v>
      </c>
    </row>
    <row r="1461" spans="1:8">
      <c r="A1461">
        <v>0</v>
      </c>
      <c r="B1461" t="s">
        <v>34</v>
      </c>
      <c r="C1461">
        <v>2017</v>
      </c>
      <c r="D1461" t="s">
        <v>11</v>
      </c>
      <c r="E1461" t="s">
        <v>9</v>
      </c>
      <c r="F1461" t="s">
        <v>38</v>
      </c>
      <c r="G1461" t="str">
        <f>VLOOKUP(A1461,[1]Kreise!$A$1:$C$53,3,FALSE)</f>
        <v>K030</v>
      </c>
      <c r="H1461">
        <v>1942</v>
      </c>
    </row>
    <row r="1462" spans="1:8">
      <c r="A1462">
        <v>1</v>
      </c>
      <c r="B1462" t="s">
        <v>30</v>
      </c>
      <c r="C1462">
        <v>2016</v>
      </c>
      <c r="D1462" t="s">
        <v>11</v>
      </c>
      <c r="E1462" t="s">
        <v>9</v>
      </c>
      <c r="F1462" t="s">
        <v>38</v>
      </c>
      <c r="G1462" t="str">
        <f>VLOOKUP(A1462,[1]Kreise!$A$1:$C$53,3,FALSE)</f>
        <v>K031</v>
      </c>
      <c r="H1462">
        <v>368</v>
      </c>
    </row>
    <row r="1463" spans="1:8">
      <c r="A1463">
        <v>2</v>
      </c>
      <c r="B1463" t="s">
        <v>31</v>
      </c>
      <c r="C1463">
        <v>2016</v>
      </c>
      <c r="D1463" t="s">
        <v>11</v>
      </c>
      <c r="E1463" t="s">
        <v>9</v>
      </c>
      <c r="F1463" t="s">
        <v>38</v>
      </c>
      <c r="G1463" t="str">
        <f>VLOOKUP(A1463,[1]Kreise!$A$1:$C$53,3,FALSE)</f>
        <v>K032</v>
      </c>
      <c r="H1463">
        <v>591</v>
      </c>
    </row>
    <row r="1464" spans="1:8">
      <c r="A1464">
        <v>3</v>
      </c>
      <c r="B1464" t="s">
        <v>32</v>
      </c>
      <c r="C1464">
        <v>2016</v>
      </c>
      <c r="D1464" t="s">
        <v>11</v>
      </c>
      <c r="E1464" t="s">
        <v>9</v>
      </c>
      <c r="F1464" t="s">
        <v>38</v>
      </c>
      <c r="G1464" t="str">
        <f>VLOOKUP(A1464,[1]Kreise!$A$1:$C$53,3,FALSE)</f>
        <v>K033</v>
      </c>
      <c r="H1464">
        <v>330</v>
      </c>
    </row>
    <row r="1465" spans="1:8">
      <c r="A1465">
        <v>4</v>
      </c>
      <c r="B1465" t="s">
        <v>33</v>
      </c>
      <c r="C1465">
        <v>2016</v>
      </c>
      <c r="D1465" t="s">
        <v>11</v>
      </c>
      <c r="E1465" t="s">
        <v>9</v>
      </c>
      <c r="F1465" t="s">
        <v>38</v>
      </c>
      <c r="G1465" t="str">
        <f>VLOOKUP(A1465,[1]Kreise!$A$1:$C$53,3,FALSE)</f>
        <v>K034</v>
      </c>
      <c r="H1465">
        <v>954</v>
      </c>
    </row>
    <row r="1466" spans="1:8">
      <c r="A1466">
        <v>0</v>
      </c>
      <c r="B1466" t="s">
        <v>34</v>
      </c>
      <c r="C1466">
        <v>2016</v>
      </c>
      <c r="D1466" t="s">
        <v>11</v>
      </c>
      <c r="E1466" t="s">
        <v>9</v>
      </c>
      <c r="F1466" t="s">
        <v>38</v>
      </c>
      <c r="G1466" t="str">
        <f>VLOOKUP(A1466,[1]Kreise!$A$1:$C$53,3,FALSE)</f>
        <v>K030</v>
      </c>
      <c r="H1466">
        <v>2243</v>
      </c>
    </row>
    <row r="1467" spans="1:8">
      <c r="A1467">
        <v>1</v>
      </c>
      <c r="B1467" t="s">
        <v>30</v>
      </c>
      <c r="C1467">
        <v>2015</v>
      </c>
      <c r="D1467" t="s">
        <v>11</v>
      </c>
      <c r="E1467" t="s">
        <v>9</v>
      </c>
      <c r="F1467" t="s">
        <v>38</v>
      </c>
      <c r="G1467" t="str">
        <f>VLOOKUP(A1467,[1]Kreise!$A$1:$C$53,3,FALSE)</f>
        <v>K031</v>
      </c>
      <c r="H1467">
        <v>463</v>
      </c>
    </row>
    <row r="1468" spans="1:8">
      <c r="A1468">
        <v>2</v>
      </c>
      <c r="B1468" t="s">
        <v>31</v>
      </c>
      <c r="C1468">
        <v>2015</v>
      </c>
      <c r="D1468" t="s">
        <v>11</v>
      </c>
      <c r="E1468" t="s">
        <v>9</v>
      </c>
      <c r="F1468" t="s">
        <v>38</v>
      </c>
      <c r="G1468" t="str">
        <f>VLOOKUP(A1468,[1]Kreise!$A$1:$C$53,3,FALSE)</f>
        <v>K032</v>
      </c>
      <c r="H1468">
        <v>595</v>
      </c>
    </row>
    <row r="1469" spans="1:8">
      <c r="A1469">
        <v>3</v>
      </c>
      <c r="B1469" t="s">
        <v>32</v>
      </c>
      <c r="C1469">
        <v>2015</v>
      </c>
      <c r="D1469" t="s">
        <v>11</v>
      </c>
      <c r="E1469" t="s">
        <v>9</v>
      </c>
      <c r="F1469" t="s">
        <v>38</v>
      </c>
      <c r="G1469" t="str">
        <f>VLOOKUP(A1469,[1]Kreise!$A$1:$C$53,3,FALSE)</f>
        <v>K033</v>
      </c>
      <c r="H1469">
        <v>431</v>
      </c>
    </row>
    <row r="1470" spans="1:8">
      <c r="A1470">
        <v>4</v>
      </c>
      <c r="B1470" t="s">
        <v>33</v>
      </c>
      <c r="C1470">
        <v>2015</v>
      </c>
      <c r="D1470" t="s">
        <v>11</v>
      </c>
      <c r="E1470" t="s">
        <v>9</v>
      </c>
      <c r="F1470" t="s">
        <v>38</v>
      </c>
      <c r="G1470" t="str">
        <f>VLOOKUP(A1470,[1]Kreise!$A$1:$C$53,3,FALSE)</f>
        <v>K034</v>
      </c>
      <c r="H1470">
        <v>1087</v>
      </c>
    </row>
    <row r="1471" spans="1:8">
      <c r="A1471">
        <v>0</v>
      </c>
      <c r="B1471" t="s">
        <v>34</v>
      </c>
      <c r="C1471">
        <v>2015</v>
      </c>
      <c r="D1471" t="s">
        <v>11</v>
      </c>
      <c r="E1471" t="s">
        <v>9</v>
      </c>
      <c r="F1471" t="s">
        <v>38</v>
      </c>
      <c r="G1471" t="str">
        <f>VLOOKUP(A1471,[1]Kreise!$A$1:$C$53,3,FALSE)</f>
        <v>K030</v>
      </c>
      <c r="H1471">
        <v>2576</v>
      </c>
    </row>
    <row r="1472" spans="1:8">
      <c r="A1472">
        <v>1</v>
      </c>
      <c r="B1472" t="s">
        <v>145</v>
      </c>
      <c r="C1472">
        <v>2014</v>
      </c>
      <c r="D1472" t="s">
        <v>11</v>
      </c>
      <c r="E1472" t="s">
        <v>9</v>
      </c>
      <c r="F1472" t="s">
        <v>38</v>
      </c>
      <c r="G1472" t="str">
        <f>VLOOKUP(A1472,[1]Kreise!$A$1:$C$53,3,FALSE)</f>
        <v>K031</v>
      </c>
      <c r="H1472">
        <v>484</v>
      </c>
    </row>
    <row r="1473" spans="1:8">
      <c r="A1473">
        <v>2</v>
      </c>
      <c r="B1473" t="s">
        <v>146</v>
      </c>
      <c r="C1473">
        <v>2014</v>
      </c>
      <c r="D1473" t="s">
        <v>11</v>
      </c>
      <c r="E1473" t="s">
        <v>9</v>
      </c>
      <c r="F1473" t="s">
        <v>38</v>
      </c>
      <c r="G1473" t="str">
        <f>VLOOKUP(A1473,[1]Kreise!$A$1:$C$53,3,FALSE)</f>
        <v>K032</v>
      </c>
      <c r="H1473">
        <v>700</v>
      </c>
    </row>
    <row r="1474" spans="1:8">
      <c r="A1474">
        <v>3</v>
      </c>
      <c r="B1474" t="s">
        <v>147</v>
      </c>
      <c r="C1474">
        <v>2014</v>
      </c>
      <c r="D1474" t="s">
        <v>11</v>
      </c>
      <c r="E1474" t="s">
        <v>9</v>
      </c>
      <c r="F1474" t="s">
        <v>38</v>
      </c>
      <c r="G1474" t="str">
        <f>VLOOKUP(A1474,[1]Kreise!$A$1:$C$53,3,FALSE)</f>
        <v>K033</v>
      </c>
      <c r="H1474">
        <v>520</v>
      </c>
    </row>
    <row r="1475" spans="1:8">
      <c r="A1475">
        <v>4</v>
      </c>
      <c r="B1475" t="s">
        <v>148</v>
      </c>
      <c r="C1475">
        <v>2014</v>
      </c>
      <c r="D1475" t="s">
        <v>11</v>
      </c>
      <c r="E1475" t="s">
        <v>9</v>
      </c>
      <c r="F1475" t="s">
        <v>38</v>
      </c>
      <c r="G1475" t="str">
        <f>VLOOKUP(A1475,[1]Kreise!$A$1:$C$53,3,FALSE)</f>
        <v>K034</v>
      </c>
      <c r="H1475">
        <v>1223</v>
      </c>
    </row>
    <row r="1476" spans="1:8">
      <c r="A1476">
        <v>0</v>
      </c>
      <c r="B1476" t="s">
        <v>34</v>
      </c>
      <c r="C1476">
        <v>2014</v>
      </c>
      <c r="D1476" t="s">
        <v>11</v>
      </c>
      <c r="E1476" t="s">
        <v>9</v>
      </c>
      <c r="F1476" t="s">
        <v>38</v>
      </c>
      <c r="G1476" t="str">
        <f>VLOOKUP(A1476,[1]Kreise!$A$1:$C$53,3,FALSE)</f>
        <v>K030</v>
      </c>
      <c r="H1476">
        <v>2927</v>
      </c>
    </row>
    <row r="1477" spans="1:8">
      <c r="A1477">
        <v>1</v>
      </c>
      <c r="B1477" t="s">
        <v>30</v>
      </c>
      <c r="C1477">
        <v>2013</v>
      </c>
      <c r="D1477" t="s">
        <v>11</v>
      </c>
      <c r="E1477" t="s">
        <v>9</v>
      </c>
      <c r="F1477" t="s">
        <v>38</v>
      </c>
      <c r="G1477" t="str">
        <f>VLOOKUP(A1477,[1]Kreise!$A$1:$C$53,3,FALSE)</f>
        <v>K031</v>
      </c>
      <c r="H1477">
        <v>523</v>
      </c>
    </row>
    <row r="1478" spans="1:8">
      <c r="A1478">
        <v>2</v>
      </c>
      <c r="B1478" t="s">
        <v>31</v>
      </c>
      <c r="C1478">
        <v>2013</v>
      </c>
      <c r="D1478" t="s">
        <v>11</v>
      </c>
      <c r="E1478" t="s">
        <v>9</v>
      </c>
      <c r="F1478" t="s">
        <v>38</v>
      </c>
      <c r="G1478" t="str">
        <f>VLOOKUP(A1478,[1]Kreise!$A$1:$C$53,3,FALSE)</f>
        <v>K032</v>
      </c>
      <c r="H1478">
        <v>715</v>
      </c>
    </row>
    <row r="1479" spans="1:8">
      <c r="A1479">
        <v>3</v>
      </c>
      <c r="B1479" t="s">
        <v>32</v>
      </c>
      <c r="C1479">
        <v>2013</v>
      </c>
      <c r="D1479" t="s">
        <v>11</v>
      </c>
      <c r="E1479" t="s">
        <v>9</v>
      </c>
      <c r="F1479" t="s">
        <v>38</v>
      </c>
      <c r="G1479" t="str">
        <f>VLOOKUP(A1479,[1]Kreise!$A$1:$C$53,3,FALSE)</f>
        <v>K033</v>
      </c>
      <c r="H1479">
        <v>501</v>
      </c>
    </row>
    <row r="1480" spans="1:8">
      <c r="A1480">
        <v>4</v>
      </c>
      <c r="B1480" t="s">
        <v>33</v>
      </c>
      <c r="C1480">
        <v>2013</v>
      </c>
      <c r="D1480" t="s">
        <v>11</v>
      </c>
      <c r="E1480" t="s">
        <v>9</v>
      </c>
      <c r="F1480" t="s">
        <v>38</v>
      </c>
      <c r="G1480" t="str">
        <f>VLOOKUP(A1480,[1]Kreise!$A$1:$C$53,3,FALSE)</f>
        <v>K034</v>
      </c>
      <c r="H1480">
        <v>1242</v>
      </c>
    </row>
    <row r="1481" spans="1:8">
      <c r="A1481">
        <v>0</v>
      </c>
      <c r="B1481" t="s">
        <v>34</v>
      </c>
      <c r="C1481">
        <v>2013</v>
      </c>
      <c r="D1481" t="s">
        <v>11</v>
      </c>
      <c r="E1481" t="s">
        <v>9</v>
      </c>
      <c r="F1481" t="s">
        <v>38</v>
      </c>
      <c r="G1481" t="str">
        <f>VLOOKUP(A1481,[1]Kreise!$A$1:$C$53,3,FALSE)</f>
        <v>K030</v>
      </c>
      <c r="H1481">
        <v>2981</v>
      </c>
    </row>
    <row r="1482" spans="1:8">
      <c r="A1482">
        <v>1</v>
      </c>
      <c r="B1482" t="s">
        <v>145</v>
      </c>
      <c r="C1482">
        <v>2012</v>
      </c>
      <c r="D1482" t="s">
        <v>11</v>
      </c>
      <c r="E1482" t="s">
        <v>9</v>
      </c>
      <c r="F1482" t="s">
        <v>38</v>
      </c>
      <c r="G1482" t="str">
        <f>VLOOKUP(A1482,[1]Kreise!$A$1:$C$53,3,FALSE)</f>
        <v>K031</v>
      </c>
      <c r="H1482">
        <v>546</v>
      </c>
    </row>
    <row r="1483" spans="1:8">
      <c r="A1483">
        <v>2</v>
      </c>
      <c r="B1483" t="s">
        <v>146</v>
      </c>
      <c r="C1483">
        <v>2012</v>
      </c>
      <c r="D1483" t="s">
        <v>11</v>
      </c>
      <c r="E1483" t="s">
        <v>9</v>
      </c>
      <c r="F1483" t="s">
        <v>38</v>
      </c>
      <c r="G1483" t="str">
        <f>VLOOKUP(A1483,[1]Kreise!$A$1:$C$53,3,FALSE)</f>
        <v>K032</v>
      </c>
      <c r="H1483">
        <v>814</v>
      </c>
    </row>
    <row r="1484" spans="1:8">
      <c r="A1484">
        <v>3</v>
      </c>
      <c r="B1484" t="s">
        <v>147</v>
      </c>
      <c r="C1484">
        <v>2012</v>
      </c>
      <c r="D1484" t="s">
        <v>11</v>
      </c>
      <c r="E1484" t="s">
        <v>9</v>
      </c>
      <c r="F1484" t="s">
        <v>38</v>
      </c>
      <c r="G1484" t="str">
        <f>VLOOKUP(A1484,[1]Kreise!$A$1:$C$53,3,FALSE)</f>
        <v>K033</v>
      </c>
      <c r="H1484">
        <v>570</v>
      </c>
    </row>
    <row r="1485" spans="1:8">
      <c r="A1485">
        <v>4</v>
      </c>
      <c r="B1485" t="s">
        <v>148</v>
      </c>
      <c r="C1485">
        <v>2012</v>
      </c>
      <c r="D1485" t="s">
        <v>11</v>
      </c>
      <c r="E1485" t="s">
        <v>9</v>
      </c>
      <c r="F1485" t="s">
        <v>38</v>
      </c>
      <c r="G1485" t="str">
        <f>VLOOKUP(A1485,[1]Kreise!$A$1:$C$53,3,FALSE)</f>
        <v>K034</v>
      </c>
      <c r="H1485">
        <v>1212</v>
      </c>
    </row>
    <row r="1486" spans="1:8">
      <c r="A1486">
        <v>0</v>
      </c>
      <c r="B1486" t="s">
        <v>34</v>
      </c>
      <c r="C1486">
        <v>2012</v>
      </c>
      <c r="D1486" t="s">
        <v>11</v>
      </c>
      <c r="E1486" t="s">
        <v>9</v>
      </c>
      <c r="F1486" t="s">
        <v>38</v>
      </c>
      <c r="G1486" t="str">
        <f>VLOOKUP(A1486,[1]Kreise!$A$1:$C$53,3,FALSE)</f>
        <v>K030</v>
      </c>
      <c r="H1486">
        <v>3142</v>
      </c>
    </row>
    <row r="1487" spans="1:8">
      <c r="A1487">
        <v>1</v>
      </c>
      <c r="B1487" t="s">
        <v>30</v>
      </c>
      <c r="C1487">
        <v>2011</v>
      </c>
      <c r="D1487" t="s">
        <v>11</v>
      </c>
      <c r="E1487" t="s">
        <v>9</v>
      </c>
      <c r="F1487" t="s">
        <v>38</v>
      </c>
      <c r="G1487" t="str">
        <f>VLOOKUP(A1487,[1]Kreise!$A$1:$C$53,3,FALSE)</f>
        <v>K031</v>
      </c>
      <c r="H1487">
        <v>520</v>
      </c>
    </row>
    <row r="1488" spans="1:8">
      <c r="A1488">
        <v>2</v>
      </c>
      <c r="B1488" t="s">
        <v>31</v>
      </c>
      <c r="C1488">
        <v>2011</v>
      </c>
      <c r="D1488" t="s">
        <v>11</v>
      </c>
      <c r="E1488" t="s">
        <v>9</v>
      </c>
      <c r="F1488" t="s">
        <v>38</v>
      </c>
      <c r="G1488" t="str">
        <f>VLOOKUP(A1488,[1]Kreise!$A$1:$C$53,3,FALSE)</f>
        <v>K032</v>
      </c>
      <c r="H1488">
        <v>848</v>
      </c>
    </row>
    <row r="1489" spans="1:8">
      <c r="A1489">
        <v>3</v>
      </c>
      <c r="B1489" t="s">
        <v>32</v>
      </c>
      <c r="C1489">
        <v>2011</v>
      </c>
      <c r="D1489" t="s">
        <v>11</v>
      </c>
      <c r="E1489" t="s">
        <v>9</v>
      </c>
      <c r="F1489" t="s">
        <v>38</v>
      </c>
      <c r="G1489" t="str">
        <f>VLOOKUP(A1489,[1]Kreise!$A$1:$C$53,3,FALSE)</f>
        <v>K033</v>
      </c>
      <c r="H1489">
        <v>609</v>
      </c>
    </row>
    <row r="1490" spans="1:8">
      <c r="A1490">
        <v>4</v>
      </c>
      <c r="B1490" t="s">
        <v>33</v>
      </c>
      <c r="C1490">
        <v>2011</v>
      </c>
      <c r="D1490" t="s">
        <v>11</v>
      </c>
      <c r="E1490" t="s">
        <v>9</v>
      </c>
      <c r="F1490" t="s">
        <v>38</v>
      </c>
      <c r="G1490" t="str">
        <f>VLOOKUP(A1490,[1]Kreise!$A$1:$C$53,3,FALSE)</f>
        <v>K034</v>
      </c>
      <c r="H1490">
        <v>1225</v>
      </c>
    </row>
    <row r="1491" spans="1:8">
      <c r="A1491">
        <v>0</v>
      </c>
      <c r="B1491" t="s">
        <v>34</v>
      </c>
      <c r="C1491">
        <v>2011</v>
      </c>
      <c r="D1491" t="s">
        <v>11</v>
      </c>
      <c r="E1491" t="s">
        <v>9</v>
      </c>
      <c r="F1491" t="s">
        <v>38</v>
      </c>
      <c r="G1491" t="str">
        <f>VLOOKUP(A1491,[1]Kreise!$A$1:$C$53,3,FALSE)</f>
        <v>K030</v>
      </c>
      <c r="H1491">
        <v>3202</v>
      </c>
    </row>
    <row r="1492" spans="1:8">
      <c r="A1492">
        <v>1</v>
      </c>
      <c r="B1492" t="s">
        <v>145</v>
      </c>
      <c r="C1492">
        <v>2010</v>
      </c>
      <c r="D1492" t="s">
        <v>11</v>
      </c>
      <c r="E1492" t="s">
        <v>9</v>
      </c>
      <c r="F1492" t="s">
        <v>38</v>
      </c>
      <c r="G1492" t="str">
        <f>VLOOKUP(A1492,[1]Kreise!$A$1:$C$53,3,FALSE)</f>
        <v>K031</v>
      </c>
      <c r="H1492">
        <v>531</v>
      </c>
    </row>
    <row r="1493" spans="1:8">
      <c r="A1493">
        <v>2</v>
      </c>
      <c r="B1493" t="s">
        <v>146</v>
      </c>
      <c r="C1493">
        <v>2010</v>
      </c>
      <c r="D1493" t="s">
        <v>11</v>
      </c>
      <c r="E1493" t="s">
        <v>9</v>
      </c>
      <c r="F1493" t="s">
        <v>38</v>
      </c>
      <c r="G1493" t="str">
        <f>VLOOKUP(A1493,[1]Kreise!$A$1:$C$53,3,FALSE)</f>
        <v>K032</v>
      </c>
      <c r="H1493">
        <v>845</v>
      </c>
    </row>
    <row r="1494" spans="1:8">
      <c r="A1494">
        <v>3</v>
      </c>
      <c r="B1494" t="s">
        <v>147</v>
      </c>
      <c r="C1494">
        <v>2010</v>
      </c>
      <c r="D1494" t="s">
        <v>11</v>
      </c>
      <c r="E1494" t="s">
        <v>9</v>
      </c>
      <c r="F1494" t="s">
        <v>38</v>
      </c>
      <c r="G1494" t="str">
        <f>VLOOKUP(A1494,[1]Kreise!$A$1:$C$53,3,FALSE)</f>
        <v>K033</v>
      </c>
      <c r="H1494">
        <v>587</v>
      </c>
    </row>
    <row r="1495" spans="1:8">
      <c r="A1495">
        <v>4</v>
      </c>
      <c r="B1495" t="s">
        <v>148</v>
      </c>
      <c r="C1495">
        <v>2010</v>
      </c>
      <c r="D1495" t="s">
        <v>11</v>
      </c>
      <c r="E1495" t="s">
        <v>9</v>
      </c>
      <c r="F1495" t="s">
        <v>38</v>
      </c>
      <c r="G1495" t="str">
        <f>VLOOKUP(A1495,[1]Kreise!$A$1:$C$53,3,FALSE)</f>
        <v>K034</v>
      </c>
      <c r="H1495">
        <v>1211</v>
      </c>
    </row>
    <row r="1496" spans="1:8">
      <c r="A1496">
        <v>0</v>
      </c>
      <c r="B1496" t="s">
        <v>34</v>
      </c>
      <c r="C1496">
        <v>2010</v>
      </c>
      <c r="D1496" t="s">
        <v>11</v>
      </c>
      <c r="E1496" t="s">
        <v>9</v>
      </c>
      <c r="F1496" t="s">
        <v>38</v>
      </c>
      <c r="G1496" t="str">
        <f>VLOOKUP(A1496,[1]Kreise!$A$1:$C$53,3,FALSE)</f>
        <v>K030</v>
      </c>
      <c r="H1496">
        <v>3174</v>
      </c>
    </row>
    <row r="1497" spans="1:8">
      <c r="A1497">
        <v>1</v>
      </c>
      <c r="B1497" t="s">
        <v>145</v>
      </c>
      <c r="C1497">
        <v>2005</v>
      </c>
      <c r="D1497" t="s">
        <v>11</v>
      </c>
      <c r="E1497" t="s">
        <v>9</v>
      </c>
      <c r="F1497" t="s">
        <v>38</v>
      </c>
      <c r="G1497" t="str">
        <f>VLOOKUP(A1497,[1]Kreise!$A$1:$C$53,3,FALSE)</f>
        <v>K031</v>
      </c>
      <c r="H1497">
        <v>776</v>
      </c>
    </row>
    <row r="1498" spans="1:8">
      <c r="A1498">
        <v>2</v>
      </c>
      <c r="B1498" t="s">
        <v>146</v>
      </c>
      <c r="C1498">
        <v>2005</v>
      </c>
      <c r="D1498" t="s">
        <v>11</v>
      </c>
      <c r="E1498" t="s">
        <v>9</v>
      </c>
      <c r="F1498" t="s">
        <v>38</v>
      </c>
      <c r="G1498" t="str">
        <f>VLOOKUP(A1498,[1]Kreise!$A$1:$C$53,3,FALSE)</f>
        <v>K032</v>
      </c>
      <c r="H1498">
        <v>1028</v>
      </c>
    </row>
    <row r="1499" spans="1:8">
      <c r="A1499">
        <v>3</v>
      </c>
      <c r="B1499" t="s">
        <v>147</v>
      </c>
      <c r="C1499">
        <v>2005</v>
      </c>
      <c r="D1499" t="s">
        <v>11</v>
      </c>
      <c r="E1499" t="s">
        <v>9</v>
      </c>
      <c r="F1499" t="s">
        <v>38</v>
      </c>
      <c r="G1499" t="str">
        <f>VLOOKUP(A1499,[1]Kreise!$A$1:$C$53,3,FALSE)</f>
        <v>K033</v>
      </c>
      <c r="H1499">
        <v>818</v>
      </c>
    </row>
    <row r="1500" spans="1:8">
      <c r="A1500">
        <v>4</v>
      </c>
      <c r="B1500" t="s">
        <v>148</v>
      </c>
      <c r="C1500">
        <v>2005</v>
      </c>
      <c r="D1500" t="s">
        <v>11</v>
      </c>
      <c r="E1500" t="s">
        <v>9</v>
      </c>
      <c r="F1500" t="s">
        <v>38</v>
      </c>
      <c r="G1500" t="str">
        <f>VLOOKUP(A1500,[1]Kreise!$A$1:$C$53,3,FALSE)</f>
        <v>K034</v>
      </c>
      <c r="H1500">
        <v>1648</v>
      </c>
    </row>
    <row r="1501" spans="1:8">
      <c r="A1501">
        <v>0</v>
      </c>
      <c r="B1501" t="s">
        <v>34</v>
      </c>
      <c r="C1501">
        <v>2005</v>
      </c>
      <c r="D1501" t="s">
        <v>11</v>
      </c>
      <c r="E1501" t="s">
        <v>9</v>
      </c>
      <c r="F1501" t="s">
        <v>38</v>
      </c>
      <c r="G1501" t="str">
        <f>VLOOKUP(A1501,[1]Kreise!$A$1:$C$53,3,FALSE)</f>
        <v>K030</v>
      </c>
      <c r="H1501">
        <v>4270</v>
      </c>
    </row>
    <row r="1502" spans="1:8">
      <c r="A1502">
        <v>1</v>
      </c>
      <c r="B1502" t="s">
        <v>30</v>
      </c>
      <c r="C1502">
        <v>2020</v>
      </c>
      <c r="D1502" t="s">
        <v>12</v>
      </c>
      <c r="E1502" t="s">
        <v>9</v>
      </c>
      <c r="F1502" t="s">
        <v>38</v>
      </c>
      <c r="G1502" t="str">
        <f>VLOOKUP(A1502,[1]Kreise!$A$1:$C$53,3,FALSE)</f>
        <v>K031</v>
      </c>
      <c r="H1502">
        <v>31</v>
      </c>
    </row>
    <row r="1503" spans="1:8">
      <c r="A1503">
        <v>2</v>
      </c>
      <c r="B1503" t="s">
        <v>31</v>
      </c>
      <c r="C1503">
        <v>2020</v>
      </c>
      <c r="D1503" t="s">
        <v>12</v>
      </c>
      <c r="E1503" t="s">
        <v>9</v>
      </c>
      <c r="F1503" t="s">
        <v>38</v>
      </c>
      <c r="G1503" t="str">
        <f>VLOOKUP(A1503,[1]Kreise!$A$1:$C$53,3,FALSE)</f>
        <v>K032</v>
      </c>
      <c r="H1503">
        <v>45</v>
      </c>
    </row>
    <row r="1504" spans="1:8">
      <c r="A1504">
        <v>3</v>
      </c>
      <c r="B1504" t="s">
        <v>32</v>
      </c>
      <c r="C1504">
        <v>2020</v>
      </c>
      <c r="D1504" t="s">
        <v>12</v>
      </c>
      <c r="E1504" t="s">
        <v>9</v>
      </c>
      <c r="F1504" t="s">
        <v>38</v>
      </c>
      <c r="G1504" t="str">
        <f>VLOOKUP(A1504,[1]Kreise!$A$1:$C$53,3,FALSE)</f>
        <v>K033</v>
      </c>
      <c r="H1504">
        <v>6</v>
      </c>
    </row>
    <row r="1505" spans="1:8">
      <c r="A1505">
        <v>4</v>
      </c>
      <c r="B1505" t="s">
        <v>33</v>
      </c>
      <c r="C1505">
        <v>2020</v>
      </c>
      <c r="D1505" t="s">
        <v>12</v>
      </c>
      <c r="E1505" t="s">
        <v>9</v>
      </c>
      <c r="F1505" t="s">
        <v>38</v>
      </c>
      <c r="G1505" t="str">
        <f>VLOOKUP(A1505,[1]Kreise!$A$1:$C$53,3,FALSE)</f>
        <v>K034</v>
      </c>
      <c r="H1505">
        <v>66</v>
      </c>
    </row>
    <row r="1506" spans="1:8">
      <c r="A1506">
        <v>0</v>
      </c>
      <c r="B1506" t="s">
        <v>34</v>
      </c>
      <c r="C1506">
        <v>2020</v>
      </c>
      <c r="D1506" t="s">
        <v>12</v>
      </c>
      <c r="E1506" t="s">
        <v>9</v>
      </c>
      <c r="F1506" t="s">
        <v>38</v>
      </c>
      <c r="G1506" t="str">
        <f>VLOOKUP(A1506,[1]Kreise!$A$1:$C$53,3,FALSE)</f>
        <v>K030</v>
      </c>
      <c r="H1506">
        <v>148</v>
      </c>
    </row>
    <row r="1507" spans="1:8">
      <c r="A1507">
        <v>1</v>
      </c>
      <c r="B1507" t="s">
        <v>30</v>
      </c>
      <c r="C1507">
        <v>2019</v>
      </c>
      <c r="D1507" t="s">
        <v>12</v>
      </c>
      <c r="E1507" t="s">
        <v>9</v>
      </c>
      <c r="F1507" t="s">
        <v>38</v>
      </c>
      <c r="G1507" t="str">
        <f>VLOOKUP(A1507,[1]Kreise!$A$1:$C$53,3,FALSE)</f>
        <v>K031</v>
      </c>
      <c r="H1507">
        <v>44</v>
      </c>
    </row>
    <row r="1508" spans="1:8">
      <c r="A1508">
        <v>2</v>
      </c>
      <c r="B1508" t="s">
        <v>31</v>
      </c>
      <c r="C1508">
        <v>2019</v>
      </c>
      <c r="D1508" t="s">
        <v>12</v>
      </c>
      <c r="E1508" t="s">
        <v>9</v>
      </c>
      <c r="F1508" t="s">
        <v>38</v>
      </c>
      <c r="G1508" t="str">
        <f>VLOOKUP(A1508,[1]Kreise!$A$1:$C$53,3,FALSE)</f>
        <v>K032</v>
      </c>
      <c r="H1508">
        <v>36</v>
      </c>
    </row>
    <row r="1509" spans="1:8">
      <c r="A1509">
        <v>3</v>
      </c>
      <c r="B1509" t="s">
        <v>32</v>
      </c>
      <c r="C1509">
        <v>2019</v>
      </c>
      <c r="D1509" t="s">
        <v>12</v>
      </c>
      <c r="E1509" t="s">
        <v>9</v>
      </c>
      <c r="F1509" t="s">
        <v>38</v>
      </c>
      <c r="G1509" t="str">
        <f>VLOOKUP(A1509,[1]Kreise!$A$1:$C$53,3,FALSE)</f>
        <v>K033</v>
      </c>
      <c r="H1509">
        <v>29</v>
      </c>
    </row>
    <row r="1510" spans="1:8">
      <c r="A1510">
        <v>4</v>
      </c>
      <c r="B1510" t="s">
        <v>33</v>
      </c>
      <c r="C1510">
        <v>2019</v>
      </c>
      <c r="D1510" t="s">
        <v>12</v>
      </c>
      <c r="E1510" t="s">
        <v>9</v>
      </c>
      <c r="F1510" t="s">
        <v>38</v>
      </c>
      <c r="G1510" t="str">
        <f>VLOOKUP(A1510,[1]Kreise!$A$1:$C$53,3,FALSE)</f>
        <v>K034</v>
      </c>
      <c r="H1510">
        <v>78</v>
      </c>
    </row>
    <row r="1511" spans="1:8">
      <c r="A1511">
        <v>0</v>
      </c>
      <c r="B1511" t="s">
        <v>34</v>
      </c>
      <c r="C1511">
        <v>2019</v>
      </c>
      <c r="D1511" t="s">
        <v>12</v>
      </c>
      <c r="E1511" t="s">
        <v>9</v>
      </c>
      <c r="F1511" t="s">
        <v>38</v>
      </c>
      <c r="G1511" t="str">
        <f>VLOOKUP(A1511,[1]Kreise!$A$1:$C$53,3,FALSE)</f>
        <v>K030</v>
      </c>
      <c r="H1511">
        <v>187</v>
      </c>
    </row>
    <row r="1512" spans="1:8">
      <c r="A1512">
        <v>1</v>
      </c>
      <c r="B1512" t="s">
        <v>30</v>
      </c>
      <c r="C1512">
        <v>2018</v>
      </c>
      <c r="D1512" t="s">
        <v>12</v>
      </c>
      <c r="E1512" t="s">
        <v>9</v>
      </c>
      <c r="F1512" t="s">
        <v>38</v>
      </c>
      <c r="G1512" t="str">
        <f>VLOOKUP(A1512,[1]Kreise!$A$1:$C$53,3,FALSE)</f>
        <v>K031</v>
      </c>
      <c r="H1512">
        <v>40</v>
      </c>
    </row>
    <row r="1513" spans="1:8">
      <c r="A1513">
        <v>2</v>
      </c>
      <c r="B1513" t="s">
        <v>31</v>
      </c>
      <c r="C1513">
        <v>2018</v>
      </c>
      <c r="D1513" t="s">
        <v>12</v>
      </c>
      <c r="E1513" t="s">
        <v>9</v>
      </c>
      <c r="F1513" t="s">
        <v>38</v>
      </c>
      <c r="G1513" t="str">
        <f>VLOOKUP(A1513,[1]Kreise!$A$1:$C$53,3,FALSE)</f>
        <v>K032</v>
      </c>
      <c r="H1513">
        <v>43</v>
      </c>
    </row>
    <row r="1514" spans="1:8">
      <c r="A1514">
        <v>3</v>
      </c>
      <c r="B1514" t="s">
        <v>32</v>
      </c>
      <c r="C1514">
        <v>2018</v>
      </c>
      <c r="D1514" t="s">
        <v>12</v>
      </c>
      <c r="E1514" t="s">
        <v>9</v>
      </c>
      <c r="F1514" t="s">
        <v>38</v>
      </c>
      <c r="G1514" t="str">
        <f>VLOOKUP(A1514,[1]Kreise!$A$1:$C$53,3,FALSE)</f>
        <v>K033</v>
      </c>
      <c r="H1514">
        <v>29</v>
      </c>
    </row>
    <row r="1515" spans="1:8">
      <c r="A1515">
        <v>4</v>
      </c>
      <c r="B1515" t="s">
        <v>33</v>
      </c>
      <c r="C1515">
        <v>2018</v>
      </c>
      <c r="D1515" t="s">
        <v>12</v>
      </c>
      <c r="E1515" t="s">
        <v>9</v>
      </c>
      <c r="F1515" t="s">
        <v>38</v>
      </c>
      <c r="G1515" t="str">
        <f>VLOOKUP(A1515,[1]Kreise!$A$1:$C$53,3,FALSE)</f>
        <v>K034</v>
      </c>
      <c r="H1515">
        <v>74</v>
      </c>
    </row>
    <row r="1516" spans="1:8">
      <c r="A1516">
        <v>0</v>
      </c>
      <c r="B1516" t="s">
        <v>34</v>
      </c>
      <c r="C1516">
        <v>2018</v>
      </c>
      <c r="D1516" t="s">
        <v>12</v>
      </c>
      <c r="E1516" t="s">
        <v>9</v>
      </c>
      <c r="F1516" t="s">
        <v>38</v>
      </c>
      <c r="G1516" t="str">
        <f>VLOOKUP(A1516,[1]Kreise!$A$1:$C$53,3,FALSE)</f>
        <v>K030</v>
      </c>
      <c r="H1516">
        <v>186</v>
      </c>
    </row>
    <row r="1517" spans="1:8">
      <c r="A1517">
        <v>1</v>
      </c>
      <c r="B1517" t="s">
        <v>30</v>
      </c>
      <c r="C1517">
        <v>2017</v>
      </c>
      <c r="D1517" t="s">
        <v>12</v>
      </c>
      <c r="E1517" t="s">
        <v>9</v>
      </c>
      <c r="F1517" t="s">
        <v>38</v>
      </c>
      <c r="G1517" t="str">
        <f>VLOOKUP(A1517,[1]Kreise!$A$1:$C$53,3,FALSE)</f>
        <v>K031</v>
      </c>
      <c r="H1517">
        <v>39</v>
      </c>
    </row>
    <row r="1518" spans="1:8">
      <c r="A1518">
        <v>2</v>
      </c>
      <c r="B1518" t="s">
        <v>31</v>
      </c>
      <c r="C1518">
        <v>2017</v>
      </c>
      <c r="D1518" t="s">
        <v>12</v>
      </c>
      <c r="E1518" t="s">
        <v>9</v>
      </c>
      <c r="F1518" t="s">
        <v>38</v>
      </c>
      <c r="G1518" t="str">
        <f>VLOOKUP(A1518,[1]Kreise!$A$1:$C$53,3,FALSE)</f>
        <v>K032</v>
      </c>
      <c r="H1518">
        <v>46</v>
      </c>
    </row>
    <row r="1519" spans="1:8">
      <c r="A1519">
        <v>3</v>
      </c>
      <c r="B1519" t="s">
        <v>32</v>
      </c>
      <c r="C1519">
        <v>2017</v>
      </c>
      <c r="D1519" t="s">
        <v>12</v>
      </c>
      <c r="E1519" t="s">
        <v>9</v>
      </c>
      <c r="F1519" t="s">
        <v>38</v>
      </c>
      <c r="G1519" t="str">
        <f>VLOOKUP(A1519,[1]Kreise!$A$1:$C$53,3,FALSE)</f>
        <v>K033</v>
      </c>
      <c r="H1519">
        <v>20</v>
      </c>
    </row>
    <row r="1520" spans="1:8">
      <c r="A1520">
        <v>4</v>
      </c>
      <c r="B1520" t="s">
        <v>33</v>
      </c>
      <c r="C1520">
        <v>2017</v>
      </c>
      <c r="D1520" t="s">
        <v>12</v>
      </c>
      <c r="E1520" t="s">
        <v>9</v>
      </c>
      <c r="F1520" t="s">
        <v>38</v>
      </c>
      <c r="G1520" t="str">
        <f>VLOOKUP(A1520,[1]Kreise!$A$1:$C$53,3,FALSE)</f>
        <v>K034</v>
      </c>
      <c r="H1520">
        <v>73</v>
      </c>
    </row>
    <row r="1521" spans="1:8">
      <c r="A1521">
        <v>0</v>
      </c>
      <c r="B1521" t="s">
        <v>34</v>
      </c>
      <c r="C1521">
        <v>2017</v>
      </c>
      <c r="D1521" t="s">
        <v>12</v>
      </c>
      <c r="E1521" t="s">
        <v>9</v>
      </c>
      <c r="F1521" t="s">
        <v>38</v>
      </c>
      <c r="G1521" t="str">
        <f>VLOOKUP(A1521,[1]Kreise!$A$1:$C$53,3,FALSE)</f>
        <v>K030</v>
      </c>
      <c r="H1521">
        <v>178</v>
      </c>
    </row>
    <row r="1522" spans="1:8">
      <c r="A1522">
        <v>1</v>
      </c>
      <c r="B1522" t="s">
        <v>30</v>
      </c>
      <c r="C1522">
        <v>2016</v>
      </c>
      <c r="D1522" t="s">
        <v>12</v>
      </c>
      <c r="E1522" t="s">
        <v>9</v>
      </c>
      <c r="F1522" t="s">
        <v>38</v>
      </c>
      <c r="G1522" t="str">
        <f>VLOOKUP(A1522,[1]Kreise!$A$1:$C$53,3,FALSE)</f>
        <v>K031</v>
      </c>
      <c r="H1522">
        <v>40</v>
      </c>
    </row>
    <row r="1523" spans="1:8">
      <c r="A1523">
        <v>2</v>
      </c>
      <c r="B1523" t="s">
        <v>31</v>
      </c>
      <c r="C1523">
        <v>2016</v>
      </c>
      <c r="D1523" t="s">
        <v>12</v>
      </c>
      <c r="E1523" t="s">
        <v>9</v>
      </c>
      <c r="F1523" t="s">
        <v>38</v>
      </c>
      <c r="G1523" t="str">
        <f>VLOOKUP(A1523,[1]Kreise!$A$1:$C$53,3,FALSE)</f>
        <v>K032</v>
      </c>
      <c r="H1523">
        <v>50</v>
      </c>
    </row>
    <row r="1524" spans="1:8">
      <c r="A1524">
        <v>3</v>
      </c>
      <c r="B1524" t="s">
        <v>32</v>
      </c>
      <c r="C1524">
        <v>2016</v>
      </c>
      <c r="D1524" t="s">
        <v>12</v>
      </c>
      <c r="E1524" t="s">
        <v>9</v>
      </c>
      <c r="F1524" t="s">
        <v>38</v>
      </c>
      <c r="G1524" t="str">
        <f>VLOOKUP(A1524,[1]Kreise!$A$1:$C$53,3,FALSE)</f>
        <v>K033</v>
      </c>
      <c r="H1524">
        <v>25</v>
      </c>
    </row>
    <row r="1525" spans="1:8">
      <c r="A1525">
        <v>4</v>
      </c>
      <c r="B1525" t="s">
        <v>33</v>
      </c>
      <c r="C1525">
        <v>2016</v>
      </c>
      <c r="D1525" t="s">
        <v>12</v>
      </c>
      <c r="E1525" t="s">
        <v>9</v>
      </c>
      <c r="F1525" t="s">
        <v>38</v>
      </c>
      <c r="G1525" t="str">
        <f>VLOOKUP(A1525,[1]Kreise!$A$1:$C$53,3,FALSE)</f>
        <v>K034</v>
      </c>
      <c r="H1525">
        <v>70</v>
      </c>
    </row>
    <row r="1526" spans="1:8">
      <c r="A1526">
        <v>0</v>
      </c>
      <c r="B1526" t="s">
        <v>34</v>
      </c>
      <c r="C1526">
        <v>2016</v>
      </c>
      <c r="D1526" t="s">
        <v>12</v>
      </c>
      <c r="E1526" t="s">
        <v>9</v>
      </c>
      <c r="F1526" t="s">
        <v>38</v>
      </c>
      <c r="G1526" t="str">
        <f>VLOOKUP(A1526,[1]Kreise!$A$1:$C$53,3,FALSE)</f>
        <v>K030</v>
      </c>
      <c r="H1526">
        <v>185</v>
      </c>
    </row>
    <row r="1527" spans="1:8">
      <c r="A1527">
        <v>1</v>
      </c>
      <c r="B1527" t="s">
        <v>30</v>
      </c>
      <c r="C1527">
        <v>2015</v>
      </c>
      <c r="D1527" t="s">
        <v>12</v>
      </c>
      <c r="E1527" t="s">
        <v>9</v>
      </c>
      <c r="F1527" t="s">
        <v>38</v>
      </c>
      <c r="G1527" t="str">
        <f>VLOOKUP(A1527,[1]Kreise!$A$1:$C$53,3,FALSE)</f>
        <v>K031</v>
      </c>
      <c r="H1527">
        <v>54</v>
      </c>
    </row>
    <row r="1528" spans="1:8">
      <c r="A1528">
        <v>2</v>
      </c>
      <c r="B1528" t="s">
        <v>31</v>
      </c>
      <c r="C1528">
        <v>2015</v>
      </c>
      <c r="D1528" t="s">
        <v>12</v>
      </c>
      <c r="E1528" t="s">
        <v>9</v>
      </c>
      <c r="F1528" t="s">
        <v>38</v>
      </c>
      <c r="G1528" t="str">
        <f>VLOOKUP(A1528,[1]Kreise!$A$1:$C$53,3,FALSE)</f>
        <v>K032</v>
      </c>
      <c r="H1528">
        <v>61</v>
      </c>
    </row>
    <row r="1529" spans="1:8">
      <c r="A1529">
        <v>3</v>
      </c>
      <c r="B1529" t="s">
        <v>32</v>
      </c>
      <c r="C1529">
        <v>2015</v>
      </c>
      <c r="D1529" t="s">
        <v>12</v>
      </c>
      <c r="E1529" t="s">
        <v>9</v>
      </c>
      <c r="F1529" t="s">
        <v>38</v>
      </c>
      <c r="G1529" t="str">
        <f>VLOOKUP(A1529,[1]Kreise!$A$1:$C$53,3,FALSE)</f>
        <v>K033</v>
      </c>
      <c r="H1529">
        <v>34</v>
      </c>
    </row>
    <row r="1530" spans="1:8">
      <c r="A1530">
        <v>4</v>
      </c>
      <c r="B1530" t="s">
        <v>33</v>
      </c>
      <c r="C1530">
        <v>2015</v>
      </c>
      <c r="D1530" t="s">
        <v>12</v>
      </c>
      <c r="E1530" t="s">
        <v>9</v>
      </c>
      <c r="F1530" t="s">
        <v>38</v>
      </c>
      <c r="G1530" t="str">
        <f>VLOOKUP(A1530,[1]Kreise!$A$1:$C$53,3,FALSE)</f>
        <v>K034</v>
      </c>
      <c r="H1530">
        <v>79</v>
      </c>
    </row>
    <row r="1531" spans="1:8">
      <c r="A1531">
        <v>0</v>
      </c>
      <c r="B1531" t="s">
        <v>34</v>
      </c>
      <c r="C1531">
        <v>2015</v>
      </c>
      <c r="D1531" t="s">
        <v>12</v>
      </c>
      <c r="E1531" t="s">
        <v>9</v>
      </c>
      <c r="F1531" t="s">
        <v>38</v>
      </c>
      <c r="G1531" t="str">
        <f>VLOOKUP(A1531,[1]Kreise!$A$1:$C$53,3,FALSE)</f>
        <v>K030</v>
      </c>
      <c r="H1531">
        <v>228</v>
      </c>
    </row>
    <row r="1532" spans="1:8">
      <c r="A1532">
        <v>1</v>
      </c>
      <c r="B1532" t="s">
        <v>145</v>
      </c>
      <c r="C1532">
        <v>2014</v>
      </c>
      <c r="D1532" t="s">
        <v>12</v>
      </c>
      <c r="E1532" t="s">
        <v>9</v>
      </c>
      <c r="F1532" t="s">
        <v>38</v>
      </c>
      <c r="G1532" t="str">
        <f>VLOOKUP(A1532,[1]Kreise!$A$1:$C$53,3,FALSE)</f>
        <v>K031</v>
      </c>
      <c r="H1532">
        <v>43</v>
      </c>
    </row>
    <row r="1533" spans="1:8">
      <c r="A1533">
        <v>2</v>
      </c>
      <c r="B1533" t="s">
        <v>146</v>
      </c>
      <c r="C1533">
        <v>2014</v>
      </c>
      <c r="D1533" t="s">
        <v>12</v>
      </c>
      <c r="E1533" t="s">
        <v>9</v>
      </c>
      <c r="F1533" t="s">
        <v>38</v>
      </c>
      <c r="G1533" t="str">
        <f>VLOOKUP(A1533,[1]Kreise!$A$1:$C$53,3,FALSE)</f>
        <v>K032</v>
      </c>
      <c r="H1533">
        <v>109</v>
      </c>
    </row>
    <row r="1534" spans="1:8">
      <c r="A1534">
        <v>3</v>
      </c>
      <c r="B1534" t="s">
        <v>147</v>
      </c>
      <c r="C1534">
        <v>2014</v>
      </c>
      <c r="D1534" t="s">
        <v>12</v>
      </c>
      <c r="E1534" t="s">
        <v>9</v>
      </c>
      <c r="F1534" t="s">
        <v>38</v>
      </c>
      <c r="G1534" t="str">
        <f>VLOOKUP(A1534,[1]Kreise!$A$1:$C$53,3,FALSE)</f>
        <v>K033</v>
      </c>
      <c r="H1534">
        <v>57</v>
      </c>
    </row>
    <row r="1535" spans="1:8">
      <c r="A1535">
        <v>4</v>
      </c>
      <c r="B1535" t="s">
        <v>148</v>
      </c>
      <c r="C1535">
        <v>2014</v>
      </c>
      <c r="D1535" t="s">
        <v>12</v>
      </c>
      <c r="E1535" t="s">
        <v>9</v>
      </c>
      <c r="F1535" t="s">
        <v>38</v>
      </c>
      <c r="G1535" t="str">
        <f>VLOOKUP(A1535,[1]Kreise!$A$1:$C$53,3,FALSE)</f>
        <v>K034</v>
      </c>
      <c r="H1535">
        <v>109</v>
      </c>
    </row>
    <row r="1536" spans="1:8">
      <c r="A1536">
        <v>0</v>
      </c>
      <c r="B1536" t="s">
        <v>34</v>
      </c>
      <c r="C1536">
        <v>2014</v>
      </c>
      <c r="D1536" t="s">
        <v>12</v>
      </c>
      <c r="E1536" t="s">
        <v>9</v>
      </c>
      <c r="F1536" t="s">
        <v>38</v>
      </c>
      <c r="G1536" t="str">
        <f>VLOOKUP(A1536,[1]Kreise!$A$1:$C$53,3,FALSE)</f>
        <v>K030</v>
      </c>
      <c r="H1536">
        <v>318</v>
      </c>
    </row>
    <row r="1537" spans="1:8">
      <c r="A1537">
        <v>1</v>
      </c>
      <c r="B1537" t="s">
        <v>30</v>
      </c>
      <c r="C1537">
        <v>2013</v>
      </c>
      <c r="D1537" t="s">
        <v>12</v>
      </c>
      <c r="E1537" t="s">
        <v>9</v>
      </c>
      <c r="F1537" t="s">
        <v>38</v>
      </c>
      <c r="G1537" t="str">
        <f>VLOOKUP(A1537,[1]Kreise!$A$1:$C$53,3,FALSE)</f>
        <v>K031</v>
      </c>
      <c r="H1537">
        <v>71</v>
      </c>
    </row>
    <row r="1538" spans="1:8">
      <c r="A1538">
        <v>2</v>
      </c>
      <c r="B1538" t="s">
        <v>31</v>
      </c>
      <c r="C1538">
        <v>2013</v>
      </c>
      <c r="D1538" t="s">
        <v>12</v>
      </c>
      <c r="E1538" t="s">
        <v>9</v>
      </c>
      <c r="F1538" t="s">
        <v>38</v>
      </c>
      <c r="G1538" t="str">
        <f>VLOOKUP(A1538,[1]Kreise!$A$1:$C$53,3,FALSE)</f>
        <v>K032</v>
      </c>
      <c r="H1538">
        <v>109</v>
      </c>
    </row>
    <row r="1539" spans="1:8">
      <c r="A1539">
        <v>3</v>
      </c>
      <c r="B1539" t="s">
        <v>32</v>
      </c>
      <c r="C1539">
        <v>2013</v>
      </c>
      <c r="D1539" t="s">
        <v>12</v>
      </c>
      <c r="E1539" t="s">
        <v>9</v>
      </c>
      <c r="F1539" t="s">
        <v>38</v>
      </c>
      <c r="G1539" t="str">
        <f>VLOOKUP(A1539,[1]Kreise!$A$1:$C$53,3,FALSE)</f>
        <v>K033</v>
      </c>
      <c r="H1539">
        <v>48</v>
      </c>
    </row>
    <row r="1540" spans="1:8">
      <c r="A1540">
        <v>4</v>
      </c>
      <c r="B1540" t="s">
        <v>33</v>
      </c>
      <c r="C1540">
        <v>2013</v>
      </c>
      <c r="D1540" t="s">
        <v>12</v>
      </c>
      <c r="E1540" t="s">
        <v>9</v>
      </c>
      <c r="F1540" t="s">
        <v>38</v>
      </c>
      <c r="G1540" t="str">
        <f>VLOOKUP(A1540,[1]Kreise!$A$1:$C$53,3,FALSE)</f>
        <v>K034</v>
      </c>
      <c r="H1540">
        <v>117</v>
      </c>
    </row>
    <row r="1541" spans="1:8">
      <c r="A1541">
        <v>0</v>
      </c>
      <c r="B1541" t="s">
        <v>34</v>
      </c>
      <c r="C1541">
        <v>2013</v>
      </c>
      <c r="D1541" t="s">
        <v>12</v>
      </c>
      <c r="E1541" t="s">
        <v>9</v>
      </c>
      <c r="F1541" t="s">
        <v>38</v>
      </c>
      <c r="G1541" t="str">
        <f>VLOOKUP(A1541,[1]Kreise!$A$1:$C$53,3,FALSE)</f>
        <v>K030</v>
      </c>
      <c r="H1541">
        <v>345</v>
      </c>
    </row>
    <row r="1542" spans="1:8">
      <c r="A1542">
        <v>1</v>
      </c>
      <c r="B1542" t="s">
        <v>145</v>
      </c>
      <c r="C1542">
        <v>2012</v>
      </c>
      <c r="D1542" t="s">
        <v>12</v>
      </c>
      <c r="E1542" t="s">
        <v>9</v>
      </c>
      <c r="F1542" t="s">
        <v>38</v>
      </c>
      <c r="G1542" t="str">
        <f>VLOOKUP(A1542,[1]Kreise!$A$1:$C$53,3,FALSE)</f>
        <v>K031</v>
      </c>
      <c r="H1542">
        <v>80</v>
      </c>
    </row>
    <row r="1543" spans="1:8">
      <c r="A1543">
        <v>2</v>
      </c>
      <c r="B1543" t="s">
        <v>146</v>
      </c>
      <c r="C1543">
        <v>2012</v>
      </c>
      <c r="D1543" t="s">
        <v>12</v>
      </c>
      <c r="E1543" t="s">
        <v>9</v>
      </c>
      <c r="F1543" t="s">
        <v>38</v>
      </c>
      <c r="G1543" t="str">
        <f>VLOOKUP(A1543,[1]Kreise!$A$1:$C$53,3,FALSE)</f>
        <v>K032</v>
      </c>
      <c r="H1543">
        <v>165</v>
      </c>
    </row>
    <row r="1544" spans="1:8">
      <c r="A1544">
        <v>3</v>
      </c>
      <c r="B1544" t="s">
        <v>147</v>
      </c>
      <c r="C1544">
        <v>2012</v>
      </c>
      <c r="D1544" t="s">
        <v>12</v>
      </c>
      <c r="E1544" t="s">
        <v>9</v>
      </c>
      <c r="F1544" t="s">
        <v>38</v>
      </c>
      <c r="G1544" t="str">
        <f>VLOOKUP(A1544,[1]Kreise!$A$1:$C$53,3,FALSE)</f>
        <v>K033</v>
      </c>
      <c r="H1544">
        <v>64</v>
      </c>
    </row>
    <row r="1545" spans="1:8">
      <c r="A1545">
        <v>4</v>
      </c>
      <c r="B1545" t="s">
        <v>148</v>
      </c>
      <c r="C1545">
        <v>2012</v>
      </c>
      <c r="D1545" t="s">
        <v>12</v>
      </c>
      <c r="E1545" t="s">
        <v>9</v>
      </c>
      <c r="F1545" t="s">
        <v>38</v>
      </c>
      <c r="G1545" t="str">
        <f>VLOOKUP(A1545,[1]Kreise!$A$1:$C$53,3,FALSE)</f>
        <v>K034</v>
      </c>
      <c r="H1545">
        <v>135</v>
      </c>
    </row>
    <row r="1546" spans="1:8">
      <c r="A1546">
        <v>0</v>
      </c>
      <c r="B1546" t="s">
        <v>34</v>
      </c>
      <c r="C1546">
        <v>2012</v>
      </c>
      <c r="D1546" t="s">
        <v>12</v>
      </c>
      <c r="E1546" t="s">
        <v>9</v>
      </c>
      <c r="F1546" t="s">
        <v>38</v>
      </c>
      <c r="G1546" t="str">
        <f>VLOOKUP(A1546,[1]Kreise!$A$1:$C$53,3,FALSE)</f>
        <v>K030</v>
      </c>
      <c r="H1546">
        <v>444</v>
      </c>
    </row>
    <row r="1547" spans="1:8">
      <c r="A1547">
        <v>1</v>
      </c>
      <c r="B1547" t="s">
        <v>30</v>
      </c>
      <c r="C1547">
        <v>2011</v>
      </c>
      <c r="D1547" t="s">
        <v>12</v>
      </c>
      <c r="E1547" t="s">
        <v>9</v>
      </c>
      <c r="F1547" t="s">
        <v>38</v>
      </c>
      <c r="G1547" t="str">
        <f>VLOOKUP(A1547,[1]Kreise!$A$1:$C$53,3,FALSE)</f>
        <v>K031</v>
      </c>
      <c r="H1547">
        <v>105</v>
      </c>
    </row>
    <row r="1548" spans="1:8">
      <c r="A1548">
        <v>2</v>
      </c>
      <c r="B1548" t="s">
        <v>31</v>
      </c>
      <c r="C1548">
        <v>2011</v>
      </c>
      <c r="D1548" t="s">
        <v>12</v>
      </c>
      <c r="E1548" t="s">
        <v>9</v>
      </c>
      <c r="F1548" t="s">
        <v>38</v>
      </c>
      <c r="G1548" t="str">
        <f>VLOOKUP(A1548,[1]Kreise!$A$1:$C$53,3,FALSE)</f>
        <v>K032</v>
      </c>
      <c r="H1548">
        <v>196</v>
      </c>
    </row>
    <row r="1549" spans="1:8">
      <c r="A1549">
        <v>3</v>
      </c>
      <c r="B1549" t="s">
        <v>32</v>
      </c>
      <c r="C1549">
        <v>2011</v>
      </c>
      <c r="D1549" t="s">
        <v>12</v>
      </c>
      <c r="E1549" t="s">
        <v>9</v>
      </c>
      <c r="F1549" t="s">
        <v>38</v>
      </c>
      <c r="G1549" t="str">
        <f>VLOOKUP(A1549,[1]Kreise!$A$1:$C$53,3,FALSE)</f>
        <v>K033</v>
      </c>
      <c r="H1549">
        <v>84</v>
      </c>
    </row>
    <row r="1550" spans="1:8">
      <c r="A1550">
        <v>4</v>
      </c>
      <c r="B1550" t="s">
        <v>33</v>
      </c>
      <c r="C1550">
        <v>2011</v>
      </c>
      <c r="D1550" t="s">
        <v>12</v>
      </c>
      <c r="E1550" t="s">
        <v>9</v>
      </c>
      <c r="F1550" t="s">
        <v>38</v>
      </c>
      <c r="G1550" t="str">
        <f>VLOOKUP(A1550,[1]Kreise!$A$1:$C$53,3,FALSE)</f>
        <v>K034</v>
      </c>
      <c r="H1550">
        <v>151</v>
      </c>
    </row>
    <row r="1551" spans="1:8">
      <c r="A1551">
        <v>0</v>
      </c>
      <c r="B1551" t="s">
        <v>34</v>
      </c>
      <c r="C1551">
        <v>2011</v>
      </c>
      <c r="D1551" t="s">
        <v>12</v>
      </c>
      <c r="E1551" t="s">
        <v>9</v>
      </c>
      <c r="F1551" t="s">
        <v>38</v>
      </c>
      <c r="G1551" t="str">
        <f>VLOOKUP(A1551,[1]Kreise!$A$1:$C$53,3,FALSE)</f>
        <v>K030</v>
      </c>
      <c r="H1551">
        <v>536</v>
      </c>
    </row>
    <row r="1552" spans="1:8">
      <c r="A1552">
        <v>1</v>
      </c>
      <c r="B1552" t="s">
        <v>145</v>
      </c>
      <c r="C1552">
        <v>2010</v>
      </c>
      <c r="D1552" t="s">
        <v>12</v>
      </c>
      <c r="E1552" t="s">
        <v>9</v>
      </c>
      <c r="F1552" t="s">
        <v>38</v>
      </c>
      <c r="G1552" t="str">
        <f>VLOOKUP(A1552,[1]Kreise!$A$1:$C$53,3,FALSE)</f>
        <v>K031</v>
      </c>
      <c r="H1552">
        <v>107</v>
      </c>
    </row>
    <row r="1553" spans="1:8">
      <c r="A1553">
        <v>2</v>
      </c>
      <c r="B1553" t="s">
        <v>146</v>
      </c>
      <c r="C1553">
        <v>2010</v>
      </c>
      <c r="D1553" t="s">
        <v>12</v>
      </c>
      <c r="E1553" t="s">
        <v>9</v>
      </c>
      <c r="F1553" t="s">
        <v>38</v>
      </c>
      <c r="G1553" t="str">
        <f>VLOOKUP(A1553,[1]Kreise!$A$1:$C$53,3,FALSE)</f>
        <v>K032</v>
      </c>
      <c r="H1553">
        <v>207</v>
      </c>
    </row>
    <row r="1554" spans="1:8">
      <c r="A1554">
        <v>3</v>
      </c>
      <c r="B1554" t="s">
        <v>147</v>
      </c>
      <c r="C1554">
        <v>2010</v>
      </c>
      <c r="D1554" t="s">
        <v>12</v>
      </c>
      <c r="E1554" t="s">
        <v>9</v>
      </c>
      <c r="F1554" t="s">
        <v>38</v>
      </c>
      <c r="G1554" t="str">
        <f>VLOOKUP(A1554,[1]Kreise!$A$1:$C$53,3,FALSE)</f>
        <v>K033</v>
      </c>
      <c r="H1554">
        <v>56</v>
      </c>
    </row>
    <row r="1555" spans="1:8">
      <c r="A1555">
        <v>4</v>
      </c>
      <c r="B1555" t="s">
        <v>148</v>
      </c>
      <c r="C1555">
        <v>2010</v>
      </c>
      <c r="D1555" t="s">
        <v>12</v>
      </c>
      <c r="E1555" t="s">
        <v>9</v>
      </c>
      <c r="F1555" t="s">
        <v>38</v>
      </c>
      <c r="G1555" t="str">
        <f>VLOOKUP(A1555,[1]Kreise!$A$1:$C$53,3,FALSE)</f>
        <v>K034</v>
      </c>
      <c r="H1555">
        <v>133</v>
      </c>
    </row>
    <row r="1556" spans="1:8">
      <c r="A1556">
        <v>0</v>
      </c>
      <c r="B1556" t="s">
        <v>34</v>
      </c>
      <c r="C1556">
        <v>2010</v>
      </c>
      <c r="D1556" t="s">
        <v>12</v>
      </c>
      <c r="E1556" t="s">
        <v>9</v>
      </c>
      <c r="F1556" t="s">
        <v>38</v>
      </c>
      <c r="G1556" t="str">
        <f>VLOOKUP(A1556,[1]Kreise!$A$1:$C$53,3,FALSE)</f>
        <v>K030</v>
      </c>
      <c r="H1556">
        <v>503</v>
      </c>
    </row>
    <row r="1557" spans="1:8">
      <c r="A1557">
        <v>1</v>
      </c>
      <c r="B1557" t="s">
        <v>145</v>
      </c>
      <c r="C1557">
        <v>2005</v>
      </c>
      <c r="D1557" t="s">
        <v>12</v>
      </c>
      <c r="E1557" t="s">
        <v>9</v>
      </c>
      <c r="F1557" t="s">
        <v>38</v>
      </c>
      <c r="G1557" t="str">
        <f>VLOOKUP(A1557,[1]Kreise!$A$1:$C$53,3,FALSE)</f>
        <v>K031</v>
      </c>
      <c r="H1557">
        <v>165</v>
      </c>
    </row>
    <row r="1558" spans="1:8">
      <c r="A1558">
        <v>2</v>
      </c>
      <c r="B1558" t="s">
        <v>146</v>
      </c>
      <c r="C1558">
        <v>2005</v>
      </c>
      <c r="D1558" t="s">
        <v>12</v>
      </c>
      <c r="E1558" t="s">
        <v>9</v>
      </c>
      <c r="F1558" t="s">
        <v>38</v>
      </c>
      <c r="G1558" t="str">
        <f>VLOOKUP(A1558,[1]Kreise!$A$1:$C$53,3,FALSE)</f>
        <v>K032</v>
      </c>
      <c r="H1558">
        <v>306</v>
      </c>
    </row>
    <row r="1559" spans="1:8">
      <c r="A1559">
        <v>3</v>
      </c>
      <c r="B1559" t="s">
        <v>147</v>
      </c>
      <c r="C1559">
        <v>2005</v>
      </c>
      <c r="D1559" t="s">
        <v>12</v>
      </c>
      <c r="E1559" t="s">
        <v>9</v>
      </c>
      <c r="F1559" t="s">
        <v>38</v>
      </c>
      <c r="G1559" t="str">
        <f>VLOOKUP(A1559,[1]Kreise!$A$1:$C$53,3,FALSE)</f>
        <v>K033</v>
      </c>
      <c r="H1559">
        <v>137</v>
      </c>
    </row>
    <row r="1560" spans="1:8">
      <c r="A1560">
        <v>4</v>
      </c>
      <c r="B1560" t="s">
        <v>148</v>
      </c>
      <c r="C1560">
        <v>2005</v>
      </c>
      <c r="D1560" t="s">
        <v>12</v>
      </c>
      <c r="E1560" t="s">
        <v>9</v>
      </c>
      <c r="F1560" t="s">
        <v>38</v>
      </c>
      <c r="G1560" t="str">
        <f>VLOOKUP(A1560,[1]Kreise!$A$1:$C$53,3,FALSE)</f>
        <v>K034</v>
      </c>
      <c r="H1560">
        <v>247</v>
      </c>
    </row>
    <row r="1561" spans="1:8">
      <c r="A1561">
        <v>0</v>
      </c>
      <c r="B1561" t="s">
        <v>34</v>
      </c>
      <c r="C1561">
        <v>2005</v>
      </c>
      <c r="D1561" t="s">
        <v>12</v>
      </c>
      <c r="E1561" t="s">
        <v>9</v>
      </c>
      <c r="F1561" t="s">
        <v>38</v>
      </c>
      <c r="G1561" t="str">
        <f>VLOOKUP(A1561,[1]Kreise!$A$1:$C$53,3,FALSE)</f>
        <v>K030</v>
      </c>
      <c r="H1561">
        <v>855</v>
      </c>
    </row>
    <row r="1562" spans="1:8">
      <c r="A1562">
        <v>1</v>
      </c>
      <c r="B1562" t="s">
        <v>30</v>
      </c>
      <c r="C1562">
        <v>2020</v>
      </c>
      <c r="D1562" t="s">
        <v>11</v>
      </c>
      <c r="E1562" t="s">
        <v>10</v>
      </c>
      <c r="F1562" t="s">
        <v>38</v>
      </c>
      <c r="G1562" t="str">
        <f>VLOOKUP(A1562,[1]Kreise!$A$1:$C$53,3,FALSE)</f>
        <v>K031</v>
      </c>
      <c r="H1562">
        <v>12880</v>
      </c>
    </row>
    <row r="1563" spans="1:8">
      <c r="A1563">
        <v>2</v>
      </c>
      <c r="B1563" t="s">
        <v>31</v>
      </c>
      <c r="C1563">
        <v>2020</v>
      </c>
      <c r="D1563" t="s">
        <v>11</v>
      </c>
      <c r="E1563" t="s">
        <v>10</v>
      </c>
      <c r="F1563" t="s">
        <v>38</v>
      </c>
      <c r="G1563" t="str">
        <f>VLOOKUP(A1563,[1]Kreise!$A$1:$C$53,3,FALSE)</f>
        <v>K032</v>
      </c>
      <c r="H1563">
        <v>17610</v>
      </c>
    </row>
    <row r="1564" spans="1:8">
      <c r="A1564">
        <v>3</v>
      </c>
      <c r="B1564" t="s">
        <v>32</v>
      </c>
      <c r="C1564">
        <v>2020</v>
      </c>
      <c r="D1564" t="s">
        <v>11</v>
      </c>
      <c r="E1564" t="s">
        <v>10</v>
      </c>
      <c r="F1564" t="s">
        <v>38</v>
      </c>
      <c r="G1564" t="str">
        <f>VLOOKUP(A1564,[1]Kreise!$A$1:$C$53,3,FALSE)</f>
        <v>K033</v>
      </c>
      <c r="H1564">
        <v>15562</v>
      </c>
    </row>
    <row r="1565" spans="1:8">
      <c r="A1565">
        <v>4</v>
      </c>
      <c r="B1565" t="s">
        <v>33</v>
      </c>
      <c r="C1565">
        <v>2020</v>
      </c>
      <c r="D1565" t="s">
        <v>11</v>
      </c>
      <c r="E1565" t="s">
        <v>10</v>
      </c>
      <c r="F1565" t="s">
        <v>38</v>
      </c>
      <c r="G1565" t="str">
        <f>VLOOKUP(A1565,[1]Kreise!$A$1:$C$53,3,FALSE)</f>
        <v>K034</v>
      </c>
      <c r="H1565">
        <v>22106</v>
      </c>
    </row>
    <row r="1566" spans="1:8">
      <c r="A1566">
        <v>0</v>
      </c>
      <c r="B1566" t="s">
        <v>34</v>
      </c>
      <c r="C1566">
        <v>2020</v>
      </c>
      <c r="D1566" t="s">
        <v>11</v>
      </c>
      <c r="E1566" t="s">
        <v>10</v>
      </c>
      <c r="F1566" t="s">
        <v>38</v>
      </c>
      <c r="G1566" t="str">
        <f>VLOOKUP(A1566,[1]Kreise!$A$1:$C$53,3,FALSE)</f>
        <v>K030</v>
      </c>
      <c r="H1566">
        <v>68158</v>
      </c>
    </row>
    <row r="1567" spans="1:8">
      <c r="A1567">
        <v>1</v>
      </c>
      <c r="B1567" t="s">
        <v>30</v>
      </c>
      <c r="C1567">
        <v>2019</v>
      </c>
      <c r="D1567" t="s">
        <v>11</v>
      </c>
      <c r="E1567" t="s">
        <v>10</v>
      </c>
      <c r="F1567" t="s">
        <v>38</v>
      </c>
      <c r="G1567" t="str">
        <f>VLOOKUP(A1567,[1]Kreise!$A$1:$C$53,3,FALSE)</f>
        <v>K031</v>
      </c>
      <c r="H1567">
        <v>13411</v>
      </c>
    </row>
    <row r="1568" spans="1:8">
      <c r="A1568">
        <v>2</v>
      </c>
      <c r="B1568" t="s">
        <v>31</v>
      </c>
      <c r="C1568">
        <v>2019</v>
      </c>
      <c r="D1568" t="s">
        <v>11</v>
      </c>
      <c r="E1568" t="s">
        <v>10</v>
      </c>
      <c r="F1568" t="s">
        <v>38</v>
      </c>
      <c r="G1568" t="str">
        <f>VLOOKUP(A1568,[1]Kreise!$A$1:$C$53,3,FALSE)</f>
        <v>K032</v>
      </c>
      <c r="H1568">
        <v>18225</v>
      </c>
    </row>
    <row r="1569" spans="1:8">
      <c r="A1569">
        <v>3</v>
      </c>
      <c r="B1569" t="s">
        <v>32</v>
      </c>
      <c r="C1569">
        <v>2019</v>
      </c>
      <c r="D1569" t="s">
        <v>11</v>
      </c>
      <c r="E1569" t="s">
        <v>10</v>
      </c>
      <c r="F1569" t="s">
        <v>38</v>
      </c>
      <c r="G1569" t="str">
        <f>VLOOKUP(A1569,[1]Kreise!$A$1:$C$53,3,FALSE)</f>
        <v>K033</v>
      </c>
      <c r="H1569">
        <v>16195</v>
      </c>
    </row>
    <row r="1570" spans="1:8">
      <c r="A1570">
        <v>4</v>
      </c>
      <c r="B1570" t="s">
        <v>33</v>
      </c>
      <c r="C1570">
        <v>2019</v>
      </c>
      <c r="D1570" t="s">
        <v>11</v>
      </c>
      <c r="E1570" t="s">
        <v>10</v>
      </c>
      <c r="F1570" t="s">
        <v>38</v>
      </c>
      <c r="G1570" t="str">
        <f>VLOOKUP(A1570,[1]Kreise!$A$1:$C$53,3,FALSE)</f>
        <v>K034</v>
      </c>
      <c r="H1570">
        <v>23492</v>
      </c>
    </row>
    <row r="1571" spans="1:8">
      <c r="A1571">
        <v>0</v>
      </c>
      <c r="B1571" t="s">
        <v>34</v>
      </c>
      <c r="C1571">
        <v>2019</v>
      </c>
      <c r="D1571" t="s">
        <v>11</v>
      </c>
      <c r="E1571" t="s">
        <v>10</v>
      </c>
      <c r="F1571" t="s">
        <v>38</v>
      </c>
      <c r="G1571" t="str">
        <f>VLOOKUP(A1571,[1]Kreise!$A$1:$C$53,3,FALSE)</f>
        <v>K030</v>
      </c>
      <c r="H1571">
        <v>71323</v>
      </c>
    </row>
    <row r="1572" spans="1:8">
      <c r="A1572">
        <v>1</v>
      </c>
      <c r="B1572" t="s">
        <v>30</v>
      </c>
      <c r="C1572">
        <v>2018</v>
      </c>
      <c r="D1572" t="s">
        <v>11</v>
      </c>
      <c r="E1572" t="s">
        <v>10</v>
      </c>
      <c r="F1572" t="s">
        <v>38</v>
      </c>
      <c r="G1572" t="str">
        <f>VLOOKUP(A1572,[1]Kreise!$A$1:$C$53,3,FALSE)</f>
        <v>K031</v>
      </c>
      <c r="H1572">
        <v>13370</v>
      </c>
    </row>
    <row r="1573" spans="1:8">
      <c r="A1573">
        <v>2</v>
      </c>
      <c r="B1573" t="s">
        <v>31</v>
      </c>
      <c r="C1573">
        <v>2018</v>
      </c>
      <c r="D1573" t="s">
        <v>11</v>
      </c>
      <c r="E1573" t="s">
        <v>10</v>
      </c>
      <c r="F1573" t="s">
        <v>38</v>
      </c>
      <c r="G1573" t="str">
        <f>VLOOKUP(A1573,[1]Kreise!$A$1:$C$53,3,FALSE)</f>
        <v>K032</v>
      </c>
      <c r="H1573">
        <v>18580</v>
      </c>
    </row>
    <row r="1574" spans="1:8">
      <c r="A1574">
        <v>3</v>
      </c>
      <c r="B1574" t="s">
        <v>32</v>
      </c>
      <c r="C1574">
        <v>2018</v>
      </c>
      <c r="D1574" t="s">
        <v>11</v>
      </c>
      <c r="E1574" t="s">
        <v>10</v>
      </c>
      <c r="F1574" t="s">
        <v>38</v>
      </c>
      <c r="G1574" t="str">
        <f>VLOOKUP(A1574,[1]Kreise!$A$1:$C$53,3,FALSE)</f>
        <v>K033</v>
      </c>
      <c r="H1574">
        <v>16616</v>
      </c>
    </row>
    <row r="1575" spans="1:8">
      <c r="A1575">
        <v>4</v>
      </c>
      <c r="B1575" t="s">
        <v>33</v>
      </c>
      <c r="C1575">
        <v>2018</v>
      </c>
      <c r="D1575" t="s">
        <v>11</v>
      </c>
      <c r="E1575" t="s">
        <v>10</v>
      </c>
      <c r="F1575" t="s">
        <v>38</v>
      </c>
      <c r="G1575" t="str">
        <f>VLOOKUP(A1575,[1]Kreise!$A$1:$C$53,3,FALSE)</f>
        <v>K034</v>
      </c>
      <c r="H1575">
        <v>24359</v>
      </c>
    </row>
    <row r="1576" spans="1:8">
      <c r="A1576">
        <v>0</v>
      </c>
      <c r="B1576" t="s">
        <v>34</v>
      </c>
      <c r="C1576">
        <v>2018</v>
      </c>
      <c r="D1576" t="s">
        <v>11</v>
      </c>
      <c r="E1576" t="s">
        <v>10</v>
      </c>
      <c r="F1576" t="s">
        <v>38</v>
      </c>
      <c r="G1576" t="str">
        <f>VLOOKUP(A1576,[1]Kreise!$A$1:$C$53,3,FALSE)</f>
        <v>K030</v>
      </c>
      <c r="H1576">
        <v>72925</v>
      </c>
    </row>
    <row r="1577" spans="1:8">
      <c r="A1577">
        <v>1</v>
      </c>
      <c r="B1577" t="s">
        <v>30</v>
      </c>
      <c r="C1577">
        <v>2017</v>
      </c>
      <c r="D1577" t="s">
        <v>11</v>
      </c>
      <c r="E1577" t="s">
        <v>10</v>
      </c>
      <c r="F1577" t="s">
        <v>38</v>
      </c>
      <c r="G1577" t="str">
        <f>VLOOKUP(A1577,[1]Kreise!$A$1:$C$53,3,FALSE)</f>
        <v>K031</v>
      </c>
      <c r="H1577">
        <v>13608</v>
      </c>
    </row>
    <row r="1578" spans="1:8">
      <c r="A1578">
        <v>2</v>
      </c>
      <c r="B1578" t="s">
        <v>31</v>
      </c>
      <c r="C1578">
        <v>2017</v>
      </c>
      <c r="D1578" t="s">
        <v>11</v>
      </c>
      <c r="E1578" t="s">
        <v>10</v>
      </c>
      <c r="F1578" t="s">
        <v>38</v>
      </c>
      <c r="G1578" t="str">
        <f>VLOOKUP(A1578,[1]Kreise!$A$1:$C$53,3,FALSE)</f>
        <v>K032</v>
      </c>
      <c r="H1578">
        <v>18626</v>
      </c>
    </row>
    <row r="1579" spans="1:8">
      <c r="A1579">
        <v>3</v>
      </c>
      <c r="B1579" t="s">
        <v>32</v>
      </c>
      <c r="C1579">
        <v>2017</v>
      </c>
      <c r="D1579" t="s">
        <v>11</v>
      </c>
      <c r="E1579" t="s">
        <v>10</v>
      </c>
      <c r="F1579" t="s">
        <v>38</v>
      </c>
      <c r="G1579" t="str">
        <f>VLOOKUP(A1579,[1]Kreise!$A$1:$C$53,3,FALSE)</f>
        <v>K033</v>
      </c>
      <c r="H1579">
        <v>16826</v>
      </c>
    </row>
    <row r="1580" spans="1:8">
      <c r="A1580">
        <v>4</v>
      </c>
      <c r="B1580" t="s">
        <v>33</v>
      </c>
      <c r="C1580">
        <v>2017</v>
      </c>
      <c r="D1580" t="s">
        <v>11</v>
      </c>
      <c r="E1580" t="s">
        <v>10</v>
      </c>
      <c r="F1580" t="s">
        <v>38</v>
      </c>
      <c r="G1580" t="str">
        <f>VLOOKUP(A1580,[1]Kreise!$A$1:$C$53,3,FALSE)</f>
        <v>K034</v>
      </c>
      <c r="H1580">
        <v>24789</v>
      </c>
    </row>
    <row r="1581" spans="1:8">
      <c r="A1581">
        <v>0</v>
      </c>
      <c r="B1581" t="s">
        <v>34</v>
      </c>
      <c r="C1581">
        <v>2017</v>
      </c>
      <c r="D1581" t="s">
        <v>11</v>
      </c>
      <c r="E1581" t="s">
        <v>10</v>
      </c>
      <c r="F1581" t="s">
        <v>38</v>
      </c>
      <c r="G1581" t="str">
        <f>VLOOKUP(A1581,[1]Kreise!$A$1:$C$53,3,FALSE)</f>
        <v>K030</v>
      </c>
      <c r="H1581">
        <v>73849</v>
      </c>
    </row>
    <row r="1582" spans="1:8">
      <c r="A1582">
        <v>1</v>
      </c>
      <c r="B1582" t="s">
        <v>30</v>
      </c>
      <c r="C1582">
        <v>2016</v>
      </c>
      <c r="D1582" t="s">
        <v>11</v>
      </c>
      <c r="E1582" t="s">
        <v>10</v>
      </c>
      <c r="F1582" t="s">
        <v>38</v>
      </c>
      <c r="G1582" t="str">
        <f>VLOOKUP(A1582,[1]Kreise!$A$1:$C$53,3,FALSE)</f>
        <v>K031</v>
      </c>
      <c r="H1582">
        <v>13599</v>
      </c>
    </row>
    <row r="1583" spans="1:8">
      <c r="A1583">
        <v>2</v>
      </c>
      <c r="B1583" t="s">
        <v>31</v>
      </c>
      <c r="C1583">
        <v>2016</v>
      </c>
      <c r="D1583" t="s">
        <v>11</v>
      </c>
      <c r="E1583" t="s">
        <v>10</v>
      </c>
      <c r="F1583" t="s">
        <v>38</v>
      </c>
      <c r="G1583" t="str">
        <f>VLOOKUP(A1583,[1]Kreise!$A$1:$C$53,3,FALSE)</f>
        <v>K032</v>
      </c>
      <c r="H1583">
        <v>18553</v>
      </c>
    </row>
    <row r="1584" spans="1:8">
      <c r="A1584">
        <v>3</v>
      </c>
      <c r="B1584" t="s">
        <v>32</v>
      </c>
      <c r="C1584">
        <v>2016</v>
      </c>
      <c r="D1584" t="s">
        <v>11</v>
      </c>
      <c r="E1584" t="s">
        <v>10</v>
      </c>
      <c r="F1584" t="s">
        <v>38</v>
      </c>
      <c r="G1584" t="str">
        <f>VLOOKUP(A1584,[1]Kreise!$A$1:$C$53,3,FALSE)</f>
        <v>K033</v>
      </c>
      <c r="H1584">
        <v>16637</v>
      </c>
    </row>
    <row r="1585" spans="1:8">
      <c r="A1585">
        <v>4</v>
      </c>
      <c r="B1585" t="s">
        <v>33</v>
      </c>
      <c r="C1585">
        <v>2016</v>
      </c>
      <c r="D1585" t="s">
        <v>11</v>
      </c>
      <c r="E1585" t="s">
        <v>10</v>
      </c>
      <c r="F1585" t="s">
        <v>38</v>
      </c>
      <c r="G1585" t="str">
        <f>VLOOKUP(A1585,[1]Kreise!$A$1:$C$53,3,FALSE)</f>
        <v>K034</v>
      </c>
      <c r="H1585">
        <v>24673</v>
      </c>
    </row>
    <row r="1586" spans="1:8">
      <c r="A1586">
        <v>0</v>
      </c>
      <c r="B1586" t="s">
        <v>34</v>
      </c>
      <c r="C1586">
        <v>2016</v>
      </c>
      <c r="D1586" t="s">
        <v>11</v>
      </c>
      <c r="E1586" t="s">
        <v>10</v>
      </c>
      <c r="F1586" t="s">
        <v>38</v>
      </c>
      <c r="G1586" t="str">
        <f>VLOOKUP(A1586,[1]Kreise!$A$1:$C$53,3,FALSE)</f>
        <v>K030</v>
      </c>
      <c r="H1586">
        <v>73462</v>
      </c>
    </row>
    <row r="1587" spans="1:8">
      <c r="A1587">
        <v>1</v>
      </c>
      <c r="B1587" t="s">
        <v>30</v>
      </c>
      <c r="C1587">
        <v>2015</v>
      </c>
      <c r="D1587" t="s">
        <v>11</v>
      </c>
      <c r="E1587" t="s">
        <v>10</v>
      </c>
      <c r="F1587" t="s">
        <v>38</v>
      </c>
      <c r="G1587" t="str">
        <f>VLOOKUP(A1587,[1]Kreise!$A$1:$C$53,3,FALSE)</f>
        <v>K031</v>
      </c>
      <c r="H1587">
        <v>13979</v>
      </c>
    </row>
    <row r="1588" spans="1:8">
      <c r="A1588">
        <v>2</v>
      </c>
      <c r="B1588" t="s">
        <v>31</v>
      </c>
      <c r="C1588">
        <v>2015</v>
      </c>
      <c r="D1588" t="s">
        <v>11</v>
      </c>
      <c r="E1588" t="s">
        <v>10</v>
      </c>
      <c r="F1588" t="s">
        <v>38</v>
      </c>
      <c r="G1588" t="str">
        <f>VLOOKUP(A1588,[1]Kreise!$A$1:$C$53,3,FALSE)</f>
        <v>K032</v>
      </c>
      <c r="H1588">
        <v>18791</v>
      </c>
    </row>
    <row r="1589" spans="1:8">
      <c r="A1589">
        <v>3</v>
      </c>
      <c r="B1589" t="s">
        <v>32</v>
      </c>
      <c r="C1589">
        <v>2015</v>
      </c>
      <c r="D1589" t="s">
        <v>11</v>
      </c>
      <c r="E1589" t="s">
        <v>10</v>
      </c>
      <c r="F1589" t="s">
        <v>38</v>
      </c>
      <c r="G1589" t="str">
        <f>VLOOKUP(A1589,[1]Kreise!$A$1:$C$53,3,FALSE)</f>
        <v>K033</v>
      </c>
      <c r="H1589">
        <v>17211</v>
      </c>
    </row>
    <row r="1590" spans="1:8">
      <c r="A1590">
        <v>4</v>
      </c>
      <c r="B1590" t="s">
        <v>33</v>
      </c>
      <c r="C1590">
        <v>2015</v>
      </c>
      <c r="D1590" t="s">
        <v>11</v>
      </c>
      <c r="E1590" t="s">
        <v>10</v>
      </c>
      <c r="F1590" t="s">
        <v>38</v>
      </c>
      <c r="G1590" t="str">
        <f>VLOOKUP(A1590,[1]Kreise!$A$1:$C$53,3,FALSE)</f>
        <v>K034</v>
      </c>
      <c r="H1590">
        <v>25722</v>
      </c>
    </row>
    <row r="1591" spans="1:8">
      <c r="A1591">
        <v>0</v>
      </c>
      <c r="B1591" t="s">
        <v>34</v>
      </c>
      <c r="C1591">
        <v>2015</v>
      </c>
      <c r="D1591" t="s">
        <v>11</v>
      </c>
      <c r="E1591" t="s">
        <v>10</v>
      </c>
      <c r="F1591" t="s">
        <v>38</v>
      </c>
      <c r="G1591" t="str">
        <f>VLOOKUP(A1591,[1]Kreise!$A$1:$C$53,3,FALSE)</f>
        <v>K030</v>
      </c>
      <c r="H1591">
        <v>75703</v>
      </c>
    </row>
    <row r="1592" spans="1:8">
      <c r="A1592">
        <v>1</v>
      </c>
      <c r="B1592" t="s">
        <v>145</v>
      </c>
      <c r="C1592">
        <v>2014</v>
      </c>
      <c r="D1592" t="s">
        <v>11</v>
      </c>
      <c r="E1592" t="s">
        <v>10</v>
      </c>
      <c r="F1592" t="s">
        <v>38</v>
      </c>
      <c r="G1592" t="str">
        <f>VLOOKUP(A1592,[1]Kreise!$A$1:$C$53,3,FALSE)</f>
        <v>K031</v>
      </c>
      <c r="H1592">
        <v>14642</v>
      </c>
    </row>
    <row r="1593" spans="1:8">
      <c r="A1593">
        <v>2</v>
      </c>
      <c r="B1593" t="s">
        <v>146</v>
      </c>
      <c r="C1593">
        <v>2014</v>
      </c>
      <c r="D1593" t="s">
        <v>11</v>
      </c>
      <c r="E1593" t="s">
        <v>10</v>
      </c>
      <c r="F1593" t="s">
        <v>38</v>
      </c>
      <c r="G1593" t="str">
        <f>VLOOKUP(A1593,[1]Kreise!$A$1:$C$53,3,FALSE)</f>
        <v>K032</v>
      </c>
      <c r="H1593">
        <v>19311</v>
      </c>
    </row>
    <row r="1594" spans="1:8">
      <c r="A1594">
        <v>3</v>
      </c>
      <c r="B1594" t="s">
        <v>147</v>
      </c>
      <c r="C1594">
        <v>2014</v>
      </c>
      <c r="D1594" t="s">
        <v>11</v>
      </c>
      <c r="E1594" t="s">
        <v>10</v>
      </c>
      <c r="F1594" t="s">
        <v>38</v>
      </c>
      <c r="G1594" t="str">
        <f>VLOOKUP(A1594,[1]Kreise!$A$1:$C$53,3,FALSE)</f>
        <v>K033</v>
      </c>
      <c r="H1594">
        <v>17955</v>
      </c>
    </row>
    <row r="1595" spans="1:8">
      <c r="A1595">
        <v>4</v>
      </c>
      <c r="B1595" t="s">
        <v>148</v>
      </c>
      <c r="C1595">
        <v>2014</v>
      </c>
      <c r="D1595" t="s">
        <v>11</v>
      </c>
      <c r="E1595" t="s">
        <v>10</v>
      </c>
      <c r="F1595" t="s">
        <v>38</v>
      </c>
      <c r="G1595" t="str">
        <f>VLOOKUP(A1595,[1]Kreise!$A$1:$C$53,3,FALSE)</f>
        <v>K034</v>
      </c>
      <c r="H1595">
        <v>26187</v>
      </c>
    </row>
    <row r="1596" spans="1:8">
      <c r="A1596">
        <v>0</v>
      </c>
      <c r="B1596" t="s">
        <v>34</v>
      </c>
      <c r="C1596">
        <v>2014</v>
      </c>
      <c r="D1596" t="s">
        <v>11</v>
      </c>
      <c r="E1596" t="s">
        <v>10</v>
      </c>
      <c r="F1596" t="s">
        <v>38</v>
      </c>
      <c r="G1596" t="str">
        <f>VLOOKUP(A1596,[1]Kreise!$A$1:$C$53,3,FALSE)</f>
        <v>K030</v>
      </c>
      <c r="H1596">
        <v>78095</v>
      </c>
    </row>
    <row r="1597" spans="1:8">
      <c r="A1597">
        <v>1</v>
      </c>
      <c r="B1597" t="s">
        <v>30</v>
      </c>
      <c r="C1597">
        <v>2013</v>
      </c>
      <c r="D1597" t="s">
        <v>11</v>
      </c>
      <c r="E1597" t="s">
        <v>10</v>
      </c>
      <c r="F1597" t="s">
        <v>38</v>
      </c>
      <c r="G1597" t="str">
        <f>VLOOKUP(A1597,[1]Kreise!$A$1:$C$53,3,FALSE)</f>
        <v>K031</v>
      </c>
      <c r="H1597">
        <v>15226</v>
      </c>
    </row>
    <row r="1598" spans="1:8">
      <c r="A1598">
        <v>2</v>
      </c>
      <c r="B1598" t="s">
        <v>31</v>
      </c>
      <c r="C1598">
        <v>2013</v>
      </c>
      <c r="D1598" t="s">
        <v>11</v>
      </c>
      <c r="E1598" t="s">
        <v>10</v>
      </c>
      <c r="F1598" t="s">
        <v>38</v>
      </c>
      <c r="G1598" t="str">
        <f>VLOOKUP(A1598,[1]Kreise!$A$1:$C$53,3,FALSE)</f>
        <v>K032</v>
      </c>
      <c r="H1598">
        <v>20018</v>
      </c>
    </row>
    <row r="1599" spans="1:8">
      <c r="A1599">
        <v>3</v>
      </c>
      <c r="B1599" t="s">
        <v>32</v>
      </c>
      <c r="C1599">
        <v>2013</v>
      </c>
      <c r="D1599" t="s">
        <v>11</v>
      </c>
      <c r="E1599" t="s">
        <v>10</v>
      </c>
      <c r="F1599" t="s">
        <v>38</v>
      </c>
      <c r="G1599" t="str">
        <f>VLOOKUP(A1599,[1]Kreise!$A$1:$C$53,3,FALSE)</f>
        <v>K033</v>
      </c>
      <c r="H1599">
        <v>18775</v>
      </c>
    </row>
    <row r="1600" spans="1:8">
      <c r="A1600">
        <v>4</v>
      </c>
      <c r="B1600" t="s">
        <v>33</v>
      </c>
      <c r="C1600">
        <v>2013</v>
      </c>
      <c r="D1600" t="s">
        <v>11</v>
      </c>
      <c r="E1600" t="s">
        <v>10</v>
      </c>
      <c r="F1600" t="s">
        <v>38</v>
      </c>
      <c r="G1600" t="str">
        <f>VLOOKUP(A1600,[1]Kreise!$A$1:$C$53,3,FALSE)</f>
        <v>K034</v>
      </c>
      <c r="H1600">
        <v>27732</v>
      </c>
    </row>
    <row r="1601" spans="1:8">
      <c r="A1601">
        <v>0</v>
      </c>
      <c r="B1601" t="s">
        <v>34</v>
      </c>
      <c r="C1601">
        <v>2013</v>
      </c>
      <c r="D1601" t="s">
        <v>11</v>
      </c>
      <c r="E1601" t="s">
        <v>10</v>
      </c>
      <c r="F1601" t="s">
        <v>38</v>
      </c>
      <c r="G1601" t="str">
        <f>VLOOKUP(A1601,[1]Kreise!$A$1:$C$53,3,FALSE)</f>
        <v>K030</v>
      </c>
      <c r="H1601">
        <v>81751</v>
      </c>
    </row>
    <row r="1602" spans="1:8">
      <c r="A1602">
        <v>1</v>
      </c>
      <c r="B1602" t="s">
        <v>145</v>
      </c>
      <c r="C1602">
        <v>2012</v>
      </c>
      <c r="D1602" t="s">
        <v>11</v>
      </c>
      <c r="E1602" t="s">
        <v>10</v>
      </c>
      <c r="F1602" t="s">
        <v>38</v>
      </c>
      <c r="G1602" t="str">
        <f>VLOOKUP(A1602,[1]Kreise!$A$1:$C$53,3,FALSE)</f>
        <v>K031</v>
      </c>
      <c r="H1602">
        <v>15279</v>
      </c>
    </row>
    <row r="1603" spans="1:8">
      <c r="A1603">
        <v>2</v>
      </c>
      <c r="B1603" t="s">
        <v>146</v>
      </c>
      <c r="C1603">
        <v>2012</v>
      </c>
      <c r="D1603" t="s">
        <v>11</v>
      </c>
      <c r="E1603" t="s">
        <v>10</v>
      </c>
      <c r="F1603" t="s">
        <v>38</v>
      </c>
      <c r="G1603" t="str">
        <f>VLOOKUP(A1603,[1]Kreise!$A$1:$C$53,3,FALSE)</f>
        <v>K032</v>
      </c>
      <c r="H1603">
        <v>20558</v>
      </c>
    </row>
    <row r="1604" spans="1:8">
      <c r="A1604">
        <v>3</v>
      </c>
      <c r="B1604" t="s">
        <v>147</v>
      </c>
      <c r="C1604">
        <v>2012</v>
      </c>
      <c r="D1604" t="s">
        <v>11</v>
      </c>
      <c r="E1604" t="s">
        <v>10</v>
      </c>
      <c r="F1604" t="s">
        <v>38</v>
      </c>
      <c r="G1604" t="str">
        <f>VLOOKUP(A1604,[1]Kreise!$A$1:$C$53,3,FALSE)</f>
        <v>K033</v>
      </c>
      <c r="H1604">
        <v>18916</v>
      </c>
    </row>
    <row r="1605" spans="1:8">
      <c r="A1605">
        <v>4</v>
      </c>
      <c r="B1605" t="s">
        <v>148</v>
      </c>
      <c r="C1605">
        <v>2012</v>
      </c>
      <c r="D1605" t="s">
        <v>11</v>
      </c>
      <c r="E1605" t="s">
        <v>10</v>
      </c>
      <c r="F1605" t="s">
        <v>38</v>
      </c>
      <c r="G1605" t="str">
        <f>VLOOKUP(A1605,[1]Kreise!$A$1:$C$53,3,FALSE)</f>
        <v>K034</v>
      </c>
      <c r="H1605">
        <v>27976</v>
      </c>
    </row>
    <row r="1606" spans="1:8">
      <c r="A1606">
        <v>0</v>
      </c>
      <c r="B1606" t="s">
        <v>34</v>
      </c>
      <c r="C1606">
        <v>2012</v>
      </c>
      <c r="D1606" t="s">
        <v>11</v>
      </c>
      <c r="E1606" t="s">
        <v>10</v>
      </c>
      <c r="F1606" t="s">
        <v>38</v>
      </c>
      <c r="G1606" t="str">
        <f>VLOOKUP(A1606,[1]Kreise!$A$1:$C$53,3,FALSE)</f>
        <v>K030</v>
      </c>
      <c r="H1606">
        <v>82729</v>
      </c>
    </row>
    <row r="1607" spans="1:8">
      <c r="A1607">
        <v>1</v>
      </c>
      <c r="B1607" t="s">
        <v>30</v>
      </c>
      <c r="C1607">
        <v>2011</v>
      </c>
      <c r="D1607" t="s">
        <v>11</v>
      </c>
      <c r="E1607" t="s">
        <v>10</v>
      </c>
      <c r="F1607" t="s">
        <v>38</v>
      </c>
      <c r="G1607" t="str">
        <f>VLOOKUP(A1607,[1]Kreise!$A$1:$C$53,3,FALSE)</f>
        <v>K031</v>
      </c>
      <c r="H1607">
        <v>15948</v>
      </c>
    </row>
    <row r="1608" spans="1:8">
      <c r="A1608">
        <v>2</v>
      </c>
      <c r="B1608" t="s">
        <v>31</v>
      </c>
      <c r="C1608">
        <v>2011</v>
      </c>
      <c r="D1608" t="s">
        <v>11</v>
      </c>
      <c r="E1608" t="s">
        <v>10</v>
      </c>
      <c r="F1608" t="s">
        <v>38</v>
      </c>
      <c r="G1608" t="str">
        <f>VLOOKUP(A1608,[1]Kreise!$A$1:$C$53,3,FALSE)</f>
        <v>K032</v>
      </c>
      <c r="H1608">
        <v>21147</v>
      </c>
    </row>
    <row r="1609" spans="1:8">
      <c r="A1609">
        <v>3</v>
      </c>
      <c r="B1609" t="s">
        <v>32</v>
      </c>
      <c r="C1609">
        <v>2011</v>
      </c>
      <c r="D1609" t="s">
        <v>11</v>
      </c>
      <c r="E1609" t="s">
        <v>10</v>
      </c>
      <c r="F1609" t="s">
        <v>38</v>
      </c>
      <c r="G1609" t="str">
        <f>VLOOKUP(A1609,[1]Kreise!$A$1:$C$53,3,FALSE)</f>
        <v>K033</v>
      </c>
      <c r="H1609">
        <v>19883</v>
      </c>
    </row>
    <row r="1610" spans="1:8">
      <c r="A1610">
        <v>4</v>
      </c>
      <c r="B1610" t="s">
        <v>33</v>
      </c>
      <c r="C1610">
        <v>2011</v>
      </c>
      <c r="D1610" t="s">
        <v>11</v>
      </c>
      <c r="E1610" t="s">
        <v>10</v>
      </c>
      <c r="F1610" t="s">
        <v>38</v>
      </c>
      <c r="G1610" t="str">
        <f>VLOOKUP(A1610,[1]Kreise!$A$1:$C$53,3,FALSE)</f>
        <v>K034</v>
      </c>
      <c r="H1610">
        <v>29178</v>
      </c>
    </row>
    <row r="1611" spans="1:8">
      <c r="A1611">
        <v>0</v>
      </c>
      <c r="B1611" t="s">
        <v>34</v>
      </c>
      <c r="C1611">
        <v>2011</v>
      </c>
      <c r="D1611" t="s">
        <v>11</v>
      </c>
      <c r="E1611" t="s">
        <v>10</v>
      </c>
      <c r="F1611" t="s">
        <v>38</v>
      </c>
      <c r="G1611" t="str">
        <f>VLOOKUP(A1611,[1]Kreise!$A$1:$C$53,3,FALSE)</f>
        <v>K030</v>
      </c>
      <c r="H1611">
        <v>86156</v>
      </c>
    </row>
    <row r="1612" spans="1:8">
      <c r="A1612">
        <v>1</v>
      </c>
      <c r="B1612" t="s">
        <v>145</v>
      </c>
      <c r="C1612">
        <v>2010</v>
      </c>
      <c r="D1612" t="s">
        <v>11</v>
      </c>
      <c r="E1612" t="s">
        <v>10</v>
      </c>
      <c r="F1612" t="s">
        <v>38</v>
      </c>
      <c r="G1612" t="str">
        <f>VLOOKUP(A1612,[1]Kreise!$A$1:$C$53,3,FALSE)</f>
        <v>K031</v>
      </c>
      <c r="H1612">
        <v>16251</v>
      </c>
    </row>
    <row r="1613" spans="1:8">
      <c r="A1613">
        <v>2</v>
      </c>
      <c r="B1613" t="s">
        <v>146</v>
      </c>
      <c r="C1613">
        <v>2010</v>
      </c>
      <c r="D1613" t="s">
        <v>11</v>
      </c>
      <c r="E1613" t="s">
        <v>10</v>
      </c>
      <c r="F1613" t="s">
        <v>38</v>
      </c>
      <c r="G1613" t="str">
        <f>VLOOKUP(A1613,[1]Kreise!$A$1:$C$53,3,FALSE)</f>
        <v>K032</v>
      </c>
      <c r="H1613">
        <v>21130</v>
      </c>
    </row>
    <row r="1614" spans="1:8">
      <c r="A1614">
        <v>3</v>
      </c>
      <c r="B1614" t="s">
        <v>147</v>
      </c>
      <c r="C1614">
        <v>2010</v>
      </c>
      <c r="D1614" t="s">
        <v>11</v>
      </c>
      <c r="E1614" t="s">
        <v>10</v>
      </c>
      <c r="F1614" t="s">
        <v>38</v>
      </c>
      <c r="G1614" t="str">
        <f>VLOOKUP(A1614,[1]Kreise!$A$1:$C$53,3,FALSE)</f>
        <v>K033</v>
      </c>
      <c r="H1614">
        <v>20093</v>
      </c>
    </row>
    <row r="1615" spans="1:8">
      <c r="A1615">
        <v>4</v>
      </c>
      <c r="B1615" t="s">
        <v>148</v>
      </c>
      <c r="C1615">
        <v>2010</v>
      </c>
      <c r="D1615" t="s">
        <v>11</v>
      </c>
      <c r="E1615" t="s">
        <v>10</v>
      </c>
      <c r="F1615" t="s">
        <v>38</v>
      </c>
      <c r="G1615" t="str">
        <f>VLOOKUP(A1615,[1]Kreise!$A$1:$C$53,3,FALSE)</f>
        <v>K034</v>
      </c>
      <c r="H1615">
        <v>29677</v>
      </c>
    </row>
    <row r="1616" spans="1:8">
      <c r="A1616">
        <v>0</v>
      </c>
      <c r="B1616" t="s">
        <v>34</v>
      </c>
      <c r="C1616">
        <v>2010</v>
      </c>
      <c r="D1616" t="s">
        <v>11</v>
      </c>
      <c r="E1616" t="s">
        <v>10</v>
      </c>
      <c r="F1616" t="s">
        <v>38</v>
      </c>
      <c r="G1616" t="str">
        <f>VLOOKUP(A1616,[1]Kreise!$A$1:$C$53,3,FALSE)</f>
        <v>K030</v>
      </c>
      <c r="H1616">
        <v>87151</v>
      </c>
    </row>
    <row r="1617" spans="1:8">
      <c r="A1617">
        <v>1</v>
      </c>
      <c r="B1617" t="s">
        <v>145</v>
      </c>
      <c r="C1617">
        <v>2005</v>
      </c>
      <c r="D1617" t="s">
        <v>11</v>
      </c>
      <c r="E1617" t="s">
        <v>10</v>
      </c>
      <c r="F1617" t="s">
        <v>38</v>
      </c>
      <c r="G1617" t="str">
        <f>VLOOKUP(A1617,[1]Kreise!$A$1:$C$53,3,FALSE)</f>
        <v>K031</v>
      </c>
      <c r="H1617">
        <v>17696</v>
      </c>
    </row>
    <row r="1618" spans="1:8">
      <c r="A1618">
        <v>2</v>
      </c>
      <c r="B1618" t="s">
        <v>146</v>
      </c>
      <c r="C1618">
        <v>2005</v>
      </c>
      <c r="D1618" t="s">
        <v>11</v>
      </c>
      <c r="E1618" t="s">
        <v>10</v>
      </c>
      <c r="F1618" t="s">
        <v>38</v>
      </c>
      <c r="G1618" t="str">
        <f>VLOOKUP(A1618,[1]Kreise!$A$1:$C$53,3,FALSE)</f>
        <v>K032</v>
      </c>
      <c r="H1618">
        <v>21782</v>
      </c>
    </row>
    <row r="1619" spans="1:8">
      <c r="A1619">
        <v>3</v>
      </c>
      <c r="B1619" t="s">
        <v>147</v>
      </c>
      <c r="C1619">
        <v>2005</v>
      </c>
      <c r="D1619" t="s">
        <v>11</v>
      </c>
      <c r="E1619" t="s">
        <v>10</v>
      </c>
      <c r="F1619" t="s">
        <v>38</v>
      </c>
      <c r="G1619" t="str">
        <f>VLOOKUP(A1619,[1]Kreise!$A$1:$C$53,3,FALSE)</f>
        <v>K033</v>
      </c>
      <c r="H1619">
        <v>20632</v>
      </c>
    </row>
    <row r="1620" spans="1:8">
      <c r="A1620">
        <v>4</v>
      </c>
      <c r="B1620" t="s">
        <v>148</v>
      </c>
      <c r="C1620">
        <v>2005</v>
      </c>
      <c r="D1620" t="s">
        <v>11</v>
      </c>
      <c r="E1620" t="s">
        <v>10</v>
      </c>
      <c r="F1620" t="s">
        <v>38</v>
      </c>
      <c r="G1620" t="str">
        <f>VLOOKUP(A1620,[1]Kreise!$A$1:$C$53,3,FALSE)</f>
        <v>K034</v>
      </c>
      <c r="H1620">
        <v>30914</v>
      </c>
    </row>
    <row r="1621" spans="1:8">
      <c r="A1621">
        <v>0</v>
      </c>
      <c r="B1621" t="s">
        <v>34</v>
      </c>
      <c r="C1621">
        <v>2005</v>
      </c>
      <c r="D1621" t="s">
        <v>11</v>
      </c>
      <c r="E1621" t="s">
        <v>10</v>
      </c>
      <c r="F1621" t="s">
        <v>38</v>
      </c>
      <c r="G1621" t="str">
        <f>VLOOKUP(A1621,[1]Kreise!$A$1:$C$53,3,FALSE)</f>
        <v>K030</v>
      </c>
      <c r="H1621">
        <v>91024</v>
      </c>
    </row>
    <row r="1622" spans="1:8">
      <c r="A1622">
        <v>1</v>
      </c>
      <c r="B1622" t="s">
        <v>30</v>
      </c>
      <c r="C1622">
        <v>2020</v>
      </c>
      <c r="D1622" t="s">
        <v>12</v>
      </c>
      <c r="E1622" t="s">
        <v>10</v>
      </c>
      <c r="F1622" t="s">
        <v>38</v>
      </c>
      <c r="G1622" t="str">
        <f>VLOOKUP(A1622,[1]Kreise!$A$1:$C$53,3,FALSE)</f>
        <v>K031</v>
      </c>
      <c r="H1622">
        <v>1466</v>
      </c>
    </row>
    <row r="1623" spans="1:8">
      <c r="A1623">
        <v>2</v>
      </c>
      <c r="B1623" t="s">
        <v>31</v>
      </c>
      <c r="C1623">
        <v>2020</v>
      </c>
      <c r="D1623" t="s">
        <v>12</v>
      </c>
      <c r="E1623" t="s">
        <v>10</v>
      </c>
      <c r="F1623" t="s">
        <v>38</v>
      </c>
      <c r="G1623" t="str">
        <f>VLOOKUP(A1623,[1]Kreise!$A$1:$C$53,3,FALSE)</f>
        <v>K032</v>
      </c>
      <c r="H1623">
        <v>2395</v>
      </c>
    </row>
    <row r="1624" spans="1:8">
      <c r="A1624">
        <v>3</v>
      </c>
      <c r="B1624" t="s">
        <v>32</v>
      </c>
      <c r="C1624">
        <v>2020</v>
      </c>
      <c r="D1624" t="s">
        <v>12</v>
      </c>
      <c r="E1624" t="s">
        <v>10</v>
      </c>
      <c r="F1624" t="s">
        <v>38</v>
      </c>
      <c r="G1624" t="str">
        <f>VLOOKUP(A1624,[1]Kreise!$A$1:$C$53,3,FALSE)</f>
        <v>K033</v>
      </c>
      <c r="H1624">
        <v>1387</v>
      </c>
    </row>
    <row r="1625" spans="1:8">
      <c r="A1625">
        <v>4</v>
      </c>
      <c r="B1625" t="s">
        <v>33</v>
      </c>
      <c r="C1625">
        <v>2020</v>
      </c>
      <c r="D1625" t="s">
        <v>12</v>
      </c>
      <c r="E1625" t="s">
        <v>10</v>
      </c>
      <c r="F1625" t="s">
        <v>38</v>
      </c>
      <c r="G1625" t="str">
        <f>VLOOKUP(A1625,[1]Kreise!$A$1:$C$53,3,FALSE)</f>
        <v>K034</v>
      </c>
      <c r="H1625">
        <v>2647</v>
      </c>
    </row>
    <row r="1626" spans="1:8">
      <c r="A1626">
        <v>0</v>
      </c>
      <c r="B1626" t="s">
        <v>34</v>
      </c>
      <c r="C1626">
        <v>2020</v>
      </c>
      <c r="D1626" t="s">
        <v>12</v>
      </c>
      <c r="E1626" t="s">
        <v>10</v>
      </c>
      <c r="F1626" t="s">
        <v>38</v>
      </c>
      <c r="G1626" t="str">
        <f>VLOOKUP(A1626,[1]Kreise!$A$1:$C$53,3,FALSE)</f>
        <v>K030</v>
      </c>
      <c r="H1626">
        <v>7895</v>
      </c>
    </row>
    <row r="1627" spans="1:8">
      <c r="A1627">
        <v>1</v>
      </c>
      <c r="B1627" t="s">
        <v>30</v>
      </c>
      <c r="C1627">
        <v>2019</v>
      </c>
      <c r="D1627" t="s">
        <v>12</v>
      </c>
      <c r="E1627" t="s">
        <v>10</v>
      </c>
      <c r="F1627" t="s">
        <v>38</v>
      </c>
      <c r="G1627" t="str">
        <f>VLOOKUP(A1627,[1]Kreise!$A$1:$C$53,3,FALSE)</f>
        <v>K031</v>
      </c>
      <c r="H1627">
        <v>1370</v>
      </c>
    </row>
    <row r="1628" spans="1:8">
      <c r="A1628">
        <v>2</v>
      </c>
      <c r="B1628" t="s">
        <v>31</v>
      </c>
      <c r="C1628">
        <v>2019</v>
      </c>
      <c r="D1628" t="s">
        <v>12</v>
      </c>
      <c r="E1628" t="s">
        <v>10</v>
      </c>
      <c r="F1628" t="s">
        <v>38</v>
      </c>
      <c r="G1628" t="str">
        <f>VLOOKUP(A1628,[1]Kreise!$A$1:$C$53,3,FALSE)</f>
        <v>K032</v>
      </c>
      <c r="H1628">
        <v>2265</v>
      </c>
    </row>
    <row r="1629" spans="1:8">
      <c r="A1629">
        <v>3</v>
      </c>
      <c r="B1629" t="s">
        <v>32</v>
      </c>
      <c r="C1629">
        <v>2019</v>
      </c>
      <c r="D1629" t="s">
        <v>12</v>
      </c>
      <c r="E1629" t="s">
        <v>10</v>
      </c>
      <c r="F1629" t="s">
        <v>38</v>
      </c>
      <c r="G1629" t="str">
        <f>VLOOKUP(A1629,[1]Kreise!$A$1:$C$53,3,FALSE)</f>
        <v>K033</v>
      </c>
      <c r="H1629">
        <v>1246</v>
      </c>
    </row>
    <row r="1630" spans="1:8">
      <c r="A1630">
        <v>4</v>
      </c>
      <c r="B1630" t="s">
        <v>33</v>
      </c>
      <c r="C1630">
        <v>2019</v>
      </c>
      <c r="D1630" t="s">
        <v>12</v>
      </c>
      <c r="E1630" t="s">
        <v>10</v>
      </c>
      <c r="F1630" t="s">
        <v>38</v>
      </c>
      <c r="G1630" t="str">
        <f>VLOOKUP(A1630,[1]Kreise!$A$1:$C$53,3,FALSE)</f>
        <v>K034</v>
      </c>
      <c r="H1630">
        <v>2415</v>
      </c>
    </row>
    <row r="1631" spans="1:8">
      <c r="A1631">
        <v>0</v>
      </c>
      <c r="B1631" t="s">
        <v>34</v>
      </c>
      <c r="C1631">
        <v>2019</v>
      </c>
      <c r="D1631" t="s">
        <v>12</v>
      </c>
      <c r="E1631" t="s">
        <v>10</v>
      </c>
      <c r="F1631" t="s">
        <v>38</v>
      </c>
      <c r="G1631" t="str">
        <f>VLOOKUP(A1631,[1]Kreise!$A$1:$C$53,3,FALSE)</f>
        <v>K030</v>
      </c>
      <c r="H1631">
        <v>7296</v>
      </c>
    </row>
    <row r="1632" spans="1:8">
      <c r="A1632">
        <v>1</v>
      </c>
      <c r="B1632" t="s">
        <v>30</v>
      </c>
      <c r="C1632">
        <v>2018</v>
      </c>
      <c r="D1632" t="s">
        <v>12</v>
      </c>
      <c r="E1632" t="s">
        <v>10</v>
      </c>
      <c r="F1632" t="s">
        <v>38</v>
      </c>
      <c r="G1632" t="str">
        <f>VLOOKUP(A1632,[1]Kreise!$A$1:$C$53,3,FALSE)</f>
        <v>K031</v>
      </c>
      <c r="H1632">
        <v>1257</v>
      </c>
    </row>
    <row r="1633" spans="1:8">
      <c r="A1633">
        <v>2</v>
      </c>
      <c r="B1633" t="s">
        <v>31</v>
      </c>
      <c r="C1633">
        <v>2018</v>
      </c>
      <c r="D1633" t="s">
        <v>12</v>
      </c>
      <c r="E1633" t="s">
        <v>10</v>
      </c>
      <c r="F1633" t="s">
        <v>38</v>
      </c>
      <c r="G1633" t="str">
        <f>VLOOKUP(A1633,[1]Kreise!$A$1:$C$53,3,FALSE)</f>
        <v>K032</v>
      </c>
      <c r="H1633">
        <v>2089</v>
      </c>
    </row>
    <row r="1634" spans="1:8">
      <c r="A1634">
        <v>3</v>
      </c>
      <c r="B1634" t="s">
        <v>32</v>
      </c>
      <c r="C1634">
        <v>2018</v>
      </c>
      <c r="D1634" t="s">
        <v>12</v>
      </c>
      <c r="E1634" t="s">
        <v>10</v>
      </c>
      <c r="F1634" t="s">
        <v>38</v>
      </c>
      <c r="G1634" t="str">
        <f>VLOOKUP(A1634,[1]Kreise!$A$1:$C$53,3,FALSE)</f>
        <v>K033</v>
      </c>
      <c r="H1634">
        <v>1188</v>
      </c>
    </row>
    <row r="1635" spans="1:8">
      <c r="A1635">
        <v>4</v>
      </c>
      <c r="B1635" t="s">
        <v>33</v>
      </c>
      <c r="C1635">
        <v>2018</v>
      </c>
      <c r="D1635" t="s">
        <v>12</v>
      </c>
      <c r="E1635" t="s">
        <v>10</v>
      </c>
      <c r="F1635" t="s">
        <v>38</v>
      </c>
      <c r="G1635" t="str">
        <f>VLOOKUP(A1635,[1]Kreise!$A$1:$C$53,3,FALSE)</f>
        <v>K034</v>
      </c>
      <c r="H1635">
        <v>2183</v>
      </c>
    </row>
    <row r="1636" spans="1:8">
      <c r="A1636">
        <v>0</v>
      </c>
      <c r="B1636" t="s">
        <v>34</v>
      </c>
      <c r="C1636">
        <v>2018</v>
      </c>
      <c r="D1636" t="s">
        <v>12</v>
      </c>
      <c r="E1636" t="s">
        <v>10</v>
      </c>
      <c r="F1636" t="s">
        <v>38</v>
      </c>
      <c r="G1636" t="str">
        <f>VLOOKUP(A1636,[1]Kreise!$A$1:$C$53,3,FALSE)</f>
        <v>K030</v>
      </c>
      <c r="H1636">
        <v>6717</v>
      </c>
    </row>
    <row r="1637" spans="1:8">
      <c r="A1637">
        <v>1</v>
      </c>
      <c r="B1637" t="s">
        <v>30</v>
      </c>
      <c r="C1637">
        <v>2017</v>
      </c>
      <c r="D1637" t="s">
        <v>12</v>
      </c>
      <c r="E1637" t="s">
        <v>10</v>
      </c>
      <c r="F1637" t="s">
        <v>38</v>
      </c>
      <c r="G1637" t="str">
        <f>VLOOKUP(A1637,[1]Kreise!$A$1:$C$53,3,FALSE)</f>
        <v>K031</v>
      </c>
      <c r="H1637">
        <v>1168</v>
      </c>
    </row>
    <row r="1638" spans="1:8">
      <c r="A1638">
        <v>2</v>
      </c>
      <c r="B1638" t="s">
        <v>31</v>
      </c>
      <c r="C1638">
        <v>2017</v>
      </c>
      <c r="D1638" t="s">
        <v>12</v>
      </c>
      <c r="E1638" t="s">
        <v>10</v>
      </c>
      <c r="F1638" t="s">
        <v>38</v>
      </c>
      <c r="G1638" t="str">
        <f>VLOOKUP(A1638,[1]Kreise!$A$1:$C$53,3,FALSE)</f>
        <v>K032</v>
      </c>
      <c r="H1638">
        <v>1947</v>
      </c>
    </row>
    <row r="1639" spans="1:8">
      <c r="A1639">
        <v>3</v>
      </c>
      <c r="B1639" t="s">
        <v>32</v>
      </c>
      <c r="C1639">
        <v>2017</v>
      </c>
      <c r="D1639" t="s">
        <v>12</v>
      </c>
      <c r="E1639" t="s">
        <v>10</v>
      </c>
      <c r="F1639" t="s">
        <v>38</v>
      </c>
      <c r="G1639" t="str">
        <f>VLOOKUP(A1639,[1]Kreise!$A$1:$C$53,3,FALSE)</f>
        <v>K033</v>
      </c>
      <c r="H1639">
        <v>1031</v>
      </c>
    </row>
    <row r="1640" spans="1:8">
      <c r="A1640">
        <v>4</v>
      </c>
      <c r="B1640" t="s">
        <v>33</v>
      </c>
      <c r="C1640">
        <v>2017</v>
      </c>
      <c r="D1640" t="s">
        <v>12</v>
      </c>
      <c r="E1640" t="s">
        <v>10</v>
      </c>
      <c r="F1640" t="s">
        <v>38</v>
      </c>
      <c r="G1640" t="str">
        <f>VLOOKUP(A1640,[1]Kreise!$A$1:$C$53,3,FALSE)</f>
        <v>K034</v>
      </c>
      <c r="H1640">
        <v>1981</v>
      </c>
    </row>
    <row r="1641" spans="1:8">
      <c r="A1641">
        <v>0</v>
      </c>
      <c r="B1641" t="s">
        <v>34</v>
      </c>
      <c r="C1641">
        <v>2017</v>
      </c>
      <c r="D1641" t="s">
        <v>12</v>
      </c>
      <c r="E1641" t="s">
        <v>10</v>
      </c>
      <c r="F1641" t="s">
        <v>38</v>
      </c>
      <c r="G1641" t="str">
        <f>VLOOKUP(A1641,[1]Kreise!$A$1:$C$53,3,FALSE)</f>
        <v>K030</v>
      </c>
      <c r="H1641">
        <v>6127</v>
      </c>
    </row>
    <row r="1642" spans="1:8">
      <c r="A1642">
        <v>1</v>
      </c>
      <c r="B1642" t="s">
        <v>30</v>
      </c>
      <c r="C1642">
        <v>2016</v>
      </c>
      <c r="D1642" t="s">
        <v>12</v>
      </c>
      <c r="E1642" t="s">
        <v>10</v>
      </c>
      <c r="F1642" t="s">
        <v>38</v>
      </c>
      <c r="G1642" t="str">
        <f>VLOOKUP(A1642,[1]Kreise!$A$1:$C$53,3,FALSE)</f>
        <v>K031</v>
      </c>
      <c r="H1642">
        <v>1032</v>
      </c>
    </row>
    <row r="1643" spans="1:8">
      <c r="A1643">
        <v>2</v>
      </c>
      <c r="B1643" t="s">
        <v>31</v>
      </c>
      <c r="C1643">
        <v>2016</v>
      </c>
      <c r="D1643" t="s">
        <v>12</v>
      </c>
      <c r="E1643" t="s">
        <v>10</v>
      </c>
      <c r="F1643" t="s">
        <v>38</v>
      </c>
      <c r="G1643" t="str">
        <f>VLOOKUP(A1643,[1]Kreise!$A$1:$C$53,3,FALSE)</f>
        <v>K032</v>
      </c>
      <c r="H1643">
        <v>1572</v>
      </c>
    </row>
    <row r="1644" spans="1:8">
      <c r="A1644">
        <v>3</v>
      </c>
      <c r="B1644" t="s">
        <v>32</v>
      </c>
      <c r="C1644">
        <v>2016</v>
      </c>
      <c r="D1644" t="s">
        <v>12</v>
      </c>
      <c r="E1644" t="s">
        <v>10</v>
      </c>
      <c r="F1644" t="s">
        <v>38</v>
      </c>
      <c r="G1644" t="str">
        <f>VLOOKUP(A1644,[1]Kreise!$A$1:$C$53,3,FALSE)</f>
        <v>K033</v>
      </c>
      <c r="H1644">
        <v>911</v>
      </c>
    </row>
    <row r="1645" spans="1:8">
      <c r="A1645">
        <v>4</v>
      </c>
      <c r="B1645" t="s">
        <v>33</v>
      </c>
      <c r="C1645">
        <v>2016</v>
      </c>
      <c r="D1645" t="s">
        <v>12</v>
      </c>
      <c r="E1645" t="s">
        <v>10</v>
      </c>
      <c r="F1645" t="s">
        <v>38</v>
      </c>
      <c r="G1645" t="str">
        <f>VLOOKUP(A1645,[1]Kreise!$A$1:$C$53,3,FALSE)</f>
        <v>K034</v>
      </c>
      <c r="H1645">
        <v>1688</v>
      </c>
    </row>
    <row r="1646" spans="1:8">
      <c r="A1646">
        <v>0</v>
      </c>
      <c r="B1646" t="s">
        <v>34</v>
      </c>
      <c r="C1646">
        <v>2016</v>
      </c>
      <c r="D1646" t="s">
        <v>12</v>
      </c>
      <c r="E1646" t="s">
        <v>10</v>
      </c>
      <c r="F1646" t="s">
        <v>38</v>
      </c>
      <c r="G1646" t="str">
        <f>VLOOKUP(A1646,[1]Kreise!$A$1:$C$53,3,FALSE)</f>
        <v>K030</v>
      </c>
      <c r="H1646">
        <v>5203</v>
      </c>
    </row>
    <row r="1647" spans="1:8">
      <c r="A1647">
        <v>1</v>
      </c>
      <c r="B1647" t="s">
        <v>30</v>
      </c>
      <c r="C1647">
        <v>2015</v>
      </c>
      <c r="D1647" t="s">
        <v>12</v>
      </c>
      <c r="E1647" t="s">
        <v>10</v>
      </c>
      <c r="F1647" t="s">
        <v>38</v>
      </c>
      <c r="G1647" t="str">
        <f>VLOOKUP(A1647,[1]Kreise!$A$1:$C$53,3,FALSE)</f>
        <v>K031</v>
      </c>
      <c r="H1647">
        <v>828</v>
      </c>
    </row>
    <row r="1648" spans="1:8">
      <c r="A1648">
        <v>2</v>
      </c>
      <c r="B1648" t="s">
        <v>31</v>
      </c>
      <c r="C1648">
        <v>2015</v>
      </c>
      <c r="D1648" t="s">
        <v>12</v>
      </c>
      <c r="E1648" t="s">
        <v>10</v>
      </c>
      <c r="F1648" t="s">
        <v>38</v>
      </c>
      <c r="G1648" t="str">
        <f>VLOOKUP(A1648,[1]Kreise!$A$1:$C$53,3,FALSE)</f>
        <v>K032</v>
      </c>
      <c r="H1648">
        <v>1526</v>
      </c>
    </row>
    <row r="1649" spans="1:8">
      <c r="A1649">
        <v>3</v>
      </c>
      <c r="B1649" t="s">
        <v>32</v>
      </c>
      <c r="C1649">
        <v>2015</v>
      </c>
      <c r="D1649" t="s">
        <v>12</v>
      </c>
      <c r="E1649" t="s">
        <v>10</v>
      </c>
      <c r="F1649" t="s">
        <v>38</v>
      </c>
      <c r="G1649" t="str">
        <f>VLOOKUP(A1649,[1]Kreise!$A$1:$C$53,3,FALSE)</f>
        <v>K033</v>
      </c>
      <c r="H1649">
        <v>730</v>
      </c>
    </row>
    <row r="1650" spans="1:8">
      <c r="A1650">
        <v>4</v>
      </c>
      <c r="B1650" t="s">
        <v>33</v>
      </c>
      <c r="C1650">
        <v>2015</v>
      </c>
      <c r="D1650" t="s">
        <v>12</v>
      </c>
      <c r="E1650" t="s">
        <v>10</v>
      </c>
      <c r="F1650" t="s">
        <v>38</v>
      </c>
      <c r="G1650" t="str">
        <f>VLOOKUP(A1650,[1]Kreise!$A$1:$C$53,3,FALSE)</f>
        <v>K034</v>
      </c>
      <c r="H1650">
        <v>1395</v>
      </c>
    </row>
    <row r="1651" spans="1:8">
      <c r="A1651">
        <v>0</v>
      </c>
      <c r="B1651" t="s">
        <v>34</v>
      </c>
      <c r="C1651">
        <v>2015</v>
      </c>
      <c r="D1651" t="s">
        <v>12</v>
      </c>
      <c r="E1651" t="s">
        <v>10</v>
      </c>
      <c r="F1651" t="s">
        <v>38</v>
      </c>
      <c r="G1651" t="str">
        <f>VLOOKUP(A1651,[1]Kreise!$A$1:$C$53,3,FALSE)</f>
        <v>K030</v>
      </c>
      <c r="H1651">
        <v>4479</v>
      </c>
    </row>
    <row r="1652" spans="1:8">
      <c r="A1652">
        <v>1</v>
      </c>
      <c r="B1652" t="s">
        <v>145</v>
      </c>
      <c r="C1652">
        <v>2014</v>
      </c>
      <c r="D1652" t="s">
        <v>12</v>
      </c>
      <c r="E1652" t="s">
        <v>10</v>
      </c>
      <c r="F1652" t="s">
        <v>38</v>
      </c>
      <c r="G1652" t="str">
        <f>VLOOKUP(A1652,[1]Kreise!$A$1:$C$53,3,FALSE)</f>
        <v>K031</v>
      </c>
      <c r="H1652">
        <v>807</v>
      </c>
    </row>
    <row r="1653" spans="1:8">
      <c r="A1653">
        <v>2</v>
      </c>
      <c r="B1653" t="s">
        <v>146</v>
      </c>
      <c r="C1653">
        <v>2014</v>
      </c>
      <c r="D1653" t="s">
        <v>12</v>
      </c>
      <c r="E1653" t="s">
        <v>10</v>
      </c>
      <c r="F1653" t="s">
        <v>38</v>
      </c>
      <c r="G1653" t="str">
        <f>VLOOKUP(A1653,[1]Kreise!$A$1:$C$53,3,FALSE)</f>
        <v>K032</v>
      </c>
      <c r="H1653">
        <v>1470</v>
      </c>
    </row>
    <row r="1654" spans="1:8">
      <c r="A1654">
        <v>3</v>
      </c>
      <c r="B1654" t="s">
        <v>147</v>
      </c>
      <c r="C1654">
        <v>2014</v>
      </c>
      <c r="D1654" t="s">
        <v>12</v>
      </c>
      <c r="E1654" t="s">
        <v>10</v>
      </c>
      <c r="F1654" t="s">
        <v>38</v>
      </c>
      <c r="G1654" t="str">
        <f>VLOOKUP(A1654,[1]Kreise!$A$1:$C$53,3,FALSE)</f>
        <v>K033</v>
      </c>
      <c r="H1654">
        <v>724</v>
      </c>
    </row>
    <row r="1655" spans="1:8">
      <c r="A1655">
        <v>4</v>
      </c>
      <c r="B1655" t="s">
        <v>148</v>
      </c>
      <c r="C1655">
        <v>2014</v>
      </c>
      <c r="D1655" t="s">
        <v>12</v>
      </c>
      <c r="E1655" t="s">
        <v>10</v>
      </c>
      <c r="F1655" t="s">
        <v>38</v>
      </c>
      <c r="G1655" t="str">
        <f>VLOOKUP(A1655,[1]Kreise!$A$1:$C$53,3,FALSE)</f>
        <v>K034</v>
      </c>
      <c r="H1655">
        <v>1373</v>
      </c>
    </row>
    <row r="1656" spans="1:8">
      <c r="A1656">
        <v>0</v>
      </c>
      <c r="B1656" t="s">
        <v>34</v>
      </c>
      <c r="C1656">
        <v>2014</v>
      </c>
      <c r="D1656" t="s">
        <v>12</v>
      </c>
      <c r="E1656" t="s">
        <v>10</v>
      </c>
      <c r="F1656" t="s">
        <v>38</v>
      </c>
      <c r="G1656" t="str">
        <f>VLOOKUP(A1656,[1]Kreise!$A$1:$C$53,3,FALSE)</f>
        <v>K030</v>
      </c>
      <c r="H1656">
        <v>4374</v>
      </c>
    </row>
    <row r="1657" spans="1:8">
      <c r="A1657">
        <v>1</v>
      </c>
      <c r="B1657" t="s">
        <v>30</v>
      </c>
      <c r="C1657">
        <v>2013</v>
      </c>
      <c r="D1657" t="s">
        <v>12</v>
      </c>
      <c r="E1657" t="s">
        <v>10</v>
      </c>
      <c r="F1657" t="s">
        <v>38</v>
      </c>
      <c r="G1657" t="str">
        <f>VLOOKUP(A1657,[1]Kreise!$A$1:$C$53,3,FALSE)</f>
        <v>K031</v>
      </c>
      <c r="H1657">
        <v>943</v>
      </c>
    </row>
    <row r="1658" spans="1:8">
      <c r="A1658">
        <v>2</v>
      </c>
      <c r="B1658" t="s">
        <v>31</v>
      </c>
      <c r="C1658">
        <v>2013</v>
      </c>
      <c r="D1658" t="s">
        <v>12</v>
      </c>
      <c r="E1658" t="s">
        <v>10</v>
      </c>
      <c r="F1658" t="s">
        <v>38</v>
      </c>
      <c r="G1658" t="str">
        <f>VLOOKUP(A1658,[1]Kreise!$A$1:$C$53,3,FALSE)</f>
        <v>K032</v>
      </c>
      <c r="H1658">
        <v>1672</v>
      </c>
    </row>
    <row r="1659" spans="1:8">
      <c r="A1659">
        <v>3</v>
      </c>
      <c r="B1659" t="s">
        <v>32</v>
      </c>
      <c r="C1659">
        <v>2013</v>
      </c>
      <c r="D1659" t="s">
        <v>12</v>
      </c>
      <c r="E1659" t="s">
        <v>10</v>
      </c>
      <c r="F1659" t="s">
        <v>38</v>
      </c>
      <c r="G1659" t="str">
        <f>VLOOKUP(A1659,[1]Kreise!$A$1:$C$53,3,FALSE)</f>
        <v>K033</v>
      </c>
      <c r="H1659">
        <v>677</v>
      </c>
    </row>
    <row r="1660" spans="1:8">
      <c r="A1660">
        <v>4</v>
      </c>
      <c r="B1660" t="s">
        <v>33</v>
      </c>
      <c r="C1660">
        <v>2013</v>
      </c>
      <c r="D1660" t="s">
        <v>12</v>
      </c>
      <c r="E1660" t="s">
        <v>10</v>
      </c>
      <c r="F1660" t="s">
        <v>38</v>
      </c>
      <c r="G1660" t="str">
        <f>VLOOKUP(A1660,[1]Kreise!$A$1:$C$53,3,FALSE)</f>
        <v>K034</v>
      </c>
      <c r="H1660">
        <v>1342</v>
      </c>
    </row>
    <row r="1661" spans="1:8">
      <c r="A1661">
        <v>0</v>
      </c>
      <c r="B1661" t="s">
        <v>34</v>
      </c>
      <c r="C1661">
        <v>2013</v>
      </c>
      <c r="D1661" t="s">
        <v>12</v>
      </c>
      <c r="E1661" t="s">
        <v>10</v>
      </c>
      <c r="F1661" t="s">
        <v>38</v>
      </c>
      <c r="G1661" t="str">
        <f>VLOOKUP(A1661,[1]Kreise!$A$1:$C$53,3,FALSE)</f>
        <v>K030</v>
      </c>
      <c r="H1661">
        <v>4634</v>
      </c>
    </row>
    <row r="1662" spans="1:8">
      <c r="A1662">
        <v>1</v>
      </c>
      <c r="B1662" t="s">
        <v>145</v>
      </c>
      <c r="C1662">
        <v>2012</v>
      </c>
      <c r="D1662" t="s">
        <v>12</v>
      </c>
      <c r="E1662" t="s">
        <v>10</v>
      </c>
      <c r="F1662" t="s">
        <v>38</v>
      </c>
      <c r="G1662" t="str">
        <f>VLOOKUP(A1662,[1]Kreise!$A$1:$C$53,3,FALSE)</f>
        <v>K031</v>
      </c>
      <c r="H1662">
        <v>1028</v>
      </c>
    </row>
    <row r="1663" spans="1:8">
      <c r="A1663">
        <v>2</v>
      </c>
      <c r="B1663" t="s">
        <v>146</v>
      </c>
      <c r="C1663">
        <v>2012</v>
      </c>
      <c r="D1663" t="s">
        <v>12</v>
      </c>
      <c r="E1663" t="s">
        <v>10</v>
      </c>
      <c r="F1663" t="s">
        <v>38</v>
      </c>
      <c r="G1663" t="str">
        <f>VLOOKUP(A1663,[1]Kreise!$A$1:$C$53,3,FALSE)</f>
        <v>K032</v>
      </c>
      <c r="H1663">
        <v>1902</v>
      </c>
    </row>
    <row r="1664" spans="1:8">
      <c r="A1664">
        <v>3</v>
      </c>
      <c r="B1664" t="s">
        <v>147</v>
      </c>
      <c r="C1664">
        <v>2012</v>
      </c>
      <c r="D1664" t="s">
        <v>12</v>
      </c>
      <c r="E1664" t="s">
        <v>10</v>
      </c>
      <c r="F1664" t="s">
        <v>38</v>
      </c>
      <c r="G1664" t="str">
        <f>VLOOKUP(A1664,[1]Kreise!$A$1:$C$53,3,FALSE)</f>
        <v>K033</v>
      </c>
      <c r="H1664">
        <v>772</v>
      </c>
    </row>
    <row r="1665" spans="1:8">
      <c r="A1665">
        <v>4</v>
      </c>
      <c r="B1665" t="s">
        <v>148</v>
      </c>
      <c r="C1665">
        <v>2012</v>
      </c>
      <c r="D1665" t="s">
        <v>12</v>
      </c>
      <c r="E1665" t="s">
        <v>10</v>
      </c>
      <c r="F1665" t="s">
        <v>38</v>
      </c>
      <c r="G1665" t="str">
        <f>VLOOKUP(A1665,[1]Kreise!$A$1:$C$53,3,FALSE)</f>
        <v>K034</v>
      </c>
      <c r="H1665">
        <v>1428</v>
      </c>
    </row>
    <row r="1666" spans="1:8">
      <c r="A1666">
        <v>0</v>
      </c>
      <c r="B1666" t="s">
        <v>34</v>
      </c>
      <c r="C1666">
        <v>2012</v>
      </c>
      <c r="D1666" t="s">
        <v>12</v>
      </c>
      <c r="E1666" t="s">
        <v>10</v>
      </c>
      <c r="F1666" t="s">
        <v>38</v>
      </c>
      <c r="G1666" t="str">
        <f>VLOOKUP(A1666,[1]Kreise!$A$1:$C$53,3,FALSE)</f>
        <v>K030</v>
      </c>
      <c r="H1666">
        <v>5130</v>
      </c>
    </row>
    <row r="1667" spans="1:8">
      <c r="A1667">
        <v>1</v>
      </c>
      <c r="B1667" t="s">
        <v>30</v>
      </c>
      <c r="C1667">
        <v>2011</v>
      </c>
      <c r="D1667" t="s">
        <v>12</v>
      </c>
      <c r="E1667" t="s">
        <v>10</v>
      </c>
      <c r="F1667" t="s">
        <v>38</v>
      </c>
      <c r="G1667" t="str">
        <f>VLOOKUP(A1667,[1]Kreise!$A$1:$C$53,3,FALSE)</f>
        <v>K031</v>
      </c>
      <c r="H1667">
        <v>1087</v>
      </c>
    </row>
    <row r="1668" spans="1:8">
      <c r="A1668">
        <v>2</v>
      </c>
      <c r="B1668" t="s">
        <v>31</v>
      </c>
      <c r="C1668">
        <v>2011</v>
      </c>
      <c r="D1668" t="s">
        <v>12</v>
      </c>
      <c r="E1668" t="s">
        <v>10</v>
      </c>
      <c r="F1668" t="s">
        <v>38</v>
      </c>
      <c r="G1668" t="str">
        <f>VLOOKUP(A1668,[1]Kreise!$A$1:$C$53,3,FALSE)</f>
        <v>K032</v>
      </c>
      <c r="H1668">
        <v>1988</v>
      </c>
    </row>
    <row r="1669" spans="1:8">
      <c r="A1669">
        <v>3</v>
      </c>
      <c r="B1669" t="s">
        <v>32</v>
      </c>
      <c r="C1669">
        <v>2011</v>
      </c>
      <c r="D1669" t="s">
        <v>12</v>
      </c>
      <c r="E1669" t="s">
        <v>10</v>
      </c>
      <c r="F1669" t="s">
        <v>38</v>
      </c>
      <c r="G1669" t="str">
        <f>VLOOKUP(A1669,[1]Kreise!$A$1:$C$53,3,FALSE)</f>
        <v>K033</v>
      </c>
      <c r="H1669">
        <v>862</v>
      </c>
    </row>
    <row r="1670" spans="1:8">
      <c r="A1670">
        <v>4</v>
      </c>
      <c r="B1670" t="s">
        <v>33</v>
      </c>
      <c r="C1670">
        <v>2011</v>
      </c>
      <c r="D1670" t="s">
        <v>12</v>
      </c>
      <c r="E1670" t="s">
        <v>10</v>
      </c>
      <c r="F1670" t="s">
        <v>38</v>
      </c>
      <c r="G1670" t="str">
        <f>VLOOKUP(A1670,[1]Kreise!$A$1:$C$53,3,FALSE)</f>
        <v>K034</v>
      </c>
      <c r="H1670">
        <v>1565</v>
      </c>
    </row>
    <row r="1671" spans="1:8">
      <c r="A1671">
        <v>0</v>
      </c>
      <c r="B1671" t="s">
        <v>34</v>
      </c>
      <c r="C1671">
        <v>2011</v>
      </c>
      <c r="D1671" t="s">
        <v>12</v>
      </c>
      <c r="E1671" t="s">
        <v>10</v>
      </c>
      <c r="F1671" t="s">
        <v>38</v>
      </c>
      <c r="G1671" t="str">
        <f>VLOOKUP(A1671,[1]Kreise!$A$1:$C$53,3,FALSE)</f>
        <v>K030</v>
      </c>
      <c r="H1671">
        <v>5502</v>
      </c>
    </row>
    <row r="1672" spans="1:8">
      <c r="A1672">
        <v>1</v>
      </c>
      <c r="B1672" t="s">
        <v>145</v>
      </c>
      <c r="C1672">
        <v>2010</v>
      </c>
      <c r="D1672" t="s">
        <v>12</v>
      </c>
      <c r="E1672" t="s">
        <v>10</v>
      </c>
      <c r="F1672" t="s">
        <v>38</v>
      </c>
      <c r="G1672" t="str">
        <f>VLOOKUP(A1672,[1]Kreise!$A$1:$C$53,3,FALSE)</f>
        <v>K031</v>
      </c>
      <c r="H1672">
        <v>1147</v>
      </c>
    </row>
    <row r="1673" spans="1:8">
      <c r="A1673">
        <v>2</v>
      </c>
      <c r="B1673" t="s">
        <v>146</v>
      </c>
      <c r="C1673">
        <v>2010</v>
      </c>
      <c r="D1673" t="s">
        <v>12</v>
      </c>
      <c r="E1673" t="s">
        <v>10</v>
      </c>
      <c r="F1673" t="s">
        <v>38</v>
      </c>
      <c r="G1673" t="str">
        <f>VLOOKUP(A1673,[1]Kreise!$A$1:$C$53,3,FALSE)</f>
        <v>K032</v>
      </c>
      <c r="H1673">
        <v>1987</v>
      </c>
    </row>
    <row r="1674" spans="1:8">
      <c r="A1674">
        <v>3</v>
      </c>
      <c r="B1674" t="s">
        <v>147</v>
      </c>
      <c r="C1674">
        <v>2010</v>
      </c>
      <c r="D1674" t="s">
        <v>12</v>
      </c>
      <c r="E1674" t="s">
        <v>10</v>
      </c>
      <c r="F1674" t="s">
        <v>38</v>
      </c>
      <c r="G1674" t="str">
        <f>VLOOKUP(A1674,[1]Kreise!$A$1:$C$53,3,FALSE)</f>
        <v>K033</v>
      </c>
      <c r="H1674">
        <v>821</v>
      </c>
    </row>
    <row r="1675" spans="1:8">
      <c r="A1675">
        <v>4</v>
      </c>
      <c r="B1675" t="s">
        <v>148</v>
      </c>
      <c r="C1675">
        <v>2010</v>
      </c>
      <c r="D1675" t="s">
        <v>12</v>
      </c>
      <c r="E1675" t="s">
        <v>10</v>
      </c>
      <c r="F1675" t="s">
        <v>38</v>
      </c>
      <c r="G1675" t="str">
        <f>VLOOKUP(A1675,[1]Kreise!$A$1:$C$53,3,FALSE)</f>
        <v>K034</v>
      </c>
      <c r="H1675">
        <v>1439</v>
      </c>
    </row>
    <row r="1676" spans="1:8">
      <c r="A1676">
        <v>0</v>
      </c>
      <c r="B1676" t="s">
        <v>34</v>
      </c>
      <c r="C1676">
        <v>2010</v>
      </c>
      <c r="D1676" t="s">
        <v>12</v>
      </c>
      <c r="E1676" t="s">
        <v>10</v>
      </c>
      <c r="F1676" t="s">
        <v>38</v>
      </c>
      <c r="G1676" t="str">
        <f>VLOOKUP(A1676,[1]Kreise!$A$1:$C$53,3,FALSE)</f>
        <v>K030</v>
      </c>
      <c r="H1676">
        <v>5394</v>
      </c>
    </row>
    <row r="1677" spans="1:8">
      <c r="A1677">
        <v>1</v>
      </c>
      <c r="B1677" t="s">
        <v>145</v>
      </c>
      <c r="C1677">
        <v>2005</v>
      </c>
      <c r="D1677" t="s">
        <v>12</v>
      </c>
      <c r="E1677" t="s">
        <v>10</v>
      </c>
      <c r="F1677" t="s">
        <v>38</v>
      </c>
      <c r="G1677" t="str">
        <f>VLOOKUP(A1677,[1]Kreise!$A$1:$C$53,3,FALSE)</f>
        <v>K031</v>
      </c>
      <c r="H1677">
        <v>1401</v>
      </c>
    </row>
    <row r="1678" spans="1:8">
      <c r="A1678">
        <v>2</v>
      </c>
      <c r="B1678" t="s">
        <v>146</v>
      </c>
      <c r="C1678">
        <v>2005</v>
      </c>
      <c r="D1678" t="s">
        <v>12</v>
      </c>
      <c r="E1678" t="s">
        <v>10</v>
      </c>
      <c r="F1678" t="s">
        <v>38</v>
      </c>
      <c r="G1678" t="str">
        <f>VLOOKUP(A1678,[1]Kreise!$A$1:$C$53,3,FALSE)</f>
        <v>K032</v>
      </c>
      <c r="H1678">
        <v>2387</v>
      </c>
    </row>
    <row r="1679" spans="1:8">
      <c r="A1679">
        <v>3</v>
      </c>
      <c r="B1679" t="s">
        <v>147</v>
      </c>
      <c r="C1679">
        <v>2005</v>
      </c>
      <c r="D1679" t="s">
        <v>12</v>
      </c>
      <c r="E1679" t="s">
        <v>10</v>
      </c>
      <c r="F1679" t="s">
        <v>38</v>
      </c>
      <c r="G1679" t="str">
        <f>VLOOKUP(A1679,[1]Kreise!$A$1:$C$53,3,FALSE)</f>
        <v>K033</v>
      </c>
      <c r="H1679">
        <v>1064</v>
      </c>
    </row>
    <row r="1680" spans="1:8">
      <c r="A1680">
        <v>4</v>
      </c>
      <c r="B1680" t="s">
        <v>148</v>
      </c>
      <c r="C1680">
        <v>2005</v>
      </c>
      <c r="D1680" t="s">
        <v>12</v>
      </c>
      <c r="E1680" t="s">
        <v>10</v>
      </c>
      <c r="F1680" t="s">
        <v>38</v>
      </c>
      <c r="G1680" t="str">
        <f>VLOOKUP(A1680,[1]Kreise!$A$1:$C$53,3,FALSE)</f>
        <v>K034</v>
      </c>
      <c r="H1680">
        <v>1681</v>
      </c>
    </row>
    <row r="1681" spans="1:8">
      <c r="A1681">
        <v>0</v>
      </c>
      <c r="B1681" t="s">
        <v>34</v>
      </c>
      <c r="C1681">
        <v>2005</v>
      </c>
      <c r="D1681" t="s">
        <v>12</v>
      </c>
      <c r="E1681" t="s">
        <v>10</v>
      </c>
      <c r="F1681" t="s">
        <v>38</v>
      </c>
      <c r="G1681" t="str">
        <f>VLOOKUP(A1681,[1]Kreise!$A$1:$C$53,3,FALSE)</f>
        <v>K030</v>
      </c>
      <c r="H1681">
        <v>6533</v>
      </c>
    </row>
    <row r="1682" spans="1:8">
      <c r="H1682" s="220"/>
    </row>
    <row r="1683" spans="1:8">
      <c r="H1683" s="220"/>
    </row>
    <row r="1729" spans="2:2">
      <c r="B1729" s="207"/>
    </row>
    <row r="1781" spans="2:2">
      <c r="B1781" s="207"/>
    </row>
    <row r="1833" spans="2:2">
      <c r="B1833" s="207"/>
    </row>
    <row r="1885" spans="2:2">
      <c r="B1885" s="207"/>
    </row>
    <row r="1937" spans="2:2">
      <c r="B1937" s="207"/>
    </row>
    <row r="1989" spans="2:2">
      <c r="B1989" s="207"/>
    </row>
    <row r="2041" spans="2:2">
      <c r="B2041" s="207"/>
    </row>
    <row r="2093" spans="2:2">
      <c r="B2093" s="207"/>
    </row>
    <row r="2145" spans="2:2">
      <c r="B2145" s="20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H1683"/>
  <sheetViews>
    <sheetView tabSelected="1" workbookViewId="0">
      <selection activeCell="B1" sqref="B1:H1681"/>
    </sheetView>
  </sheetViews>
  <sheetFormatPr baseColWidth="10" defaultRowHeight="15"/>
  <sheetData>
    <row r="1" spans="1:8">
      <c r="A1" t="s">
        <v>117</v>
      </c>
      <c r="B1" t="s">
        <v>153</v>
      </c>
      <c r="C1" t="s">
        <v>140</v>
      </c>
      <c r="D1" t="s">
        <v>136</v>
      </c>
      <c r="E1" t="s">
        <v>111</v>
      </c>
      <c r="F1" t="s">
        <v>138</v>
      </c>
      <c r="G1" t="s">
        <v>141</v>
      </c>
      <c r="H1" t="s">
        <v>137</v>
      </c>
    </row>
    <row r="2" spans="1:8">
      <c r="A2">
        <v>1</v>
      </c>
      <c r="B2" t="s">
        <v>145</v>
      </c>
      <c r="C2">
        <v>2020</v>
      </c>
      <c r="D2" t="s">
        <v>11</v>
      </c>
      <c r="E2" t="s">
        <v>4</v>
      </c>
      <c r="F2" t="s">
        <v>13</v>
      </c>
      <c r="G2" t="s">
        <v>154</v>
      </c>
      <c r="H2" s="220" t="s">
        <v>159</v>
      </c>
    </row>
    <row r="3" spans="1:8">
      <c r="A3">
        <v>2</v>
      </c>
      <c r="B3" t="s">
        <v>146</v>
      </c>
      <c r="C3">
        <v>2020</v>
      </c>
      <c r="D3" t="s">
        <v>11</v>
      </c>
      <c r="E3" t="s">
        <v>4</v>
      </c>
      <c r="F3" t="s">
        <v>13</v>
      </c>
      <c r="G3" t="s">
        <v>155</v>
      </c>
      <c r="H3" s="220" t="s">
        <v>160</v>
      </c>
    </row>
    <row r="4" spans="1:8">
      <c r="A4">
        <v>3</v>
      </c>
      <c r="B4" t="s">
        <v>147</v>
      </c>
      <c r="C4">
        <v>2020</v>
      </c>
      <c r="D4" t="s">
        <v>11</v>
      </c>
      <c r="E4" t="s">
        <v>4</v>
      </c>
      <c r="F4" t="s">
        <v>13</v>
      </c>
      <c r="G4" t="s">
        <v>156</v>
      </c>
      <c r="H4" s="220" t="s">
        <v>161</v>
      </c>
    </row>
    <row r="5" spans="1:8">
      <c r="A5">
        <v>4</v>
      </c>
      <c r="B5" t="s">
        <v>148</v>
      </c>
      <c r="C5">
        <v>2020</v>
      </c>
      <c r="D5" t="s">
        <v>11</v>
      </c>
      <c r="E5" t="s">
        <v>4</v>
      </c>
      <c r="F5" t="s">
        <v>13</v>
      </c>
      <c r="G5" t="s">
        <v>157</v>
      </c>
      <c r="H5" s="220" t="s">
        <v>162</v>
      </c>
    </row>
    <row r="6" spans="1:8">
      <c r="A6">
        <v>0</v>
      </c>
      <c r="B6" t="s">
        <v>34</v>
      </c>
      <c r="C6">
        <v>2020</v>
      </c>
      <c r="D6" t="s">
        <v>11</v>
      </c>
      <c r="E6" t="s">
        <v>4</v>
      </c>
      <c r="F6" t="s">
        <v>13</v>
      </c>
      <c r="G6" t="s">
        <v>158</v>
      </c>
      <c r="H6" s="220" t="s">
        <v>163</v>
      </c>
    </row>
    <row r="7" spans="1:8">
      <c r="A7">
        <v>1</v>
      </c>
      <c r="B7" t="s">
        <v>145</v>
      </c>
      <c r="C7">
        <v>2019</v>
      </c>
      <c r="D7" t="s">
        <v>11</v>
      </c>
      <c r="E7" t="s">
        <v>4</v>
      </c>
      <c r="F7" t="s">
        <v>13</v>
      </c>
      <c r="G7" t="s">
        <v>154</v>
      </c>
      <c r="H7" s="220" t="s">
        <v>164</v>
      </c>
    </row>
    <row r="8" spans="1:8">
      <c r="A8">
        <v>2</v>
      </c>
      <c r="B8" t="s">
        <v>146</v>
      </c>
      <c r="C8">
        <v>2019</v>
      </c>
      <c r="D8" t="s">
        <v>11</v>
      </c>
      <c r="E8" t="s">
        <v>4</v>
      </c>
      <c r="F8" t="s">
        <v>13</v>
      </c>
      <c r="G8" t="s">
        <v>155</v>
      </c>
      <c r="H8" s="220" t="s">
        <v>165</v>
      </c>
    </row>
    <row r="9" spans="1:8">
      <c r="A9">
        <v>3</v>
      </c>
      <c r="B9" t="s">
        <v>147</v>
      </c>
      <c r="C9">
        <v>2019</v>
      </c>
      <c r="D9" t="s">
        <v>11</v>
      </c>
      <c r="E9" t="s">
        <v>4</v>
      </c>
      <c r="F9" t="s">
        <v>13</v>
      </c>
      <c r="G9" t="s">
        <v>156</v>
      </c>
      <c r="H9" s="220" t="s">
        <v>166</v>
      </c>
    </row>
    <row r="10" spans="1:8">
      <c r="A10">
        <v>4</v>
      </c>
      <c r="B10" t="s">
        <v>148</v>
      </c>
      <c r="C10">
        <v>2019</v>
      </c>
      <c r="D10" t="s">
        <v>11</v>
      </c>
      <c r="E10" t="s">
        <v>4</v>
      </c>
      <c r="F10" t="s">
        <v>13</v>
      </c>
      <c r="G10" t="s">
        <v>157</v>
      </c>
      <c r="H10" s="220" t="s">
        <v>167</v>
      </c>
    </row>
    <row r="11" spans="1:8">
      <c r="A11">
        <v>0</v>
      </c>
      <c r="B11" t="s">
        <v>34</v>
      </c>
      <c r="C11">
        <v>2019</v>
      </c>
      <c r="D11" t="s">
        <v>11</v>
      </c>
      <c r="E11" t="s">
        <v>4</v>
      </c>
      <c r="F11" t="s">
        <v>13</v>
      </c>
      <c r="G11" t="s">
        <v>158</v>
      </c>
      <c r="H11" s="220" t="s">
        <v>168</v>
      </c>
    </row>
    <row r="12" spans="1:8">
      <c r="A12">
        <v>1</v>
      </c>
      <c r="B12" t="s">
        <v>145</v>
      </c>
      <c r="C12">
        <v>2018</v>
      </c>
      <c r="D12" t="s">
        <v>11</v>
      </c>
      <c r="E12" t="s">
        <v>4</v>
      </c>
      <c r="F12" t="s">
        <v>13</v>
      </c>
      <c r="G12" t="s">
        <v>154</v>
      </c>
      <c r="H12" s="220" t="s">
        <v>169</v>
      </c>
    </row>
    <row r="13" spans="1:8">
      <c r="A13">
        <v>2</v>
      </c>
      <c r="B13" t="s">
        <v>146</v>
      </c>
      <c r="C13">
        <v>2018</v>
      </c>
      <c r="D13" t="s">
        <v>11</v>
      </c>
      <c r="E13" t="s">
        <v>4</v>
      </c>
      <c r="F13" t="s">
        <v>13</v>
      </c>
      <c r="G13" t="s">
        <v>155</v>
      </c>
      <c r="H13" s="220" t="s">
        <v>170</v>
      </c>
    </row>
    <row r="14" spans="1:8">
      <c r="A14">
        <v>3</v>
      </c>
      <c r="B14" t="s">
        <v>147</v>
      </c>
      <c r="C14">
        <v>2018</v>
      </c>
      <c r="D14" t="s">
        <v>11</v>
      </c>
      <c r="E14" t="s">
        <v>4</v>
      </c>
      <c r="F14" t="s">
        <v>13</v>
      </c>
      <c r="G14" t="s">
        <v>156</v>
      </c>
      <c r="H14" s="220" t="s">
        <v>171</v>
      </c>
    </row>
    <row r="15" spans="1:8">
      <c r="A15">
        <v>4</v>
      </c>
      <c r="B15" t="s">
        <v>148</v>
      </c>
      <c r="C15">
        <v>2018</v>
      </c>
      <c r="D15" t="s">
        <v>11</v>
      </c>
      <c r="E15" t="s">
        <v>4</v>
      </c>
      <c r="F15" t="s">
        <v>13</v>
      </c>
      <c r="G15" t="s">
        <v>157</v>
      </c>
      <c r="H15" s="220" t="s">
        <v>172</v>
      </c>
    </row>
    <row r="16" spans="1:8">
      <c r="A16">
        <v>0</v>
      </c>
      <c r="B16" t="s">
        <v>34</v>
      </c>
      <c r="C16">
        <v>2018</v>
      </c>
      <c r="D16" t="s">
        <v>11</v>
      </c>
      <c r="E16" t="s">
        <v>4</v>
      </c>
      <c r="F16" t="s">
        <v>13</v>
      </c>
      <c r="G16" t="s">
        <v>158</v>
      </c>
      <c r="H16" s="220" t="s">
        <v>173</v>
      </c>
    </row>
    <row r="17" spans="1:8">
      <c r="A17">
        <v>1</v>
      </c>
      <c r="B17" t="s">
        <v>145</v>
      </c>
      <c r="C17">
        <v>2017</v>
      </c>
      <c r="D17" t="s">
        <v>11</v>
      </c>
      <c r="E17" t="s">
        <v>4</v>
      </c>
      <c r="F17" t="s">
        <v>13</v>
      </c>
      <c r="G17" t="s">
        <v>154</v>
      </c>
      <c r="H17" s="220" t="s">
        <v>174</v>
      </c>
    </row>
    <row r="18" spans="1:8">
      <c r="A18">
        <v>2</v>
      </c>
      <c r="B18" t="s">
        <v>146</v>
      </c>
      <c r="C18">
        <v>2017</v>
      </c>
      <c r="D18" t="s">
        <v>11</v>
      </c>
      <c r="E18" t="s">
        <v>4</v>
      </c>
      <c r="F18" t="s">
        <v>13</v>
      </c>
      <c r="G18" t="s">
        <v>155</v>
      </c>
      <c r="H18" s="220" t="s">
        <v>175</v>
      </c>
    </row>
    <row r="19" spans="1:8">
      <c r="A19">
        <v>3</v>
      </c>
      <c r="B19" t="s">
        <v>147</v>
      </c>
      <c r="C19">
        <v>2017</v>
      </c>
      <c r="D19" t="s">
        <v>11</v>
      </c>
      <c r="E19" t="s">
        <v>4</v>
      </c>
      <c r="F19" t="s">
        <v>13</v>
      </c>
      <c r="G19" t="s">
        <v>156</v>
      </c>
      <c r="H19" s="220" t="s">
        <v>176</v>
      </c>
    </row>
    <row r="20" spans="1:8">
      <c r="A20">
        <v>4</v>
      </c>
      <c r="B20" t="s">
        <v>148</v>
      </c>
      <c r="C20">
        <v>2017</v>
      </c>
      <c r="D20" t="s">
        <v>11</v>
      </c>
      <c r="E20" t="s">
        <v>4</v>
      </c>
      <c r="F20" t="s">
        <v>13</v>
      </c>
      <c r="G20" t="s">
        <v>157</v>
      </c>
      <c r="H20" s="220" t="s">
        <v>177</v>
      </c>
    </row>
    <row r="21" spans="1:8">
      <c r="A21">
        <v>0</v>
      </c>
      <c r="B21" t="s">
        <v>34</v>
      </c>
      <c r="C21">
        <v>2017</v>
      </c>
      <c r="D21" t="s">
        <v>11</v>
      </c>
      <c r="E21" t="s">
        <v>4</v>
      </c>
      <c r="F21" t="s">
        <v>13</v>
      </c>
      <c r="G21" t="s">
        <v>158</v>
      </c>
      <c r="H21" s="220" t="s">
        <v>178</v>
      </c>
    </row>
    <row r="22" spans="1:8">
      <c r="A22">
        <v>1</v>
      </c>
      <c r="B22" t="s">
        <v>145</v>
      </c>
      <c r="C22">
        <v>2016</v>
      </c>
      <c r="D22" t="s">
        <v>11</v>
      </c>
      <c r="E22" t="s">
        <v>4</v>
      </c>
      <c r="F22" t="s">
        <v>13</v>
      </c>
      <c r="G22" t="s">
        <v>154</v>
      </c>
      <c r="H22" s="220" t="s">
        <v>179</v>
      </c>
    </row>
    <row r="23" spans="1:8">
      <c r="A23">
        <v>2</v>
      </c>
      <c r="B23" t="s">
        <v>146</v>
      </c>
      <c r="C23">
        <v>2016</v>
      </c>
      <c r="D23" t="s">
        <v>11</v>
      </c>
      <c r="E23" t="s">
        <v>4</v>
      </c>
      <c r="F23" t="s">
        <v>13</v>
      </c>
      <c r="G23" t="s">
        <v>155</v>
      </c>
      <c r="H23" s="220" t="s">
        <v>180</v>
      </c>
    </row>
    <row r="24" spans="1:8">
      <c r="A24">
        <v>3</v>
      </c>
      <c r="B24" t="s">
        <v>147</v>
      </c>
      <c r="C24">
        <v>2016</v>
      </c>
      <c r="D24" t="s">
        <v>11</v>
      </c>
      <c r="E24" t="s">
        <v>4</v>
      </c>
      <c r="F24" t="s">
        <v>13</v>
      </c>
      <c r="G24" t="s">
        <v>156</v>
      </c>
      <c r="H24" s="220" t="s">
        <v>181</v>
      </c>
    </row>
    <row r="25" spans="1:8">
      <c r="A25">
        <v>4</v>
      </c>
      <c r="B25" t="s">
        <v>148</v>
      </c>
      <c r="C25">
        <v>2016</v>
      </c>
      <c r="D25" t="s">
        <v>11</v>
      </c>
      <c r="E25" t="s">
        <v>4</v>
      </c>
      <c r="F25" t="s">
        <v>13</v>
      </c>
      <c r="G25" t="s">
        <v>157</v>
      </c>
      <c r="H25" s="220" t="s">
        <v>182</v>
      </c>
    </row>
    <row r="26" spans="1:8">
      <c r="A26">
        <v>0</v>
      </c>
      <c r="B26" t="s">
        <v>34</v>
      </c>
      <c r="C26">
        <v>2016</v>
      </c>
      <c r="D26" t="s">
        <v>11</v>
      </c>
      <c r="E26" t="s">
        <v>4</v>
      </c>
      <c r="F26" t="s">
        <v>13</v>
      </c>
      <c r="G26" t="s">
        <v>158</v>
      </c>
      <c r="H26" s="220" t="s">
        <v>183</v>
      </c>
    </row>
    <row r="27" spans="1:8">
      <c r="A27">
        <v>1</v>
      </c>
      <c r="B27" t="s">
        <v>145</v>
      </c>
      <c r="C27">
        <v>2015</v>
      </c>
      <c r="D27" t="s">
        <v>11</v>
      </c>
      <c r="E27" t="s">
        <v>4</v>
      </c>
      <c r="F27" t="s">
        <v>13</v>
      </c>
      <c r="G27" t="s">
        <v>154</v>
      </c>
      <c r="H27" s="220" t="s">
        <v>184</v>
      </c>
    </row>
    <row r="28" spans="1:8">
      <c r="A28">
        <v>2</v>
      </c>
      <c r="B28" t="s">
        <v>146</v>
      </c>
      <c r="C28">
        <v>2015</v>
      </c>
      <c r="D28" t="s">
        <v>11</v>
      </c>
      <c r="E28" t="s">
        <v>4</v>
      </c>
      <c r="F28" t="s">
        <v>13</v>
      </c>
      <c r="G28" t="s">
        <v>155</v>
      </c>
      <c r="H28" s="220" t="s">
        <v>185</v>
      </c>
    </row>
    <row r="29" spans="1:8">
      <c r="A29">
        <v>3</v>
      </c>
      <c r="B29" t="s">
        <v>147</v>
      </c>
      <c r="C29">
        <v>2015</v>
      </c>
      <c r="D29" t="s">
        <v>11</v>
      </c>
      <c r="E29" t="s">
        <v>4</v>
      </c>
      <c r="F29" t="s">
        <v>13</v>
      </c>
      <c r="G29" t="s">
        <v>156</v>
      </c>
      <c r="H29" s="220" t="s">
        <v>186</v>
      </c>
    </row>
    <row r="30" spans="1:8">
      <c r="A30">
        <v>4</v>
      </c>
      <c r="B30" t="s">
        <v>148</v>
      </c>
      <c r="C30">
        <v>2015</v>
      </c>
      <c r="D30" t="s">
        <v>11</v>
      </c>
      <c r="E30" t="s">
        <v>4</v>
      </c>
      <c r="F30" t="s">
        <v>13</v>
      </c>
      <c r="G30" t="s">
        <v>157</v>
      </c>
      <c r="H30" s="220" t="s">
        <v>187</v>
      </c>
    </row>
    <row r="31" spans="1:8">
      <c r="A31">
        <v>0</v>
      </c>
      <c r="B31" t="s">
        <v>34</v>
      </c>
      <c r="C31">
        <v>2015</v>
      </c>
      <c r="D31" t="s">
        <v>11</v>
      </c>
      <c r="E31" t="s">
        <v>4</v>
      </c>
      <c r="F31" t="s">
        <v>13</v>
      </c>
      <c r="G31" t="s">
        <v>158</v>
      </c>
      <c r="H31" s="220" t="s">
        <v>188</v>
      </c>
    </row>
    <row r="32" spans="1:8">
      <c r="A32">
        <v>1</v>
      </c>
      <c r="B32" t="s">
        <v>145</v>
      </c>
      <c r="C32">
        <v>2014</v>
      </c>
      <c r="D32" t="s">
        <v>11</v>
      </c>
      <c r="E32" t="s">
        <v>4</v>
      </c>
      <c r="F32" t="s">
        <v>13</v>
      </c>
      <c r="G32" t="s">
        <v>154</v>
      </c>
      <c r="H32" s="220" t="s">
        <v>189</v>
      </c>
    </row>
    <row r="33" spans="1:8">
      <c r="A33">
        <v>2</v>
      </c>
      <c r="B33" t="s">
        <v>146</v>
      </c>
      <c r="C33">
        <v>2014</v>
      </c>
      <c r="D33" t="s">
        <v>11</v>
      </c>
      <c r="E33" t="s">
        <v>4</v>
      </c>
      <c r="F33" t="s">
        <v>13</v>
      </c>
      <c r="G33" t="s">
        <v>155</v>
      </c>
      <c r="H33" s="220" t="s">
        <v>190</v>
      </c>
    </row>
    <row r="34" spans="1:8">
      <c r="A34">
        <v>3</v>
      </c>
      <c r="B34" t="s">
        <v>147</v>
      </c>
      <c r="C34">
        <v>2014</v>
      </c>
      <c r="D34" t="s">
        <v>11</v>
      </c>
      <c r="E34" t="s">
        <v>4</v>
      </c>
      <c r="F34" t="s">
        <v>13</v>
      </c>
      <c r="G34" t="s">
        <v>156</v>
      </c>
      <c r="H34" s="220" t="s">
        <v>191</v>
      </c>
    </row>
    <row r="35" spans="1:8">
      <c r="A35">
        <v>4</v>
      </c>
      <c r="B35" t="s">
        <v>148</v>
      </c>
      <c r="C35">
        <v>2014</v>
      </c>
      <c r="D35" t="s">
        <v>11</v>
      </c>
      <c r="E35" t="s">
        <v>4</v>
      </c>
      <c r="F35" t="s">
        <v>13</v>
      </c>
      <c r="G35" t="s">
        <v>157</v>
      </c>
      <c r="H35" s="220" t="s">
        <v>192</v>
      </c>
    </row>
    <row r="36" spans="1:8">
      <c r="A36">
        <v>0</v>
      </c>
      <c r="B36" t="s">
        <v>34</v>
      </c>
      <c r="C36">
        <v>2014</v>
      </c>
      <c r="D36" t="s">
        <v>11</v>
      </c>
      <c r="E36" t="s">
        <v>4</v>
      </c>
      <c r="F36" t="s">
        <v>13</v>
      </c>
      <c r="G36" t="s">
        <v>158</v>
      </c>
      <c r="H36" s="220" t="s">
        <v>193</v>
      </c>
    </row>
    <row r="37" spans="1:8">
      <c r="A37">
        <v>1</v>
      </c>
      <c r="B37" t="s">
        <v>145</v>
      </c>
      <c r="C37">
        <v>2013</v>
      </c>
      <c r="D37" t="s">
        <v>11</v>
      </c>
      <c r="E37" t="s">
        <v>4</v>
      </c>
      <c r="F37" t="s">
        <v>13</v>
      </c>
      <c r="G37" t="s">
        <v>154</v>
      </c>
      <c r="H37" s="220" t="s">
        <v>194</v>
      </c>
    </row>
    <row r="38" spans="1:8">
      <c r="A38">
        <v>2</v>
      </c>
      <c r="B38" t="s">
        <v>146</v>
      </c>
      <c r="C38">
        <v>2013</v>
      </c>
      <c r="D38" t="s">
        <v>11</v>
      </c>
      <c r="E38" t="s">
        <v>4</v>
      </c>
      <c r="F38" t="s">
        <v>13</v>
      </c>
      <c r="G38" t="s">
        <v>155</v>
      </c>
      <c r="H38" s="220" t="s">
        <v>195</v>
      </c>
    </row>
    <row r="39" spans="1:8">
      <c r="A39">
        <v>3</v>
      </c>
      <c r="B39" t="s">
        <v>147</v>
      </c>
      <c r="C39">
        <v>2013</v>
      </c>
      <c r="D39" t="s">
        <v>11</v>
      </c>
      <c r="E39" t="s">
        <v>4</v>
      </c>
      <c r="F39" t="s">
        <v>13</v>
      </c>
      <c r="G39" t="s">
        <v>156</v>
      </c>
      <c r="H39" s="220" t="s">
        <v>196</v>
      </c>
    </row>
    <row r="40" spans="1:8">
      <c r="A40">
        <v>4</v>
      </c>
      <c r="B40" t="s">
        <v>148</v>
      </c>
      <c r="C40">
        <v>2013</v>
      </c>
      <c r="D40" t="s">
        <v>11</v>
      </c>
      <c r="E40" t="s">
        <v>4</v>
      </c>
      <c r="F40" t="s">
        <v>13</v>
      </c>
      <c r="G40" t="s">
        <v>157</v>
      </c>
      <c r="H40" s="220" t="s">
        <v>197</v>
      </c>
    </row>
    <row r="41" spans="1:8">
      <c r="A41">
        <v>0</v>
      </c>
      <c r="B41" t="s">
        <v>34</v>
      </c>
      <c r="C41">
        <v>2013</v>
      </c>
      <c r="D41" t="s">
        <v>11</v>
      </c>
      <c r="E41" t="s">
        <v>4</v>
      </c>
      <c r="F41" t="s">
        <v>13</v>
      </c>
      <c r="G41" t="s">
        <v>158</v>
      </c>
      <c r="H41" s="220" t="s">
        <v>198</v>
      </c>
    </row>
    <row r="42" spans="1:8">
      <c r="A42">
        <v>1</v>
      </c>
      <c r="B42" t="s">
        <v>145</v>
      </c>
      <c r="C42">
        <v>2012</v>
      </c>
      <c r="D42" t="s">
        <v>11</v>
      </c>
      <c r="E42" t="s">
        <v>4</v>
      </c>
      <c r="F42" t="s">
        <v>13</v>
      </c>
      <c r="G42" t="s">
        <v>154</v>
      </c>
      <c r="H42" s="220" t="s">
        <v>199</v>
      </c>
    </row>
    <row r="43" spans="1:8">
      <c r="A43">
        <v>2</v>
      </c>
      <c r="B43" t="s">
        <v>146</v>
      </c>
      <c r="C43">
        <v>2012</v>
      </c>
      <c r="D43" t="s">
        <v>11</v>
      </c>
      <c r="E43" t="s">
        <v>4</v>
      </c>
      <c r="F43" t="s">
        <v>13</v>
      </c>
      <c r="G43" t="s">
        <v>155</v>
      </c>
      <c r="H43" s="220" t="s">
        <v>200</v>
      </c>
    </row>
    <row r="44" spans="1:8">
      <c r="A44">
        <v>3</v>
      </c>
      <c r="B44" t="s">
        <v>147</v>
      </c>
      <c r="C44">
        <v>2012</v>
      </c>
      <c r="D44" t="s">
        <v>11</v>
      </c>
      <c r="E44" t="s">
        <v>4</v>
      </c>
      <c r="F44" t="s">
        <v>13</v>
      </c>
      <c r="G44" t="s">
        <v>156</v>
      </c>
      <c r="H44" s="220" t="s">
        <v>201</v>
      </c>
    </row>
    <row r="45" spans="1:8">
      <c r="A45">
        <v>4</v>
      </c>
      <c r="B45" t="s">
        <v>148</v>
      </c>
      <c r="C45">
        <v>2012</v>
      </c>
      <c r="D45" t="s">
        <v>11</v>
      </c>
      <c r="E45" t="s">
        <v>4</v>
      </c>
      <c r="F45" t="s">
        <v>13</v>
      </c>
      <c r="G45" t="s">
        <v>157</v>
      </c>
      <c r="H45" s="220" t="s">
        <v>202</v>
      </c>
    </row>
    <row r="46" spans="1:8">
      <c r="A46">
        <v>0</v>
      </c>
      <c r="B46" t="s">
        <v>34</v>
      </c>
      <c r="C46">
        <v>2012</v>
      </c>
      <c r="D46" t="s">
        <v>11</v>
      </c>
      <c r="E46" t="s">
        <v>4</v>
      </c>
      <c r="F46" t="s">
        <v>13</v>
      </c>
      <c r="G46" t="s">
        <v>158</v>
      </c>
      <c r="H46" s="220" t="s">
        <v>203</v>
      </c>
    </row>
    <row r="47" spans="1:8">
      <c r="A47">
        <v>1</v>
      </c>
      <c r="B47" t="s">
        <v>145</v>
      </c>
      <c r="C47">
        <v>2011</v>
      </c>
      <c r="D47" t="s">
        <v>11</v>
      </c>
      <c r="E47" t="s">
        <v>4</v>
      </c>
      <c r="F47" t="s">
        <v>13</v>
      </c>
      <c r="G47" t="s">
        <v>154</v>
      </c>
      <c r="H47" s="220" t="s">
        <v>204</v>
      </c>
    </row>
    <row r="48" spans="1:8">
      <c r="A48">
        <v>2</v>
      </c>
      <c r="B48" t="s">
        <v>146</v>
      </c>
      <c r="C48">
        <v>2011</v>
      </c>
      <c r="D48" t="s">
        <v>11</v>
      </c>
      <c r="E48" t="s">
        <v>4</v>
      </c>
      <c r="F48" t="s">
        <v>13</v>
      </c>
      <c r="G48" t="s">
        <v>155</v>
      </c>
      <c r="H48" s="220" t="s">
        <v>205</v>
      </c>
    </row>
    <row r="49" spans="1:8">
      <c r="A49">
        <v>3</v>
      </c>
      <c r="B49" t="s">
        <v>147</v>
      </c>
      <c r="C49">
        <v>2011</v>
      </c>
      <c r="D49" t="s">
        <v>11</v>
      </c>
      <c r="E49" t="s">
        <v>4</v>
      </c>
      <c r="F49" t="s">
        <v>13</v>
      </c>
      <c r="G49" t="s">
        <v>156</v>
      </c>
      <c r="H49" s="220" t="s">
        <v>206</v>
      </c>
    </row>
    <row r="50" spans="1:8">
      <c r="A50">
        <v>4</v>
      </c>
      <c r="B50" t="s">
        <v>148</v>
      </c>
      <c r="C50">
        <v>2011</v>
      </c>
      <c r="D50" t="s">
        <v>11</v>
      </c>
      <c r="E50" t="s">
        <v>4</v>
      </c>
      <c r="F50" t="s">
        <v>13</v>
      </c>
      <c r="G50" t="s">
        <v>157</v>
      </c>
      <c r="H50" s="220" t="s">
        <v>207</v>
      </c>
    </row>
    <row r="51" spans="1:8">
      <c r="A51">
        <v>0</v>
      </c>
      <c r="B51" t="s">
        <v>34</v>
      </c>
      <c r="C51">
        <v>2011</v>
      </c>
      <c r="D51" t="s">
        <v>11</v>
      </c>
      <c r="E51" t="s">
        <v>4</v>
      </c>
      <c r="F51" t="s">
        <v>13</v>
      </c>
      <c r="G51" t="s">
        <v>158</v>
      </c>
      <c r="H51" s="220" t="s">
        <v>208</v>
      </c>
    </row>
    <row r="52" spans="1:8">
      <c r="A52">
        <v>1</v>
      </c>
      <c r="B52" t="s">
        <v>145</v>
      </c>
      <c r="C52">
        <v>2010</v>
      </c>
      <c r="D52" t="s">
        <v>11</v>
      </c>
      <c r="E52" t="s">
        <v>4</v>
      </c>
      <c r="F52" t="s">
        <v>13</v>
      </c>
      <c r="G52" t="s">
        <v>154</v>
      </c>
      <c r="H52" s="220" t="s">
        <v>209</v>
      </c>
    </row>
    <row r="53" spans="1:8">
      <c r="A53">
        <v>2</v>
      </c>
      <c r="B53" t="s">
        <v>146</v>
      </c>
      <c r="C53">
        <v>2010</v>
      </c>
      <c r="D53" t="s">
        <v>11</v>
      </c>
      <c r="E53" t="s">
        <v>4</v>
      </c>
      <c r="F53" t="s">
        <v>13</v>
      </c>
      <c r="G53" t="s">
        <v>155</v>
      </c>
      <c r="H53" s="220" t="s">
        <v>210</v>
      </c>
    </row>
    <row r="54" spans="1:8">
      <c r="A54">
        <v>3</v>
      </c>
      <c r="B54" t="s">
        <v>147</v>
      </c>
      <c r="C54">
        <v>2010</v>
      </c>
      <c r="D54" t="s">
        <v>11</v>
      </c>
      <c r="E54" t="s">
        <v>4</v>
      </c>
      <c r="F54" t="s">
        <v>13</v>
      </c>
      <c r="G54" t="s">
        <v>156</v>
      </c>
      <c r="H54" s="220" t="s">
        <v>211</v>
      </c>
    </row>
    <row r="55" spans="1:8">
      <c r="A55">
        <v>4</v>
      </c>
      <c r="B55" t="s">
        <v>148</v>
      </c>
      <c r="C55">
        <v>2010</v>
      </c>
      <c r="D55" t="s">
        <v>11</v>
      </c>
      <c r="E55" t="s">
        <v>4</v>
      </c>
      <c r="F55" t="s">
        <v>13</v>
      </c>
      <c r="G55" t="s">
        <v>157</v>
      </c>
      <c r="H55" s="220" t="s">
        <v>212</v>
      </c>
    </row>
    <row r="56" spans="1:8">
      <c r="A56">
        <v>0</v>
      </c>
      <c r="B56" t="s">
        <v>34</v>
      </c>
      <c r="C56">
        <v>2010</v>
      </c>
      <c r="D56" t="s">
        <v>11</v>
      </c>
      <c r="E56" t="s">
        <v>4</v>
      </c>
      <c r="F56" t="s">
        <v>13</v>
      </c>
      <c r="G56" t="s">
        <v>158</v>
      </c>
      <c r="H56" s="220" t="s">
        <v>213</v>
      </c>
    </row>
    <row r="57" spans="1:8">
      <c r="A57">
        <v>1</v>
      </c>
      <c r="B57" t="s">
        <v>145</v>
      </c>
      <c r="C57">
        <v>2005</v>
      </c>
      <c r="D57" t="s">
        <v>11</v>
      </c>
      <c r="E57" t="s">
        <v>4</v>
      </c>
      <c r="F57" t="s">
        <v>13</v>
      </c>
      <c r="G57" t="s">
        <v>154</v>
      </c>
      <c r="H57" s="220" t="s">
        <v>214</v>
      </c>
    </row>
    <row r="58" spans="1:8">
      <c r="A58">
        <v>2</v>
      </c>
      <c r="B58" t="s">
        <v>146</v>
      </c>
      <c r="C58">
        <v>2005</v>
      </c>
      <c r="D58" t="s">
        <v>11</v>
      </c>
      <c r="E58" t="s">
        <v>4</v>
      </c>
      <c r="F58" t="s">
        <v>13</v>
      </c>
      <c r="G58" t="s">
        <v>155</v>
      </c>
      <c r="H58" s="220" t="s">
        <v>215</v>
      </c>
    </row>
    <row r="59" spans="1:8">
      <c r="A59">
        <v>3</v>
      </c>
      <c r="B59" t="s">
        <v>147</v>
      </c>
      <c r="C59">
        <v>2005</v>
      </c>
      <c r="D59" t="s">
        <v>11</v>
      </c>
      <c r="E59" t="s">
        <v>4</v>
      </c>
      <c r="F59" t="s">
        <v>13</v>
      </c>
      <c r="G59" t="s">
        <v>156</v>
      </c>
      <c r="H59" s="220" t="s">
        <v>216</v>
      </c>
    </row>
    <row r="60" spans="1:8">
      <c r="A60">
        <v>4</v>
      </c>
      <c r="B60" t="s">
        <v>148</v>
      </c>
      <c r="C60">
        <v>2005</v>
      </c>
      <c r="D60" t="s">
        <v>11</v>
      </c>
      <c r="E60" t="s">
        <v>4</v>
      </c>
      <c r="F60" t="s">
        <v>13</v>
      </c>
      <c r="G60" t="s">
        <v>157</v>
      </c>
      <c r="H60" s="220" t="s">
        <v>217</v>
      </c>
    </row>
    <row r="61" spans="1:8">
      <c r="A61">
        <v>0</v>
      </c>
      <c r="B61" t="s">
        <v>34</v>
      </c>
      <c r="C61">
        <v>2005</v>
      </c>
      <c r="D61" t="s">
        <v>11</v>
      </c>
      <c r="E61" t="s">
        <v>4</v>
      </c>
      <c r="F61" t="s">
        <v>13</v>
      </c>
      <c r="G61" t="s">
        <v>158</v>
      </c>
      <c r="H61" s="220" t="s">
        <v>218</v>
      </c>
    </row>
    <row r="62" spans="1:8">
      <c r="A62">
        <v>1</v>
      </c>
      <c r="B62" t="s">
        <v>145</v>
      </c>
      <c r="C62">
        <v>2020</v>
      </c>
      <c r="D62" t="s">
        <v>12</v>
      </c>
      <c r="E62" t="s">
        <v>4</v>
      </c>
      <c r="F62" t="s">
        <v>13</v>
      </c>
      <c r="G62" t="s">
        <v>154</v>
      </c>
      <c r="H62" s="220" t="s">
        <v>219</v>
      </c>
    </row>
    <row r="63" spans="1:8">
      <c r="A63">
        <v>2</v>
      </c>
      <c r="B63" t="s">
        <v>146</v>
      </c>
      <c r="C63">
        <v>2020</v>
      </c>
      <c r="D63" t="s">
        <v>12</v>
      </c>
      <c r="E63" t="s">
        <v>4</v>
      </c>
      <c r="F63" t="s">
        <v>13</v>
      </c>
      <c r="G63" t="s">
        <v>155</v>
      </c>
      <c r="H63" s="220" t="s">
        <v>220</v>
      </c>
    </row>
    <row r="64" spans="1:8">
      <c r="A64">
        <v>3</v>
      </c>
      <c r="B64" t="s">
        <v>147</v>
      </c>
      <c r="C64">
        <v>2020</v>
      </c>
      <c r="D64" t="s">
        <v>12</v>
      </c>
      <c r="E64" t="s">
        <v>4</v>
      </c>
      <c r="F64" t="s">
        <v>13</v>
      </c>
      <c r="G64" t="s">
        <v>156</v>
      </c>
      <c r="H64" s="220" t="s">
        <v>221</v>
      </c>
    </row>
    <row r="65" spans="1:8">
      <c r="A65">
        <v>4</v>
      </c>
      <c r="B65" t="s">
        <v>148</v>
      </c>
      <c r="C65">
        <v>2020</v>
      </c>
      <c r="D65" t="s">
        <v>12</v>
      </c>
      <c r="E65" t="s">
        <v>4</v>
      </c>
      <c r="F65" t="s">
        <v>13</v>
      </c>
      <c r="G65" t="s">
        <v>157</v>
      </c>
      <c r="H65" s="220" t="s">
        <v>222</v>
      </c>
    </row>
    <row r="66" spans="1:8">
      <c r="A66">
        <v>0</v>
      </c>
      <c r="B66" t="s">
        <v>34</v>
      </c>
      <c r="C66">
        <v>2020</v>
      </c>
      <c r="D66" t="s">
        <v>12</v>
      </c>
      <c r="E66" t="s">
        <v>4</v>
      </c>
      <c r="F66" t="s">
        <v>13</v>
      </c>
      <c r="G66" t="s">
        <v>158</v>
      </c>
      <c r="H66" s="220" t="s">
        <v>223</v>
      </c>
    </row>
    <row r="67" spans="1:8">
      <c r="A67">
        <v>1</v>
      </c>
      <c r="B67" t="s">
        <v>145</v>
      </c>
      <c r="C67">
        <v>2019</v>
      </c>
      <c r="D67" t="s">
        <v>12</v>
      </c>
      <c r="E67" t="s">
        <v>4</v>
      </c>
      <c r="F67" t="s">
        <v>13</v>
      </c>
      <c r="G67" t="s">
        <v>154</v>
      </c>
      <c r="H67" s="220" t="s">
        <v>224</v>
      </c>
    </row>
    <row r="68" spans="1:8">
      <c r="A68">
        <v>2</v>
      </c>
      <c r="B68" t="s">
        <v>146</v>
      </c>
      <c r="C68">
        <v>2019</v>
      </c>
      <c r="D68" t="s">
        <v>12</v>
      </c>
      <c r="E68" t="s">
        <v>4</v>
      </c>
      <c r="F68" t="s">
        <v>13</v>
      </c>
      <c r="G68" t="s">
        <v>155</v>
      </c>
      <c r="H68" s="220" t="s">
        <v>225</v>
      </c>
    </row>
    <row r="69" spans="1:8">
      <c r="A69">
        <v>3</v>
      </c>
      <c r="B69" t="s">
        <v>147</v>
      </c>
      <c r="C69">
        <v>2019</v>
      </c>
      <c r="D69" t="s">
        <v>12</v>
      </c>
      <c r="E69" t="s">
        <v>4</v>
      </c>
      <c r="F69" t="s">
        <v>13</v>
      </c>
      <c r="G69" t="s">
        <v>156</v>
      </c>
      <c r="H69" s="220" t="s">
        <v>226</v>
      </c>
    </row>
    <row r="70" spans="1:8">
      <c r="A70">
        <v>4</v>
      </c>
      <c r="B70" t="s">
        <v>148</v>
      </c>
      <c r="C70">
        <v>2019</v>
      </c>
      <c r="D70" t="s">
        <v>12</v>
      </c>
      <c r="E70" t="s">
        <v>4</v>
      </c>
      <c r="F70" t="s">
        <v>13</v>
      </c>
      <c r="G70" t="s">
        <v>157</v>
      </c>
      <c r="H70" s="220" t="s">
        <v>227</v>
      </c>
    </row>
    <row r="71" spans="1:8">
      <c r="A71">
        <v>0</v>
      </c>
      <c r="B71" t="s">
        <v>34</v>
      </c>
      <c r="C71">
        <v>2019</v>
      </c>
      <c r="D71" t="s">
        <v>12</v>
      </c>
      <c r="E71" t="s">
        <v>4</v>
      </c>
      <c r="F71" t="s">
        <v>13</v>
      </c>
      <c r="G71" t="s">
        <v>158</v>
      </c>
      <c r="H71" s="220" t="s">
        <v>228</v>
      </c>
    </row>
    <row r="72" spans="1:8">
      <c r="A72">
        <v>1</v>
      </c>
      <c r="B72" t="s">
        <v>145</v>
      </c>
      <c r="C72">
        <v>2018</v>
      </c>
      <c r="D72" t="s">
        <v>12</v>
      </c>
      <c r="E72" t="s">
        <v>4</v>
      </c>
      <c r="F72" t="s">
        <v>13</v>
      </c>
      <c r="G72" t="s">
        <v>154</v>
      </c>
      <c r="H72" s="220" t="s">
        <v>229</v>
      </c>
    </row>
    <row r="73" spans="1:8">
      <c r="A73">
        <v>2</v>
      </c>
      <c r="B73" t="s">
        <v>146</v>
      </c>
      <c r="C73">
        <v>2018</v>
      </c>
      <c r="D73" t="s">
        <v>12</v>
      </c>
      <c r="E73" t="s">
        <v>4</v>
      </c>
      <c r="F73" t="s">
        <v>13</v>
      </c>
      <c r="G73" t="s">
        <v>155</v>
      </c>
      <c r="H73" s="220" t="s">
        <v>230</v>
      </c>
    </row>
    <row r="74" spans="1:8">
      <c r="A74">
        <v>3</v>
      </c>
      <c r="B74" t="s">
        <v>147</v>
      </c>
      <c r="C74">
        <v>2018</v>
      </c>
      <c r="D74" t="s">
        <v>12</v>
      </c>
      <c r="E74" t="s">
        <v>4</v>
      </c>
      <c r="F74" t="s">
        <v>13</v>
      </c>
      <c r="G74" t="s">
        <v>156</v>
      </c>
      <c r="H74" s="220" t="s">
        <v>231</v>
      </c>
    </row>
    <row r="75" spans="1:8">
      <c r="A75">
        <v>4</v>
      </c>
      <c r="B75" t="s">
        <v>148</v>
      </c>
      <c r="C75">
        <v>2018</v>
      </c>
      <c r="D75" t="s">
        <v>12</v>
      </c>
      <c r="E75" t="s">
        <v>4</v>
      </c>
      <c r="F75" t="s">
        <v>13</v>
      </c>
      <c r="G75" t="s">
        <v>157</v>
      </c>
      <c r="H75" s="220" t="s">
        <v>232</v>
      </c>
    </row>
    <row r="76" spans="1:8">
      <c r="A76">
        <v>0</v>
      </c>
      <c r="B76" t="s">
        <v>34</v>
      </c>
      <c r="C76">
        <v>2018</v>
      </c>
      <c r="D76" t="s">
        <v>12</v>
      </c>
      <c r="E76" t="s">
        <v>4</v>
      </c>
      <c r="F76" t="s">
        <v>13</v>
      </c>
      <c r="G76" t="s">
        <v>158</v>
      </c>
      <c r="H76" s="220" t="s">
        <v>233</v>
      </c>
    </row>
    <row r="77" spans="1:8">
      <c r="A77">
        <v>1</v>
      </c>
      <c r="B77" t="s">
        <v>145</v>
      </c>
      <c r="C77">
        <v>2017</v>
      </c>
      <c r="D77" t="s">
        <v>12</v>
      </c>
      <c r="E77" t="s">
        <v>4</v>
      </c>
      <c r="F77" t="s">
        <v>13</v>
      </c>
      <c r="G77" t="s">
        <v>154</v>
      </c>
      <c r="H77" s="220" t="s">
        <v>234</v>
      </c>
    </row>
    <row r="78" spans="1:8">
      <c r="A78">
        <v>2</v>
      </c>
      <c r="B78" t="s">
        <v>146</v>
      </c>
      <c r="C78">
        <v>2017</v>
      </c>
      <c r="D78" t="s">
        <v>12</v>
      </c>
      <c r="E78" t="s">
        <v>4</v>
      </c>
      <c r="F78" t="s">
        <v>13</v>
      </c>
      <c r="G78" t="s">
        <v>155</v>
      </c>
      <c r="H78" s="220" t="s">
        <v>235</v>
      </c>
    </row>
    <row r="79" spans="1:8">
      <c r="A79">
        <v>3</v>
      </c>
      <c r="B79" t="s">
        <v>147</v>
      </c>
      <c r="C79">
        <v>2017</v>
      </c>
      <c r="D79" t="s">
        <v>12</v>
      </c>
      <c r="E79" t="s">
        <v>4</v>
      </c>
      <c r="F79" t="s">
        <v>13</v>
      </c>
      <c r="G79" t="s">
        <v>156</v>
      </c>
      <c r="H79" s="220" t="s">
        <v>236</v>
      </c>
    </row>
    <row r="80" spans="1:8">
      <c r="A80">
        <v>4</v>
      </c>
      <c r="B80" t="s">
        <v>148</v>
      </c>
      <c r="C80">
        <v>2017</v>
      </c>
      <c r="D80" t="s">
        <v>12</v>
      </c>
      <c r="E80" t="s">
        <v>4</v>
      </c>
      <c r="F80" t="s">
        <v>13</v>
      </c>
      <c r="G80" t="s">
        <v>157</v>
      </c>
      <c r="H80" s="220" t="s">
        <v>237</v>
      </c>
    </row>
    <row r="81" spans="1:8">
      <c r="A81">
        <v>0</v>
      </c>
      <c r="B81" t="s">
        <v>34</v>
      </c>
      <c r="C81">
        <v>2017</v>
      </c>
      <c r="D81" t="s">
        <v>12</v>
      </c>
      <c r="E81" t="s">
        <v>4</v>
      </c>
      <c r="F81" t="s">
        <v>13</v>
      </c>
      <c r="G81" t="s">
        <v>158</v>
      </c>
      <c r="H81" s="220" t="s">
        <v>238</v>
      </c>
    </row>
    <row r="82" spans="1:8">
      <c r="A82">
        <v>1</v>
      </c>
      <c r="B82" t="s">
        <v>145</v>
      </c>
      <c r="C82">
        <v>2016</v>
      </c>
      <c r="D82" t="s">
        <v>12</v>
      </c>
      <c r="E82" t="s">
        <v>4</v>
      </c>
      <c r="F82" t="s">
        <v>13</v>
      </c>
      <c r="G82" t="s">
        <v>154</v>
      </c>
      <c r="H82" s="220" t="s">
        <v>239</v>
      </c>
    </row>
    <row r="83" spans="1:8">
      <c r="A83">
        <v>2</v>
      </c>
      <c r="B83" t="s">
        <v>146</v>
      </c>
      <c r="C83">
        <v>2016</v>
      </c>
      <c r="D83" t="s">
        <v>12</v>
      </c>
      <c r="E83" t="s">
        <v>4</v>
      </c>
      <c r="F83" t="s">
        <v>13</v>
      </c>
      <c r="G83" t="s">
        <v>155</v>
      </c>
      <c r="H83" s="220" t="s">
        <v>240</v>
      </c>
    </row>
    <row r="84" spans="1:8">
      <c r="A84">
        <v>3</v>
      </c>
      <c r="B84" t="s">
        <v>147</v>
      </c>
      <c r="C84">
        <v>2016</v>
      </c>
      <c r="D84" t="s">
        <v>12</v>
      </c>
      <c r="E84" t="s">
        <v>4</v>
      </c>
      <c r="F84" t="s">
        <v>13</v>
      </c>
      <c r="G84" t="s">
        <v>156</v>
      </c>
      <c r="H84" s="220" t="s">
        <v>241</v>
      </c>
    </row>
    <row r="85" spans="1:8">
      <c r="A85">
        <v>4</v>
      </c>
      <c r="B85" t="s">
        <v>148</v>
      </c>
      <c r="C85">
        <v>2016</v>
      </c>
      <c r="D85" t="s">
        <v>12</v>
      </c>
      <c r="E85" t="s">
        <v>4</v>
      </c>
      <c r="F85" t="s">
        <v>13</v>
      </c>
      <c r="G85" t="s">
        <v>157</v>
      </c>
      <c r="H85" s="220" t="s">
        <v>242</v>
      </c>
    </row>
    <row r="86" spans="1:8">
      <c r="A86">
        <v>0</v>
      </c>
      <c r="B86" t="s">
        <v>34</v>
      </c>
      <c r="C86">
        <v>2016</v>
      </c>
      <c r="D86" t="s">
        <v>12</v>
      </c>
      <c r="E86" t="s">
        <v>4</v>
      </c>
      <c r="F86" t="s">
        <v>13</v>
      </c>
      <c r="G86" t="s">
        <v>158</v>
      </c>
      <c r="H86" s="220" t="s">
        <v>243</v>
      </c>
    </row>
    <row r="87" spans="1:8">
      <c r="A87">
        <v>1</v>
      </c>
      <c r="B87" t="s">
        <v>145</v>
      </c>
      <c r="C87">
        <v>2015</v>
      </c>
      <c r="D87" t="s">
        <v>12</v>
      </c>
      <c r="E87" t="s">
        <v>4</v>
      </c>
      <c r="F87" t="s">
        <v>13</v>
      </c>
      <c r="G87" t="s">
        <v>154</v>
      </c>
      <c r="H87" s="220" t="s">
        <v>244</v>
      </c>
    </row>
    <row r="88" spans="1:8">
      <c r="A88">
        <v>2</v>
      </c>
      <c r="B88" t="s">
        <v>146</v>
      </c>
      <c r="C88">
        <v>2015</v>
      </c>
      <c r="D88" t="s">
        <v>12</v>
      </c>
      <c r="E88" t="s">
        <v>4</v>
      </c>
      <c r="F88" t="s">
        <v>13</v>
      </c>
      <c r="G88" t="s">
        <v>155</v>
      </c>
      <c r="H88" s="220" t="s">
        <v>245</v>
      </c>
    </row>
    <row r="89" spans="1:8">
      <c r="A89">
        <v>3</v>
      </c>
      <c r="B89" t="s">
        <v>147</v>
      </c>
      <c r="C89">
        <v>2015</v>
      </c>
      <c r="D89" t="s">
        <v>12</v>
      </c>
      <c r="E89" t="s">
        <v>4</v>
      </c>
      <c r="F89" t="s">
        <v>13</v>
      </c>
      <c r="G89" t="s">
        <v>156</v>
      </c>
      <c r="H89" s="220" t="s">
        <v>246</v>
      </c>
    </row>
    <row r="90" spans="1:8">
      <c r="A90">
        <v>4</v>
      </c>
      <c r="B90" t="s">
        <v>148</v>
      </c>
      <c r="C90">
        <v>2015</v>
      </c>
      <c r="D90" t="s">
        <v>12</v>
      </c>
      <c r="E90" t="s">
        <v>4</v>
      </c>
      <c r="F90" t="s">
        <v>13</v>
      </c>
      <c r="G90" t="s">
        <v>157</v>
      </c>
      <c r="H90" s="220" t="s">
        <v>247</v>
      </c>
    </row>
    <row r="91" spans="1:8">
      <c r="A91">
        <v>0</v>
      </c>
      <c r="B91" t="s">
        <v>34</v>
      </c>
      <c r="C91">
        <v>2015</v>
      </c>
      <c r="D91" t="s">
        <v>12</v>
      </c>
      <c r="E91" t="s">
        <v>4</v>
      </c>
      <c r="F91" t="s">
        <v>13</v>
      </c>
      <c r="G91" t="s">
        <v>158</v>
      </c>
      <c r="H91" s="220" t="s">
        <v>248</v>
      </c>
    </row>
    <row r="92" spans="1:8">
      <c r="A92">
        <v>1</v>
      </c>
      <c r="B92" t="s">
        <v>145</v>
      </c>
      <c r="C92">
        <v>2014</v>
      </c>
      <c r="D92" t="s">
        <v>12</v>
      </c>
      <c r="E92" t="s">
        <v>4</v>
      </c>
      <c r="F92" t="s">
        <v>13</v>
      </c>
      <c r="G92" t="s">
        <v>154</v>
      </c>
      <c r="H92" s="220" t="s">
        <v>249</v>
      </c>
    </row>
    <row r="93" spans="1:8">
      <c r="A93">
        <v>2</v>
      </c>
      <c r="B93" t="s">
        <v>146</v>
      </c>
      <c r="C93">
        <v>2014</v>
      </c>
      <c r="D93" t="s">
        <v>12</v>
      </c>
      <c r="E93" t="s">
        <v>4</v>
      </c>
      <c r="F93" t="s">
        <v>13</v>
      </c>
      <c r="G93" t="s">
        <v>155</v>
      </c>
      <c r="H93" s="220" t="s">
        <v>250</v>
      </c>
    </row>
    <row r="94" spans="1:8">
      <c r="A94">
        <v>3</v>
      </c>
      <c r="B94" t="s">
        <v>147</v>
      </c>
      <c r="C94">
        <v>2014</v>
      </c>
      <c r="D94" t="s">
        <v>12</v>
      </c>
      <c r="E94" t="s">
        <v>4</v>
      </c>
      <c r="F94" t="s">
        <v>13</v>
      </c>
      <c r="G94" t="s">
        <v>156</v>
      </c>
      <c r="H94" s="220" t="s">
        <v>251</v>
      </c>
    </row>
    <row r="95" spans="1:8">
      <c r="A95">
        <v>4</v>
      </c>
      <c r="B95" t="s">
        <v>148</v>
      </c>
      <c r="C95">
        <v>2014</v>
      </c>
      <c r="D95" t="s">
        <v>12</v>
      </c>
      <c r="E95" t="s">
        <v>4</v>
      </c>
      <c r="F95" t="s">
        <v>13</v>
      </c>
      <c r="G95" t="s">
        <v>157</v>
      </c>
      <c r="H95" s="220" t="s">
        <v>252</v>
      </c>
    </row>
    <row r="96" spans="1:8">
      <c r="A96">
        <v>0</v>
      </c>
      <c r="B96" t="s">
        <v>34</v>
      </c>
      <c r="C96">
        <v>2014</v>
      </c>
      <c r="D96" t="s">
        <v>12</v>
      </c>
      <c r="E96" t="s">
        <v>4</v>
      </c>
      <c r="F96" t="s">
        <v>13</v>
      </c>
      <c r="G96" t="s">
        <v>158</v>
      </c>
      <c r="H96" s="220" t="s">
        <v>253</v>
      </c>
    </row>
    <row r="97" spans="1:8">
      <c r="A97">
        <v>1</v>
      </c>
      <c r="B97" t="s">
        <v>145</v>
      </c>
      <c r="C97">
        <v>2013</v>
      </c>
      <c r="D97" t="s">
        <v>12</v>
      </c>
      <c r="E97" t="s">
        <v>4</v>
      </c>
      <c r="F97" t="s">
        <v>13</v>
      </c>
      <c r="G97" t="s">
        <v>154</v>
      </c>
      <c r="H97" s="220" t="s">
        <v>254</v>
      </c>
    </row>
    <row r="98" spans="1:8">
      <c r="A98">
        <v>2</v>
      </c>
      <c r="B98" t="s">
        <v>146</v>
      </c>
      <c r="C98">
        <v>2013</v>
      </c>
      <c r="D98" t="s">
        <v>12</v>
      </c>
      <c r="E98" t="s">
        <v>4</v>
      </c>
      <c r="F98" t="s">
        <v>13</v>
      </c>
      <c r="G98" t="s">
        <v>155</v>
      </c>
      <c r="H98" s="220" t="s">
        <v>255</v>
      </c>
    </row>
    <row r="99" spans="1:8">
      <c r="A99">
        <v>3</v>
      </c>
      <c r="B99" t="s">
        <v>147</v>
      </c>
      <c r="C99">
        <v>2013</v>
      </c>
      <c r="D99" t="s">
        <v>12</v>
      </c>
      <c r="E99" t="s">
        <v>4</v>
      </c>
      <c r="F99" t="s">
        <v>13</v>
      </c>
      <c r="G99" t="s">
        <v>156</v>
      </c>
      <c r="H99" s="220" t="s">
        <v>256</v>
      </c>
    </row>
    <row r="100" spans="1:8">
      <c r="A100">
        <v>4</v>
      </c>
      <c r="B100" t="s">
        <v>148</v>
      </c>
      <c r="C100">
        <v>2013</v>
      </c>
      <c r="D100" t="s">
        <v>12</v>
      </c>
      <c r="E100" t="s">
        <v>4</v>
      </c>
      <c r="F100" t="s">
        <v>13</v>
      </c>
      <c r="G100" t="s">
        <v>157</v>
      </c>
      <c r="H100" s="220" t="s">
        <v>257</v>
      </c>
    </row>
    <row r="101" spans="1:8">
      <c r="A101">
        <v>0</v>
      </c>
      <c r="B101" t="s">
        <v>34</v>
      </c>
      <c r="C101">
        <v>2013</v>
      </c>
      <c r="D101" t="s">
        <v>12</v>
      </c>
      <c r="E101" t="s">
        <v>4</v>
      </c>
      <c r="F101" t="s">
        <v>13</v>
      </c>
      <c r="G101" t="s">
        <v>158</v>
      </c>
      <c r="H101" s="220" t="s">
        <v>258</v>
      </c>
    </row>
    <row r="102" spans="1:8">
      <c r="A102">
        <v>1</v>
      </c>
      <c r="B102" t="s">
        <v>145</v>
      </c>
      <c r="C102">
        <v>2012</v>
      </c>
      <c r="D102" t="s">
        <v>12</v>
      </c>
      <c r="E102" t="s">
        <v>4</v>
      </c>
      <c r="F102" t="s">
        <v>13</v>
      </c>
      <c r="G102" t="s">
        <v>154</v>
      </c>
      <c r="H102" s="220" t="s">
        <v>259</v>
      </c>
    </row>
    <row r="103" spans="1:8">
      <c r="A103">
        <v>2</v>
      </c>
      <c r="B103" t="s">
        <v>146</v>
      </c>
      <c r="C103">
        <v>2012</v>
      </c>
      <c r="D103" t="s">
        <v>12</v>
      </c>
      <c r="E103" t="s">
        <v>4</v>
      </c>
      <c r="F103" t="s">
        <v>13</v>
      </c>
      <c r="G103" t="s">
        <v>155</v>
      </c>
      <c r="H103" s="220" t="s">
        <v>260</v>
      </c>
    </row>
    <row r="104" spans="1:8">
      <c r="A104">
        <v>3</v>
      </c>
      <c r="B104" t="s">
        <v>147</v>
      </c>
      <c r="C104">
        <v>2012</v>
      </c>
      <c r="D104" t="s">
        <v>12</v>
      </c>
      <c r="E104" t="s">
        <v>4</v>
      </c>
      <c r="F104" t="s">
        <v>13</v>
      </c>
      <c r="G104" t="s">
        <v>156</v>
      </c>
      <c r="H104" s="220" t="s">
        <v>261</v>
      </c>
    </row>
    <row r="105" spans="1:8">
      <c r="A105">
        <v>4</v>
      </c>
      <c r="B105" t="s">
        <v>148</v>
      </c>
      <c r="C105">
        <v>2012</v>
      </c>
      <c r="D105" t="s">
        <v>12</v>
      </c>
      <c r="E105" t="s">
        <v>4</v>
      </c>
      <c r="F105" t="s">
        <v>13</v>
      </c>
      <c r="G105" t="s">
        <v>157</v>
      </c>
      <c r="H105" s="220" t="s">
        <v>262</v>
      </c>
    </row>
    <row r="106" spans="1:8">
      <c r="A106">
        <v>0</v>
      </c>
      <c r="B106" t="s">
        <v>34</v>
      </c>
      <c r="C106">
        <v>2012</v>
      </c>
      <c r="D106" t="s">
        <v>12</v>
      </c>
      <c r="E106" t="s">
        <v>4</v>
      </c>
      <c r="F106" t="s">
        <v>13</v>
      </c>
      <c r="G106" t="s">
        <v>158</v>
      </c>
      <c r="H106" s="220" t="s">
        <v>263</v>
      </c>
    </row>
    <row r="107" spans="1:8">
      <c r="A107">
        <v>1</v>
      </c>
      <c r="B107" t="s">
        <v>145</v>
      </c>
      <c r="C107">
        <v>2011</v>
      </c>
      <c r="D107" t="s">
        <v>12</v>
      </c>
      <c r="E107" t="s">
        <v>4</v>
      </c>
      <c r="F107" t="s">
        <v>13</v>
      </c>
      <c r="G107" t="s">
        <v>154</v>
      </c>
      <c r="H107" s="220" t="s">
        <v>264</v>
      </c>
    </row>
    <row r="108" spans="1:8">
      <c r="A108">
        <v>2</v>
      </c>
      <c r="B108" t="s">
        <v>146</v>
      </c>
      <c r="C108">
        <v>2011</v>
      </c>
      <c r="D108" t="s">
        <v>12</v>
      </c>
      <c r="E108" t="s">
        <v>4</v>
      </c>
      <c r="F108" t="s">
        <v>13</v>
      </c>
      <c r="G108" t="s">
        <v>155</v>
      </c>
      <c r="H108" s="220" t="s">
        <v>265</v>
      </c>
    </row>
    <row r="109" spans="1:8">
      <c r="A109">
        <v>3</v>
      </c>
      <c r="B109" t="s">
        <v>147</v>
      </c>
      <c r="C109">
        <v>2011</v>
      </c>
      <c r="D109" t="s">
        <v>12</v>
      </c>
      <c r="E109" t="s">
        <v>4</v>
      </c>
      <c r="F109" t="s">
        <v>13</v>
      </c>
      <c r="G109" t="s">
        <v>156</v>
      </c>
      <c r="H109" s="220" t="s">
        <v>266</v>
      </c>
    </row>
    <row r="110" spans="1:8">
      <c r="A110">
        <v>4</v>
      </c>
      <c r="B110" t="s">
        <v>148</v>
      </c>
      <c r="C110">
        <v>2011</v>
      </c>
      <c r="D110" t="s">
        <v>12</v>
      </c>
      <c r="E110" t="s">
        <v>4</v>
      </c>
      <c r="F110" t="s">
        <v>13</v>
      </c>
      <c r="G110" t="s">
        <v>157</v>
      </c>
      <c r="H110" s="220" t="s">
        <v>267</v>
      </c>
    </row>
    <row r="111" spans="1:8">
      <c r="A111">
        <v>0</v>
      </c>
      <c r="B111" t="s">
        <v>34</v>
      </c>
      <c r="C111">
        <v>2011</v>
      </c>
      <c r="D111" t="s">
        <v>12</v>
      </c>
      <c r="E111" t="s">
        <v>4</v>
      </c>
      <c r="F111" t="s">
        <v>13</v>
      </c>
      <c r="G111" t="s">
        <v>158</v>
      </c>
      <c r="H111" s="220" t="s">
        <v>268</v>
      </c>
    </row>
    <row r="112" spans="1:8">
      <c r="A112">
        <v>1</v>
      </c>
      <c r="B112" t="s">
        <v>145</v>
      </c>
      <c r="C112">
        <v>2010</v>
      </c>
      <c r="D112" t="s">
        <v>12</v>
      </c>
      <c r="E112" t="s">
        <v>4</v>
      </c>
      <c r="F112" t="s">
        <v>13</v>
      </c>
      <c r="G112" t="s">
        <v>154</v>
      </c>
      <c r="H112" s="220" t="s">
        <v>269</v>
      </c>
    </row>
    <row r="113" spans="1:8">
      <c r="A113">
        <v>2</v>
      </c>
      <c r="B113" t="s">
        <v>146</v>
      </c>
      <c r="C113">
        <v>2010</v>
      </c>
      <c r="D113" t="s">
        <v>12</v>
      </c>
      <c r="E113" t="s">
        <v>4</v>
      </c>
      <c r="F113" t="s">
        <v>13</v>
      </c>
      <c r="G113" t="s">
        <v>155</v>
      </c>
      <c r="H113" s="220" t="s">
        <v>270</v>
      </c>
    </row>
    <row r="114" spans="1:8">
      <c r="A114">
        <v>3</v>
      </c>
      <c r="B114" t="s">
        <v>147</v>
      </c>
      <c r="C114">
        <v>2010</v>
      </c>
      <c r="D114" t="s">
        <v>12</v>
      </c>
      <c r="E114" t="s">
        <v>4</v>
      </c>
      <c r="F114" t="s">
        <v>13</v>
      </c>
      <c r="G114" t="s">
        <v>156</v>
      </c>
      <c r="H114" s="220" t="s">
        <v>271</v>
      </c>
    </row>
    <row r="115" spans="1:8">
      <c r="A115">
        <v>4</v>
      </c>
      <c r="B115" t="s">
        <v>148</v>
      </c>
      <c r="C115">
        <v>2010</v>
      </c>
      <c r="D115" t="s">
        <v>12</v>
      </c>
      <c r="E115" t="s">
        <v>4</v>
      </c>
      <c r="F115" t="s">
        <v>13</v>
      </c>
      <c r="G115" t="s">
        <v>157</v>
      </c>
      <c r="H115" s="220" t="s">
        <v>272</v>
      </c>
    </row>
    <row r="116" spans="1:8">
      <c r="A116">
        <v>0</v>
      </c>
      <c r="B116" t="s">
        <v>34</v>
      </c>
      <c r="C116">
        <v>2010</v>
      </c>
      <c r="D116" t="s">
        <v>12</v>
      </c>
      <c r="E116" t="s">
        <v>4</v>
      </c>
      <c r="F116" t="s">
        <v>13</v>
      </c>
      <c r="G116" t="s">
        <v>158</v>
      </c>
      <c r="H116" s="220" t="s">
        <v>273</v>
      </c>
    </row>
    <row r="117" spans="1:8">
      <c r="A117">
        <v>1</v>
      </c>
      <c r="B117" t="s">
        <v>145</v>
      </c>
      <c r="C117">
        <v>2005</v>
      </c>
      <c r="D117" t="s">
        <v>12</v>
      </c>
      <c r="E117" t="s">
        <v>4</v>
      </c>
      <c r="F117" t="s">
        <v>13</v>
      </c>
      <c r="G117" t="s">
        <v>154</v>
      </c>
      <c r="H117" s="220" t="s">
        <v>274</v>
      </c>
    </row>
    <row r="118" spans="1:8">
      <c r="A118">
        <v>2</v>
      </c>
      <c r="B118" t="s">
        <v>146</v>
      </c>
      <c r="C118">
        <v>2005</v>
      </c>
      <c r="D118" t="s">
        <v>12</v>
      </c>
      <c r="E118" t="s">
        <v>4</v>
      </c>
      <c r="F118" t="s">
        <v>13</v>
      </c>
      <c r="G118" t="s">
        <v>155</v>
      </c>
      <c r="H118" s="220" t="s">
        <v>275</v>
      </c>
    </row>
    <row r="119" spans="1:8">
      <c r="A119">
        <v>3</v>
      </c>
      <c r="B119" t="s">
        <v>147</v>
      </c>
      <c r="C119">
        <v>2005</v>
      </c>
      <c r="D119" t="s">
        <v>12</v>
      </c>
      <c r="E119" t="s">
        <v>4</v>
      </c>
      <c r="F119" t="s">
        <v>13</v>
      </c>
      <c r="G119" t="s">
        <v>156</v>
      </c>
      <c r="H119" s="220" t="s">
        <v>276</v>
      </c>
    </row>
    <row r="120" spans="1:8">
      <c r="A120">
        <v>4</v>
      </c>
      <c r="B120" t="s">
        <v>148</v>
      </c>
      <c r="C120">
        <v>2005</v>
      </c>
      <c r="D120" t="s">
        <v>12</v>
      </c>
      <c r="E120" t="s">
        <v>4</v>
      </c>
      <c r="F120" t="s">
        <v>13</v>
      </c>
      <c r="G120" t="s">
        <v>157</v>
      </c>
      <c r="H120" s="220" t="s">
        <v>277</v>
      </c>
    </row>
    <row r="121" spans="1:8">
      <c r="A121">
        <v>0</v>
      </c>
      <c r="B121" t="s">
        <v>34</v>
      </c>
      <c r="C121">
        <v>2005</v>
      </c>
      <c r="D121" t="s">
        <v>12</v>
      </c>
      <c r="E121" t="s">
        <v>4</v>
      </c>
      <c r="F121" t="s">
        <v>13</v>
      </c>
      <c r="G121" t="s">
        <v>158</v>
      </c>
      <c r="H121" s="220" t="s">
        <v>278</v>
      </c>
    </row>
    <row r="122" spans="1:8">
      <c r="A122">
        <v>1</v>
      </c>
      <c r="B122" t="s">
        <v>145</v>
      </c>
      <c r="C122">
        <v>2020</v>
      </c>
      <c r="D122" t="s">
        <v>11</v>
      </c>
      <c r="E122" t="s">
        <v>5</v>
      </c>
      <c r="F122" t="s">
        <v>13</v>
      </c>
      <c r="G122" t="s">
        <v>154</v>
      </c>
      <c r="H122" s="220" t="s">
        <v>279</v>
      </c>
    </row>
    <row r="123" spans="1:8">
      <c r="A123">
        <v>2</v>
      </c>
      <c r="B123" t="s">
        <v>146</v>
      </c>
      <c r="C123">
        <v>2020</v>
      </c>
      <c r="D123" t="s">
        <v>11</v>
      </c>
      <c r="E123" t="s">
        <v>5</v>
      </c>
      <c r="F123" t="s">
        <v>13</v>
      </c>
      <c r="G123" t="s">
        <v>155</v>
      </c>
      <c r="H123" s="220" t="s">
        <v>280</v>
      </c>
    </row>
    <row r="124" spans="1:8">
      <c r="A124">
        <v>3</v>
      </c>
      <c r="B124" t="s">
        <v>147</v>
      </c>
      <c r="C124">
        <v>2020</v>
      </c>
      <c r="D124" t="s">
        <v>11</v>
      </c>
      <c r="E124" t="s">
        <v>5</v>
      </c>
      <c r="F124" t="s">
        <v>13</v>
      </c>
      <c r="G124" t="s">
        <v>156</v>
      </c>
      <c r="H124" s="220" t="s">
        <v>281</v>
      </c>
    </row>
    <row r="125" spans="1:8">
      <c r="A125">
        <v>4</v>
      </c>
      <c r="B125" t="s">
        <v>148</v>
      </c>
      <c r="C125">
        <v>2020</v>
      </c>
      <c r="D125" t="s">
        <v>11</v>
      </c>
      <c r="E125" t="s">
        <v>5</v>
      </c>
      <c r="F125" t="s">
        <v>13</v>
      </c>
      <c r="G125" t="s">
        <v>157</v>
      </c>
      <c r="H125" s="220" t="s">
        <v>282</v>
      </c>
    </row>
    <row r="126" spans="1:8">
      <c r="A126">
        <v>0</v>
      </c>
      <c r="B126" t="s">
        <v>34</v>
      </c>
      <c r="C126">
        <v>2020</v>
      </c>
      <c r="D126" t="s">
        <v>11</v>
      </c>
      <c r="E126" t="s">
        <v>5</v>
      </c>
      <c r="F126" t="s">
        <v>13</v>
      </c>
      <c r="G126" t="s">
        <v>158</v>
      </c>
      <c r="H126" s="220" t="s">
        <v>283</v>
      </c>
    </row>
    <row r="127" spans="1:8">
      <c r="A127">
        <v>1</v>
      </c>
      <c r="B127" t="s">
        <v>145</v>
      </c>
      <c r="C127">
        <v>2019</v>
      </c>
      <c r="D127" t="s">
        <v>11</v>
      </c>
      <c r="E127" t="s">
        <v>5</v>
      </c>
      <c r="F127" t="s">
        <v>13</v>
      </c>
      <c r="G127" t="s">
        <v>154</v>
      </c>
      <c r="H127" s="220" t="s">
        <v>284</v>
      </c>
    </row>
    <row r="128" spans="1:8">
      <c r="A128">
        <v>2</v>
      </c>
      <c r="B128" t="s">
        <v>146</v>
      </c>
      <c r="C128">
        <v>2019</v>
      </c>
      <c r="D128" t="s">
        <v>11</v>
      </c>
      <c r="E128" t="s">
        <v>5</v>
      </c>
      <c r="F128" t="s">
        <v>13</v>
      </c>
      <c r="G128" t="s">
        <v>155</v>
      </c>
      <c r="H128" s="220" t="s">
        <v>285</v>
      </c>
    </row>
    <row r="129" spans="1:8">
      <c r="A129">
        <v>3</v>
      </c>
      <c r="B129" t="s">
        <v>147</v>
      </c>
      <c r="C129">
        <v>2019</v>
      </c>
      <c r="D129" t="s">
        <v>11</v>
      </c>
      <c r="E129" t="s">
        <v>5</v>
      </c>
      <c r="F129" t="s">
        <v>13</v>
      </c>
      <c r="G129" t="s">
        <v>156</v>
      </c>
      <c r="H129" s="220" t="s">
        <v>286</v>
      </c>
    </row>
    <row r="130" spans="1:8">
      <c r="A130">
        <v>4</v>
      </c>
      <c r="B130" t="s">
        <v>148</v>
      </c>
      <c r="C130">
        <v>2019</v>
      </c>
      <c r="D130" t="s">
        <v>11</v>
      </c>
      <c r="E130" t="s">
        <v>5</v>
      </c>
      <c r="F130" t="s">
        <v>13</v>
      </c>
      <c r="G130" t="s">
        <v>157</v>
      </c>
      <c r="H130" s="220" t="s">
        <v>287</v>
      </c>
    </row>
    <row r="131" spans="1:8">
      <c r="A131">
        <v>0</v>
      </c>
      <c r="B131" t="s">
        <v>34</v>
      </c>
      <c r="C131">
        <v>2019</v>
      </c>
      <c r="D131" t="s">
        <v>11</v>
      </c>
      <c r="E131" t="s">
        <v>5</v>
      </c>
      <c r="F131" t="s">
        <v>13</v>
      </c>
      <c r="G131" t="s">
        <v>158</v>
      </c>
      <c r="H131" s="220" t="s">
        <v>288</v>
      </c>
    </row>
    <row r="132" spans="1:8">
      <c r="A132">
        <v>1</v>
      </c>
      <c r="B132" t="s">
        <v>145</v>
      </c>
      <c r="C132">
        <v>2018</v>
      </c>
      <c r="D132" t="s">
        <v>11</v>
      </c>
      <c r="E132" t="s">
        <v>5</v>
      </c>
      <c r="F132" t="s">
        <v>13</v>
      </c>
      <c r="G132" t="s">
        <v>154</v>
      </c>
      <c r="H132" s="220" t="s">
        <v>289</v>
      </c>
    </row>
    <row r="133" spans="1:8">
      <c r="A133">
        <v>2</v>
      </c>
      <c r="B133" t="s">
        <v>146</v>
      </c>
      <c r="C133">
        <v>2018</v>
      </c>
      <c r="D133" t="s">
        <v>11</v>
      </c>
      <c r="E133" t="s">
        <v>5</v>
      </c>
      <c r="F133" t="s">
        <v>13</v>
      </c>
      <c r="G133" t="s">
        <v>155</v>
      </c>
      <c r="H133" s="220" t="s">
        <v>290</v>
      </c>
    </row>
    <row r="134" spans="1:8">
      <c r="A134">
        <v>3</v>
      </c>
      <c r="B134" t="s">
        <v>147</v>
      </c>
      <c r="C134">
        <v>2018</v>
      </c>
      <c r="D134" t="s">
        <v>11</v>
      </c>
      <c r="E134" t="s">
        <v>5</v>
      </c>
      <c r="F134" t="s">
        <v>13</v>
      </c>
      <c r="G134" t="s">
        <v>156</v>
      </c>
      <c r="H134" s="220" t="s">
        <v>291</v>
      </c>
    </row>
    <row r="135" spans="1:8">
      <c r="A135">
        <v>4</v>
      </c>
      <c r="B135" t="s">
        <v>148</v>
      </c>
      <c r="C135">
        <v>2018</v>
      </c>
      <c r="D135" t="s">
        <v>11</v>
      </c>
      <c r="E135" t="s">
        <v>5</v>
      </c>
      <c r="F135" t="s">
        <v>13</v>
      </c>
      <c r="G135" t="s">
        <v>157</v>
      </c>
      <c r="H135" s="220" t="s">
        <v>292</v>
      </c>
    </row>
    <row r="136" spans="1:8">
      <c r="A136">
        <v>0</v>
      </c>
      <c r="B136" t="s">
        <v>34</v>
      </c>
      <c r="C136">
        <v>2018</v>
      </c>
      <c r="D136" t="s">
        <v>11</v>
      </c>
      <c r="E136" t="s">
        <v>5</v>
      </c>
      <c r="F136" t="s">
        <v>13</v>
      </c>
      <c r="G136" t="s">
        <v>158</v>
      </c>
      <c r="H136" s="220" t="s">
        <v>293</v>
      </c>
    </row>
    <row r="137" spans="1:8">
      <c r="A137">
        <v>1</v>
      </c>
      <c r="B137" t="s">
        <v>145</v>
      </c>
      <c r="C137">
        <v>2017</v>
      </c>
      <c r="D137" t="s">
        <v>11</v>
      </c>
      <c r="E137" t="s">
        <v>5</v>
      </c>
      <c r="F137" t="s">
        <v>13</v>
      </c>
      <c r="G137" t="s">
        <v>154</v>
      </c>
      <c r="H137" s="220" t="s">
        <v>294</v>
      </c>
    </row>
    <row r="138" spans="1:8">
      <c r="A138">
        <v>2</v>
      </c>
      <c r="B138" t="s">
        <v>146</v>
      </c>
      <c r="C138">
        <v>2017</v>
      </c>
      <c r="D138" t="s">
        <v>11</v>
      </c>
      <c r="E138" t="s">
        <v>5</v>
      </c>
      <c r="F138" t="s">
        <v>13</v>
      </c>
      <c r="G138" t="s">
        <v>155</v>
      </c>
      <c r="H138" s="220" t="s">
        <v>295</v>
      </c>
    </row>
    <row r="139" spans="1:8">
      <c r="A139">
        <v>3</v>
      </c>
      <c r="B139" t="s">
        <v>147</v>
      </c>
      <c r="C139">
        <v>2017</v>
      </c>
      <c r="D139" t="s">
        <v>11</v>
      </c>
      <c r="E139" t="s">
        <v>5</v>
      </c>
      <c r="F139" t="s">
        <v>13</v>
      </c>
      <c r="G139" t="s">
        <v>156</v>
      </c>
      <c r="H139" s="220" t="s">
        <v>296</v>
      </c>
    </row>
    <row r="140" spans="1:8">
      <c r="A140">
        <v>4</v>
      </c>
      <c r="B140" t="s">
        <v>148</v>
      </c>
      <c r="C140">
        <v>2017</v>
      </c>
      <c r="D140" t="s">
        <v>11</v>
      </c>
      <c r="E140" t="s">
        <v>5</v>
      </c>
      <c r="F140" t="s">
        <v>13</v>
      </c>
      <c r="G140" t="s">
        <v>157</v>
      </c>
      <c r="H140" s="220" t="s">
        <v>297</v>
      </c>
    </row>
    <row r="141" spans="1:8">
      <c r="A141">
        <v>0</v>
      </c>
      <c r="B141" t="s">
        <v>34</v>
      </c>
      <c r="C141">
        <v>2017</v>
      </c>
      <c r="D141" t="s">
        <v>11</v>
      </c>
      <c r="E141" t="s">
        <v>5</v>
      </c>
      <c r="F141" t="s">
        <v>13</v>
      </c>
      <c r="G141" t="s">
        <v>158</v>
      </c>
      <c r="H141" s="220" t="s">
        <v>298</v>
      </c>
    </row>
    <row r="142" spans="1:8">
      <c r="A142">
        <v>1</v>
      </c>
      <c r="B142" t="s">
        <v>145</v>
      </c>
      <c r="C142">
        <v>2016</v>
      </c>
      <c r="D142" t="s">
        <v>11</v>
      </c>
      <c r="E142" t="s">
        <v>5</v>
      </c>
      <c r="F142" t="s">
        <v>13</v>
      </c>
      <c r="G142" t="s">
        <v>154</v>
      </c>
      <c r="H142" s="220" t="s">
        <v>299</v>
      </c>
    </row>
    <row r="143" spans="1:8">
      <c r="A143">
        <v>2</v>
      </c>
      <c r="B143" t="s">
        <v>146</v>
      </c>
      <c r="C143">
        <v>2016</v>
      </c>
      <c r="D143" t="s">
        <v>11</v>
      </c>
      <c r="E143" t="s">
        <v>5</v>
      </c>
      <c r="F143" t="s">
        <v>13</v>
      </c>
      <c r="G143" t="s">
        <v>155</v>
      </c>
      <c r="H143" s="220" t="s">
        <v>300</v>
      </c>
    </row>
    <row r="144" spans="1:8">
      <c r="A144">
        <v>3</v>
      </c>
      <c r="B144" t="s">
        <v>147</v>
      </c>
      <c r="C144">
        <v>2016</v>
      </c>
      <c r="D144" t="s">
        <v>11</v>
      </c>
      <c r="E144" t="s">
        <v>5</v>
      </c>
      <c r="F144" t="s">
        <v>13</v>
      </c>
      <c r="G144" t="s">
        <v>156</v>
      </c>
      <c r="H144" s="220" t="s">
        <v>301</v>
      </c>
    </row>
    <row r="145" spans="1:8">
      <c r="A145">
        <v>4</v>
      </c>
      <c r="B145" t="s">
        <v>148</v>
      </c>
      <c r="C145">
        <v>2016</v>
      </c>
      <c r="D145" t="s">
        <v>11</v>
      </c>
      <c r="E145" t="s">
        <v>5</v>
      </c>
      <c r="F145" t="s">
        <v>13</v>
      </c>
      <c r="G145" t="s">
        <v>157</v>
      </c>
      <c r="H145" s="220" t="s">
        <v>302</v>
      </c>
    </row>
    <row r="146" spans="1:8">
      <c r="A146">
        <v>0</v>
      </c>
      <c r="B146" t="s">
        <v>34</v>
      </c>
      <c r="C146">
        <v>2016</v>
      </c>
      <c r="D146" t="s">
        <v>11</v>
      </c>
      <c r="E146" t="s">
        <v>5</v>
      </c>
      <c r="F146" t="s">
        <v>13</v>
      </c>
      <c r="G146" t="s">
        <v>158</v>
      </c>
      <c r="H146" s="220" t="s">
        <v>303</v>
      </c>
    </row>
    <row r="147" spans="1:8">
      <c r="A147">
        <v>1</v>
      </c>
      <c r="B147" t="s">
        <v>145</v>
      </c>
      <c r="C147">
        <v>2015</v>
      </c>
      <c r="D147" t="s">
        <v>11</v>
      </c>
      <c r="E147" t="s">
        <v>5</v>
      </c>
      <c r="F147" t="s">
        <v>13</v>
      </c>
      <c r="G147" t="s">
        <v>154</v>
      </c>
      <c r="H147" s="220" t="s">
        <v>304</v>
      </c>
    </row>
    <row r="148" spans="1:8">
      <c r="A148">
        <v>2</v>
      </c>
      <c r="B148" t="s">
        <v>146</v>
      </c>
      <c r="C148">
        <v>2015</v>
      </c>
      <c r="D148" t="s">
        <v>11</v>
      </c>
      <c r="E148" t="s">
        <v>5</v>
      </c>
      <c r="F148" t="s">
        <v>13</v>
      </c>
      <c r="G148" t="s">
        <v>155</v>
      </c>
      <c r="H148" s="220" t="s">
        <v>305</v>
      </c>
    </row>
    <row r="149" spans="1:8">
      <c r="A149">
        <v>3</v>
      </c>
      <c r="B149" t="s">
        <v>147</v>
      </c>
      <c r="C149">
        <v>2015</v>
      </c>
      <c r="D149" t="s">
        <v>11</v>
      </c>
      <c r="E149" t="s">
        <v>5</v>
      </c>
      <c r="F149" t="s">
        <v>13</v>
      </c>
      <c r="G149" t="s">
        <v>156</v>
      </c>
      <c r="H149" s="220" t="s">
        <v>306</v>
      </c>
    </row>
    <row r="150" spans="1:8">
      <c r="A150">
        <v>4</v>
      </c>
      <c r="B150" t="s">
        <v>148</v>
      </c>
      <c r="C150">
        <v>2015</v>
      </c>
      <c r="D150" t="s">
        <v>11</v>
      </c>
      <c r="E150" t="s">
        <v>5</v>
      </c>
      <c r="F150" t="s">
        <v>13</v>
      </c>
      <c r="G150" t="s">
        <v>157</v>
      </c>
      <c r="H150" s="220" t="s">
        <v>307</v>
      </c>
    </row>
    <row r="151" spans="1:8">
      <c r="A151">
        <v>0</v>
      </c>
      <c r="B151" t="s">
        <v>34</v>
      </c>
      <c r="C151">
        <v>2015</v>
      </c>
      <c r="D151" t="s">
        <v>11</v>
      </c>
      <c r="E151" t="s">
        <v>5</v>
      </c>
      <c r="F151" t="s">
        <v>13</v>
      </c>
      <c r="G151" t="s">
        <v>158</v>
      </c>
      <c r="H151" s="220" t="s">
        <v>308</v>
      </c>
    </row>
    <row r="152" spans="1:8">
      <c r="A152">
        <v>1</v>
      </c>
      <c r="B152" t="s">
        <v>145</v>
      </c>
      <c r="C152">
        <v>2014</v>
      </c>
      <c r="D152" t="s">
        <v>11</v>
      </c>
      <c r="E152" t="s">
        <v>5</v>
      </c>
      <c r="F152" t="s">
        <v>13</v>
      </c>
      <c r="G152" t="s">
        <v>154</v>
      </c>
      <c r="H152" s="220" t="s">
        <v>309</v>
      </c>
    </row>
    <row r="153" spans="1:8">
      <c r="A153">
        <v>2</v>
      </c>
      <c r="B153" t="s">
        <v>146</v>
      </c>
      <c r="C153">
        <v>2014</v>
      </c>
      <c r="D153" t="s">
        <v>11</v>
      </c>
      <c r="E153" t="s">
        <v>5</v>
      </c>
      <c r="F153" t="s">
        <v>13</v>
      </c>
      <c r="G153" t="s">
        <v>155</v>
      </c>
      <c r="H153" s="220" t="s">
        <v>310</v>
      </c>
    </row>
    <row r="154" spans="1:8">
      <c r="A154">
        <v>3</v>
      </c>
      <c r="B154" t="s">
        <v>147</v>
      </c>
      <c r="C154">
        <v>2014</v>
      </c>
      <c r="D154" t="s">
        <v>11</v>
      </c>
      <c r="E154" t="s">
        <v>5</v>
      </c>
      <c r="F154" t="s">
        <v>13</v>
      </c>
      <c r="G154" t="s">
        <v>156</v>
      </c>
      <c r="H154" s="220" t="s">
        <v>311</v>
      </c>
    </row>
    <row r="155" spans="1:8">
      <c r="A155">
        <v>4</v>
      </c>
      <c r="B155" t="s">
        <v>148</v>
      </c>
      <c r="C155">
        <v>2014</v>
      </c>
      <c r="D155" t="s">
        <v>11</v>
      </c>
      <c r="E155" t="s">
        <v>5</v>
      </c>
      <c r="F155" t="s">
        <v>13</v>
      </c>
      <c r="G155" t="s">
        <v>157</v>
      </c>
      <c r="H155" s="220" t="s">
        <v>312</v>
      </c>
    </row>
    <row r="156" spans="1:8">
      <c r="A156">
        <v>0</v>
      </c>
      <c r="B156" t="s">
        <v>34</v>
      </c>
      <c r="C156">
        <v>2014</v>
      </c>
      <c r="D156" t="s">
        <v>11</v>
      </c>
      <c r="E156" t="s">
        <v>5</v>
      </c>
      <c r="F156" t="s">
        <v>13</v>
      </c>
      <c r="G156" t="s">
        <v>158</v>
      </c>
      <c r="H156" s="220" t="s">
        <v>313</v>
      </c>
    </row>
    <row r="157" spans="1:8">
      <c r="A157">
        <v>1</v>
      </c>
      <c r="B157" t="s">
        <v>145</v>
      </c>
      <c r="C157">
        <v>2013</v>
      </c>
      <c r="D157" t="s">
        <v>11</v>
      </c>
      <c r="E157" t="s">
        <v>5</v>
      </c>
      <c r="F157" t="s">
        <v>13</v>
      </c>
      <c r="G157" t="s">
        <v>154</v>
      </c>
      <c r="H157" s="220" t="s">
        <v>314</v>
      </c>
    </row>
    <row r="158" spans="1:8">
      <c r="A158">
        <v>2</v>
      </c>
      <c r="B158" t="s">
        <v>146</v>
      </c>
      <c r="C158">
        <v>2013</v>
      </c>
      <c r="D158" t="s">
        <v>11</v>
      </c>
      <c r="E158" t="s">
        <v>5</v>
      </c>
      <c r="F158" t="s">
        <v>13</v>
      </c>
      <c r="G158" t="s">
        <v>155</v>
      </c>
      <c r="H158" s="220" t="s">
        <v>315</v>
      </c>
    </row>
    <row r="159" spans="1:8">
      <c r="A159">
        <v>3</v>
      </c>
      <c r="B159" t="s">
        <v>147</v>
      </c>
      <c r="C159">
        <v>2013</v>
      </c>
      <c r="D159" t="s">
        <v>11</v>
      </c>
      <c r="E159" t="s">
        <v>5</v>
      </c>
      <c r="F159" t="s">
        <v>13</v>
      </c>
      <c r="G159" t="s">
        <v>156</v>
      </c>
      <c r="H159" s="220" t="s">
        <v>316</v>
      </c>
    </row>
    <row r="160" spans="1:8">
      <c r="A160">
        <v>4</v>
      </c>
      <c r="B160" t="s">
        <v>148</v>
      </c>
      <c r="C160">
        <v>2013</v>
      </c>
      <c r="D160" t="s">
        <v>11</v>
      </c>
      <c r="E160" t="s">
        <v>5</v>
      </c>
      <c r="F160" t="s">
        <v>13</v>
      </c>
      <c r="G160" t="s">
        <v>157</v>
      </c>
      <c r="H160" s="220" t="s">
        <v>317</v>
      </c>
    </row>
    <row r="161" spans="1:8">
      <c r="A161">
        <v>0</v>
      </c>
      <c r="B161" t="s">
        <v>34</v>
      </c>
      <c r="C161">
        <v>2013</v>
      </c>
      <c r="D161" t="s">
        <v>11</v>
      </c>
      <c r="E161" t="s">
        <v>5</v>
      </c>
      <c r="F161" t="s">
        <v>13</v>
      </c>
      <c r="G161" t="s">
        <v>158</v>
      </c>
      <c r="H161" s="220" t="s">
        <v>318</v>
      </c>
    </row>
    <row r="162" spans="1:8">
      <c r="A162">
        <v>1</v>
      </c>
      <c r="B162" t="s">
        <v>145</v>
      </c>
      <c r="C162">
        <v>2012</v>
      </c>
      <c r="D162" t="s">
        <v>11</v>
      </c>
      <c r="E162" t="s">
        <v>5</v>
      </c>
      <c r="F162" t="s">
        <v>13</v>
      </c>
      <c r="G162" t="s">
        <v>154</v>
      </c>
      <c r="H162" s="220" t="s">
        <v>319</v>
      </c>
    </row>
    <row r="163" spans="1:8">
      <c r="A163">
        <v>2</v>
      </c>
      <c r="B163" t="s">
        <v>146</v>
      </c>
      <c r="C163">
        <v>2012</v>
      </c>
      <c r="D163" t="s">
        <v>11</v>
      </c>
      <c r="E163" t="s">
        <v>5</v>
      </c>
      <c r="F163" t="s">
        <v>13</v>
      </c>
      <c r="G163" t="s">
        <v>155</v>
      </c>
      <c r="H163" s="220" t="s">
        <v>320</v>
      </c>
    </row>
    <row r="164" spans="1:8">
      <c r="A164">
        <v>3</v>
      </c>
      <c r="B164" t="s">
        <v>147</v>
      </c>
      <c r="C164">
        <v>2012</v>
      </c>
      <c r="D164" t="s">
        <v>11</v>
      </c>
      <c r="E164" t="s">
        <v>5</v>
      </c>
      <c r="F164" t="s">
        <v>13</v>
      </c>
      <c r="G164" t="s">
        <v>156</v>
      </c>
      <c r="H164" s="220" t="s">
        <v>321</v>
      </c>
    </row>
    <row r="165" spans="1:8">
      <c r="A165">
        <v>4</v>
      </c>
      <c r="B165" t="s">
        <v>148</v>
      </c>
      <c r="C165">
        <v>2012</v>
      </c>
      <c r="D165" t="s">
        <v>11</v>
      </c>
      <c r="E165" t="s">
        <v>5</v>
      </c>
      <c r="F165" t="s">
        <v>13</v>
      </c>
      <c r="G165" t="s">
        <v>157</v>
      </c>
      <c r="H165" s="220" t="s">
        <v>322</v>
      </c>
    </row>
    <row r="166" spans="1:8">
      <c r="A166">
        <v>0</v>
      </c>
      <c r="B166" t="s">
        <v>34</v>
      </c>
      <c r="C166">
        <v>2012</v>
      </c>
      <c r="D166" t="s">
        <v>11</v>
      </c>
      <c r="E166" t="s">
        <v>5</v>
      </c>
      <c r="F166" t="s">
        <v>13</v>
      </c>
      <c r="G166" t="s">
        <v>158</v>
      </c>
      <c r="H166" s="220" t="s">
        <v>323</v>
      </c>
    </row>
    <row r="167" spans="1:8">
      <c r="A167">
        <v>1</v>
      </c>
      <c r="B167" t="s">
        <v>145</v>
      </c>
      <c r="C167">
        <v>2011</v>
      </c>
      <c r="D167" t="s">
        <v>11</v>
      </c>
      <c r="E167" t="s">
        <v>5</v>
      </c>
      <c r="F167" t="s">
        <v>13</v>
      </c>
      <c r="G167" t="s">
        <v>154</v>
      </c>
      <c r="H167" s="220" t="s">
        <v>324</v>
      </c>
    </row>
    <row r="168" spans="1:8">
      <c r="A168">
        <v>2</v>
      </c>
      <c r="B168" t="s">
        <v>146</v>
      </c>
      <c r="C168">
        <v>2011</v>
      </c>
      <c r="D168" t="s">
        <v>11</v>
      </c>
      <c r="E168" t="s">
        <v>5</v>
      </c>
      <c r="F168" t="s">
        <v>13</v>
      </c>
      <c r="G168" t="s">
        <v>155</v>
      </c>
      <c r="H168" s="220" t="s">
        <v>325</v>
      </c>
    </row>
    <row r="169" spans="1:8">
      <c r="A169">
        <v>3</v>
      </c>
      <c r="B169" t="s">
        <v>147</v>
      </c>
      <c r="C169">
        <v>2011</v>
      </c>
      <c r="D169" t="s">
        <v>11</v>
      </c>
      <c r="E169" t="s">
        <v>5</v>
      </c>
      <c r="F169" t="s">
        <v>13</v>
      </c>
      <c r="G169" t="s">
        <v>156</v>
      </c>
      <c r="H169" s="220" t="s">
        <v>326</v>
      </c>
    </row>
    <row r="170" spans="1:8">
      <c r="A170">
        <v>4</v>
      </c>
      <c r="B170" t="s">
        <v>148</v>
      </c>
      <c r="C170">
        <v>2011</v>
      </c>
      <c r="D170" t="s">
        <v>11</v>
      </c>
      <c r="E170" t="s">
        <v>5</v>
      </c>
      <c r="F170" t="s">
        <v>13</v>
      </c>
      <c r="G170" t="s">
        <v>157</v>
      </c>
      <c r="H170" s="220" t="s">
        <v>327</v>
      </c>
    </row>
    <row r="171" spans="1:8">
      <c r="A171">
        <v>0</v>
      </c>
      <c r="B171" t="s">
        <v>34</v>
      </c>
      <c r="C171">
        <v>2011</v>
      </c>
      <c r="D171" t="s">
        <v>11</v>
      </c>
      <c r="E171" t="s">
        <v>5</v>
      </c>
      <c r="F171" t="s">
        <v>13</v>
      </c>
      <c r="G171" t="s">
        <v>158</v>
      </c>
      <c r="H171" s="220" t="s">
        <v>328</v>
      </c>
    </row>
    <row r="172" spans="1:8">
      <c r="A172">
        <v>1</v>
      </c>
      <c r="B172" t="s">
        <v>145</v>
      </c>
      <c r="C172">
        <v>2010</v>
      </c>
      <c r="D172" t="s">
        <v>11</v>
      </c>
      <c r="E172" t="s">
        <v>5</v>
      </c>
      <c r="F172" t="s">
        <v>13</v>
      </c>
      <c r="G172" t="s">
        <v>154</v>
      </c>
      <c r="H172" s="220" t="s">
        <v>329</v>
      </c>
    </row>
    <row r="173" spans="1:8">
      <c r="A173">
        <v>2</v>
      </c>
      <c r="B173" t="s">
        <v>146</v>
      </c>
      <c r="C173">
        <v>2010</v>
      </c>
      <c r="D173" t="s">
        <v>11</v>
      </c>
      <c r="E173" t="s">
        <v>5</v>
      </c>
      <c r="F173" t="s">
        <v>13</v>
      </c>
      <c r="G173" t="s">
        <v>155</v>
      </c>
      <c r="H173" s="220" t="s">
        <v>330</v>
      </c>
    </row>
    <row r="174" spans="1:8">
      <c r="A174">
        <v>3</v>
      </c>
      <c r="B174" t="s">
        <v>147</v>
      </c>
      <c r="C174">
        <v>2010</v>
      </c>
      <c r="D174" t="s">
        <v>11</v>
      </c>
      <c r="E174" t="s">
        <v>5</v>
      </c>
      <c r="F174" t="s">
        <v>13</v>
      </c>
      <c r="G174" t="s">
        <v>156</v>
      </c>
      <c r="H174" s="220" t="s">
        <v>331</v>
      </c>
    </row>
    <row r="175" spans="1:8">
      <c r="A175">
        <v>4</v>
      </c>
      <c r="B175" t="s">
        <v>148</v>
      </c>
      <c r="C175">
        <v>2010</v>
      </c>
      <c r="D175" t="s">
        <v>11</v>
      </c>
      <c r="E175" t="s">
        <v>5</v>
      </c>
      <c r="F175" t="s">
        <v>13</v>
      </c>
      <c r="G175" t="s">
        <v>157</v>
      </c>
      <c r="H175" s="220" t="s">
        <v>332</v>
      </c>
    </row>
    <row r="176" spans="1:8">
      <c r="A176">
        <v>0</v>
      </c>
      <c r="B176" t="s">
        <v>34</v>
      </c>
      <c r="C176">
        <v>2010</v>
      </c>
      <c r="D176" t="s">
        <v>11</v>
      </c>
      <c r="E176" t="s">
        <v>5</v>
      </c>
      <c r="F176" t="s">
        <v>13</v>
      </c>
      <c r="G176" t="s">
        <v>158</v>
      </c>
      <c r="H176" s="220" t="s">
        <v>333</v>
      </c>
    </row>
    <row r="177" spans="1:8">
      <c r="A177">
        <v>1</v>
      </c>
      <c r="B177" t="s">
        <v>145</v>
      </c>
      <c r="C177">
        <v>2005</v>
      </c>
      <c r="D177" t="s">
        <v>11</v>
      </c>
      <c r="E177" t="s">
        <v>5</v>
      </c>
      <c r="F177" t="s">
        <v>13</v>
      </c>
      <c r="G177" t="s">
        <v>154</v>
      </c>
      <c r="H177" s="220" t="s">
        <v>334</v>
      </c>
    </row>
    <row r="178" spans="1:8">
      <c r="A178">
        <v>2</v>
      </c>
      <c r="B178" t="s">
        <v>146</v>
      </c>
      <c r="C178">
        <v>2005</v>
      </c>
      <c r="D178" t="s">
        <v>11</v>
      </c>
      <c r="E178" t="s">
        <v>5</v>
      </c>
      <c r="F178" t="s">
        <v>13</v>
      </c>
      <c r="G178" t="s">
        <v>155</v>
      </c>
      <c r="H178" s="220" t="s">
        <v>335</v>
      </c>
    </row>
    <row r="179" spans="1:8">
      <c r="A179">
        <v>3</v>
      </c>
      <c r="B179" t="s">
        <v>147</v>
      </c>
      <c r="C179">
        <v>2005</v>
      </c>
      <c r="D179" t="s">
        <v>11</v>
      </c>
      <c r="E179" t="s">
        <v>5</v>
      </c>
      <c r="F179" t="s">
        <v>13</v>
      </c>
      <c r="G179" t="s">
        <v>156</v>
      </c>
      <c r="H179" s="220" t="s">
        <v>336</v>
      </c>
    </row>
    <row r="180" spans="1:8">
      <c r="A180">
        <v>4</v>
      </c>
      <c r="B180" t="s">
        <v>148</v>
      </c>
      <c r="C180">
        <v>2005</v>
      </c>
      <c r="D180" t="s">
        <v>11</v>
      </c>
      <c r="E180" t="s">
        <v>5</v>
      </c>
      <c r="F180" t="s">
        <v>13</v>
      </c>
      <c r="G180" t="s">
        <v>157</v>
      </c>
      <c r="H180" s="220" t="s">
        <v>337</v>
      </c>
    </row>
    <row r="181" spans="1:8">
      <c r="A181">
        <v>0</v>
      </c>
      <c r="B181" t="s">
        <v>34</v>
      </c>
      <c r="C181">
        <v>2005</v>
      </c>
      <c r="D181" t="s">
        <v>11</v>
      </c>
      <c r="E181" t="s">
        <v>5</v>
      </c>
      <c r="F181" t="s">
        <v>13</v>
      </c>
      <c r="G181" t="s">
        <v>158</v>
      </c>
      <c r="H181" s="220" t="s">
        <v>338</v>
      </c>
    </row>
    <row r="182" spans="1:8">
      <c r="A182">
        <v>1</v>
      </c>
      <c r="B182" t="s">
        <v>145</v>
      </c>
      <c r="C182">
        <v>2020</v>
      </c>
      <c r="D182" t="s">
        <v>12</v>
      </c>
      <c r="E182" t="s">
        <v>5</v>
      </c>
      <c r="F182" t="s">
        <v>13</v>
      </c>
      <c r="G182" t="s">
        <v>154</v>
      </c>
      <c r="H182" s="220" t="s">
        <v>339</v>
      </c>
    </row>
    <row r="183" spans="1:8">
      <c r="A183">
        <v>2</v>
      </c>
      <c r="B183" t="s">
        <v>146</v>
      </c>
      <c r="C183">
        <v>2020</v>
      </c>
      <c r="D183" t="s">
        <v>12</v>
      </c>
      <c r="E183" t="s">
        <v>5</v>
      </c>
      <c r="F183" t="s">
        <v>13</v>
      </c>
      <c r="G183" t="s">
        <v>155</v>
      </c>
      <c r="H183" s="220" t="s">
        <v>340</v>
      </c>
    </row>
    <row r="184" spans="1:8">
      <c r="A184">
        <v>3</v>
      </c>
      <c r="B184" t="s">
        <v>147</v>
      </c>
      <c r="C184">
        <v>2020</v>
      </c>
      <c r="D184" t="s">
        <v>12</v>
      </c>
      <c r="E184" t="s">
        <v>5</v>
      </c>
      <c r="F184" t="s">
        <v>13</v>
      </c>
      <c r="G184" t="s">
        <v>156</v>
      </c>
      <c r="H184" s="220" t="s">
        <v>341</v>
      </c>
    </row>
    <row r="185" spans="1:8">
      <c r="A185">
        <v>4</v>
      </c>
      <c r="B185" t="s">
        <v>148</v>
      </c>
      <c r="C185">
        <v>2020</v>
      </c>
      <c r="D185" t="s">
        <v>12</v>
      </c>
      <c r="E185" t="s">
        <v>5</v>
      </c>
      <c r="F185" t="s">
        <v>13</v>
      </c>
      <c r="G185" t="s">
        <v>157</v>
      </c>
      <c r="H185" s="220" t="s">
        <v>342</v>
      </c>
    </row>
    <row r="186" spans="1:8">
      <c r="A186">
        <v>0</v>
      </c>
      <c r="B186" t="s">
        <v>34</v>
      </c>
      <c r="C186">
        <v>2020</v>
      </c>
      <c r="D186" t="s">
        <v>12</v>
      </c>
      <c r="E186" t="s">
        <v>5</v>
      </c>
      <c r="F186" t="s">
        <v>13</v>
      </c>
      <c r="G186" t="s">
        <v>158</v>
      </c>
      <c r="H186" s="220" t="s">
        <v>343</v>
      </c>
    </row>
    <row r="187" spans="1:8">
      <c r="A187">
        <v>1</v>
      </c>
      <c r="B187" t="s">
        <v>145</v>
      </c>
      <c r="C187">
        <v>2019</v>
      </c>
      <c r="D187" t="s">
        <v>12</v>
      </c>
      <c r="E187" t="s">
        <v>5</v>
      </c>
      <c r="F187" t="s">
        <v>13</v>
      </c>
      <c r="G187" t="s">
        <v>154</v>
      </c>
      <c r="H187" s="220" t="s">
        <v>344</v>
      </c>
    </row>
    <row r="188" spans="1:8">
      <c r="A188">
        <v>2</v>
      </c>
      <c r="B188" t="s">
        <v>146</v>
      </c>
      <c r="C188">
        <v>2019</v>
      </c>
      <c r="D188" t="s">
        <v>12</v>
      </c>
      <c r="E188" t="s">
        <v>5</v>
      </c>
      <c r="F188" t="s">
        <v>13</v>
      </c>
      <c r="G188" t="s">
        <v>155</v>
      </c>
      <c r="H188" s="220" t="s">
        <v>345</v>
      </c>
    </row>
    <row r="189" spans="1:8">
      <c r="A189">
        <v>3</v>
      </c>
      <c r="B189" t="s">
        <v>147</v>
      </c>
      <c r="C189">
        <v>2019</v>
      </c>
      <c r="D189" t="s">
        <v>12</v>
      </c>
      <c r="E189" t="s">
        <v>5</v>
      </c>
      <c r="F189" t="s">
        <v>13</v>
      </c>
      <c r="G189" t="s">
        <v>156</v>
      </c>
      <c r="H189" s="220" t="s">
        <v>346</v>
      </c>
    </row>
    <row r="190" spans="1:8">
      <c r="A190">
        <v>4</v>
      </c>
      <c r="B190" t="s">
        <v>148</v>
      </c>
      <c r="C190">
        <v>2019</v>
      </c>
      <c r="D190" t="s">
        <v>12</v>
      </c>
      <c r="E190" t="s">
        <v>5</v>
      </c>
      <c r="F190" t="s">
        <v>13</v>
      </c>
      <c r="G190" t="s">
        <v>157</v>
      </c>
      <c r="H190" s="220" t="s">
        <v>347</v>
      </c>
    </row>
    <row r="191" spans="1:8">
      <c r="A191">
        <v>0</v>
      </c>
      <c r="B191" t="s">
        <v>34</v>
      </c>
      <c r="C191">
        <v>2019</v>
      </c>
      <c r="D191" t="s">
        <v>12</v>
      </c>
      <c r="E191" t="s">
        <v>5</v>
      </c>
      <c r="F191" t="s">
        <v>13</v>
      </c>
      <c r="G191" t="s">
        <v>158</v>
      </c>
      <c r="H191" s="220" t="s">
        <v>348</v>
      </c>
    </row>
    <row r="192" spans="1:8">
      <c r="A192">
        <v>1</v>
      </c>
      <c r="B192" t="s">
        <v>145</v>
      </c>
      <c r="C192">
        <v>2018</v>
      </c>
      <c r="D192" t="s">
        <v>12</v>
      </c>
      <c r="E192" t="s">
        <v>5</v>
      </c>
      <c r="F192" t="s">
        <v>13</v>
      </c>
      <c r="G192" t="s">
        <v>154</v>
      </c>
      <c r="H192" s="220" t="s">
        <v>349</v>
      </c>
    </row>
    <row r="193" spans="1:8">
      <c r="A193">
        <v>2</v>
      </c>
      <c r="B193" t="s">
        <v>146</v>
      </c>
      <c r="C193">
        <v>2018</v>
      </c>
      <c r="D193" t="s">
        <v>12</v>
      </c>
      <c r="E193" t="s">
        <v>5</v>
      </c>
      <c r="F193" t="s">
        <v>13</v>
      </c>
      <c r="G193" t="s">
        <v>155</v>
      </c>
      <c r="H193" s="220" t="s">
        <v>350</v>
      </c>
    </row>
    <row r="194" spans="1:8">
      <c r="A194">
        <v>3</v>
      </c>
      <c r="B194" t="s">
        <v>147</v>
      </c>
      <c r="C194">
        <v>2018</v>
      </c>
      <c r="D194" t="s">
        <v>12</v>
      </c>
      <c r="E194" t="s">
        <v>5</v>
      </c>
      <c r="F194" t="s">
        <v>13</v>
      </c>
      <c r="G194" t="s">
        <v>156</v>
      </c>
      <c r="H194" s="220" t="s">
        <v>351</v>
      </c>
    </row>
    <row r="195" spans="1:8">
      <c r="A195">
        <v>4</v>
      </c>
      <c r="B195" t="s">
        <v>148</v>
      </c>
      <c r="C195">
        <v>2018</v>
      </c>
      <c r="D195" t="s">
        <v>12</v>
      </c>
      <c r="E195" t="s">
        <v>5</v>
      </c>
      <c r="F195" t="s">
        <v>13</v>
      </c>
      <c r="G195" t="s">
        <v>157</v>
      </c>
      <c r="H195" s="220" t="s">
        <v>352</v>
      </c>
    </row>
    <row r="196" spans="1:8">
      <c r="A196">
        <v>0</v>
      </c>
      <c r="B196" t="s">
        <v>34</v>
      </c>
      <c r="C196">
        <v>2018</v>
      </c>
      <c r="D196" t="s">
        <v>12</v>
      </c>
      <c r="E196" t="s">
        <v>5</v>
      </c>
      <c r="F196" t="s">
        <v>13</v>
      </c>
      <c r="G196" t="s">
        <v>158</v>
      </c>
      <c r="H196" s="220" t="s">
        <v>353</v>
      </c>
    </row>
    <row r="197" spans="1:8">
      <c r="A197">
        <v>1</v>
      </c>
      <c r="B197" t="s">
        <v>145</v>
      </c>
      <c r="C197">
        <v>2017</v>
      </c>
      <c r="D197" t="s">
        <v>12</v>
      </c>
      <c r="E197" t="s">
        <v>5</v>
      </c>
      <c r="F197" t="s">
        <v>13</v>
      </c>
      <c r="G197" t="s">
        <v>154</v>
      </c>
      <c r="H197" s="220" t="s">
        <v>354</v>
      </c>
    </row>
    <row r="198" spans="1:8">
      <c r="A198">
        <v>2</v>
      </c>
      <c r="B198" t="s">
        <v>146</v>
      </c>
      <c r="C198">
        <v>2017</v>
      </c>
      <c r="D198" t="s">
        <v>12</v>
      </c>
      <c r="E198" t="s">
        <v>5</v>
      </c>
      <c r="F198" t="s">
        <v>13</v>
      </c>
      <c r="G198" t="s">
        <v>155</v>
      </c>
      <c r="H198" s="220" t="s">
        <v>355</v>
      </c>
    </row>
    <row r="199" spans="1:8">
      <c r="A199">
        <v>3</v>
      </c>
      <c r="B199" t="s">
        <v>147</v>
      </c>
      <c r="C199">
        <v>2017</v>
      </c>
      <c r="D199" t="s">
        <v>12</v>
      </c>
      <c r="E199" t="s">
        <v>5</v>
      </c>
      <c r="F199" t="s">
        <v>13</v>
      </c>
      <c r="G199" t="s">
        <v>156</v>
      </c>
      <c r="H199" s="220" t="s">
        <v>356</v>
      </c>
    </row>
    <row r="200" spans="1:8">
      <c r="A200">
        <v>4</v>
      </c>
      <c r="B200" t="s">
        <v>148</v>
      </c>
      <c r="C200">
        <v>2017</v>
      </c>
      <c r="D200" t="s">
        <v>12</v>
      </c>
      <c r="E200" t="s">
        <v>5</v>
      </c>
      <c r="F200" t="s">
        <v>13</v>
      </c>
      <c r="G200" t="s">
        <v>157</v>
      </c>
      <c r="H200" s="220" t="s">
        <v>357</v>
      </c>
    </row>
    <row r="201" spans="1:8">
      <c r="A201">
        <v>0</v>
      </c>
      <c r="B201" t="s">
        <v>34</v>
      </c>
      <c r="C201">
        <v>2017</v>
      </c>
      <c r="D201" t="s">
        <v>12</v>
      </c>
      <c r="E201" t="s">
        <v>5</v>
      </c>
      <c r="F201" t="s">
        <v>13</v>
      </c>
      <c r="G201" t="s">
        <v>158</v>
      </c>
      <c r="H201" s="220" t="s">
        <v>358</v>
      </c>
    </row>
    <row r="202" spans="1:8">
      <c r="A202">
        <v>1</v>
      </c>
      <c r="B202" t="s">
        <v>145</v>
      </c>
      <c r="C202">
        <v>2016</v>
      </c>
      <c r="D202" t="s">
        <v>12</v>
      </c>
      <c r="E202" t="s">
        <v>5</v>
      </c>
      <c r="F202" t="s">
        <v>13</v>
      </c>
      <c r="G202" t="s">
        <v>154</v>
      </c>
      <c r="H202" s="220" t="s">
        <v>359</v>
      </c>
    </row>
    <row r="203" spans="1:8">
      <c r="A203">
        <v>2</v>
      </c>
      <c r="B203" t="s">
        <v>146</v>
      </c>
      <c r="C203">
        <v>2016</v>
      </c>
      <c r="D203" t="s">
        <v>12</v>
      </c>
      <c r="E203" t="s">
        <v>5</v>
      </c>
      <c r="F203" t="s">
        <v>13</v>
      </c>
      <c r="G203" t="s">
        <v>155</v>
      </c>
      <c r="H203" s="220" t="s">
        <v>360</v>
      </c>
    </row>
    <row r="204" spans="1:8">
      <c r="A204">
        <v>3</v>
      </c>
      <c r="B204" t="s">
        <v>147</v>
      </c>
      <c r="C204">
        <v>2016</v>
      </c>
      <c r="D204" t="s">
        <v>12</v>
      </c>
      <c r="E204" t="s">
        <v>5</v>
      </c>
      <c r="F204" t="s">
        <v>13</v>
      </c>
      <c r="G204" t="s">
        <v>156</v>
      </c>
      <c r="H204" s="220" t="s">
        <v>361</v>
      </c>
    </row>
    <row r="205" spans="1:8">
      <c r="A205">
        <v>4</v>
      </c>
      <c r="B205" t="s">
        <v>148</v>
      </c>
      <c r="C205">
        <v>2016</v>
      </c>
      <c r="D205" t="s">
        <v>12</v>
      </c>
      <c r="E205" t="s">
        <v>5</v>
      </c>
      <c r="F205" t="s">
        <v>13</v>
      </c>
      <c r="G205" t="s">
        <v>157</v>
      </c>
      <c r="H205" s="220" t="s">
        <v>362</v>
      </c>
    </row>
    <row r="206" spans="1:8">
      <c r="A206">
        <v>0</v>
      </c>
      <c r="B206" t="s">
        <v>34</v>
      </c>
      <c r="C206">
        <v>2016</v>
      </c>
      <c r="D206" t="s">
        <v>12</v>
      </c>
      <c r="E206" t="s">
        <v>5</v>
      </c>
      <c r="F206" t="s">
        <v>13</v>
      </c>
      <c r="G206" t="s">
        <v>158</v>
      </c>
      <c r="H206" s="220" t="s">
        <v>363</v>
      </c>
    </row>
    <row r="207" spans="1:8">
      <c r="A207">
        <v>1</v>
      </c>
      <c r="B207" t="s">
        <v>145</v>
      </c>
      <c r="C207">
        <v>2015</v>
      </c>
      <c r="D207" t="s">
        <v>12</v>
      </c>
      <c r="E207" t="s">
        <v>5</v>
      </c>
      <c r="F207" t="s">
        <v>13</v>
      </c>
      <c r="G207" t="s">
        <v>154</v>
      </c>
      <c r="H207" s="220" t="s">
        <v>364</v>
      </c>
    </row>
    <row r="208" spans="1:8">
      <c r="A208">
        <v>2</v>
      </c>
      <c r="B208" t="s">
        <v>146</v>
      </c>
      <c r="C208">
        <v>2015</v>
      </c>
      <c r="D208" t="s">
        <v>12</v>
      </c>
      <c r="E208" t="s">
        <v>5</v>
      </c>
      <c r="F208" t="s">
        <v>13</v>
      </c>
      <c r="G208" t="s">
        <v>155</v>
      </c>
      <c r="H208" s="220" t="s">
        <v>365</v>
      </c>
    </row>
    <row r="209" spans="1:8">
      <c r="A209">
        <v>3</v>
      </c>
      <c r="B209" t="s">
        <v>147</v>
      </c>
      <c r="C209">
        <v>2015</v>
      </c>
      <c r="D209" t="s">
        <v>12</v>
      </c>
      <c r="E209" t="s">
        <v>5</v>
      </c>
      <c r="F209" t="s">
        <v>13</v>
      </c>
      <c r="G209" t="s">
        <v>156</v>
      </c>
      <c r="H209" s="220" t="s">
        <v>366</v>
      </c>
    </row>
    <row r="210" spans="1:8">
      <c r="A210">
        <v>4</v>
      </c>
      <c r="B210" t="s">
        <v>148</v>
      </c>
      <c r="C210">
        <v>2015</v>
      </c>
      <c r="D210" t="s">
        <v>12</v>
      </c>
      <c r="E210" t="s">
        <v>5</v>
      </c>
      <c r="F210" t="s">
        <v>13</v>
      </c>
      <c r="G210" t="s">
        <v>157</v>
      </c>
      <c r="H210" s="220" t="s">
        <v>367</v>
      </c>
    </row>
    <row r="211" spans="1:8">
      <c r="A211">
        <v>0</v>
      </c>
      <c r="B211" t="s">
        <v>34</v>
      </c>
      <c r="C211">
        <v>2015</v>
      </c>
      <c r="D211" t="s">
        <v>12</v>
      </c>
      <c r="E211" t="s">
        <v>5</v>
      </c>
      <c r="F211" t="s">
        <v>13</v>
      </c>
      <c r="G211" t="s">
        <v>158</v>
      </c>
      <c r="H211" s="220" t="s">
        <v>368</v>
      </c>
    </row>
    <row r="212" spans="1:8">
      <c r="A212">
        <v>1</v>
      </c>
      <c r="B212" t="s">
        <v>145</v>
      </c>
      <c r="C212">
        <v>2014</v>
      </c>
      <c r="D212" t="s">
        <v>12</v>
      </c>
      <c r="E212" t="s">
        <v>5</v>
      </c>
      <c r="F212" t="s">
        <v>13</v>
      </c>
      <c r="G212" t="s">
        <v>154</v>
      </c>
      <c r="H212" s="220" t="s">
        <v>369</v>
      </c>
    </row>
    <row r="213" spans="1:8">
      <c r="A213">
        <v>2</v>
      </c>
      <c r="B213" t="s">
        <v>146</v>
      </c>
      <c r="C213">
        <v>2014</v>
      </c>
      <c r="D213" t="s">
        <v>12</v>
      </c>
      <c r="E213" t="s">
        <v>5</v>
      </c>
      <c r="F213" t="s">
        <v>13</v>
      </c>
      <c r="G213" t="s">
        <v>155</v>
      </c>
      <c r="H213" s="220" t="s">
        <v>370</v>
      </c>
    </row>
    <row r="214" spans="1:8">
      <c r="A214">
        <v>3</v>
      </c>
      <c r="B214" t="s">
        <v>147</v>
      </c>
      <c r="C214">
        <v>2014</v>
      </c>
      <c r="D214" t="s">
        <v>12</v>
      </c>
      <c r="E214" t="s">
        <v>5</v>
      </c>
      <c r="F214" t="s">
        <v>13</v>
      </c>
      <c r="G214" t="s">
        <v>156</v>
      </c>
      <c r="H214" s="220" t="s">
        <v>371</v>
      </c>
    </row>
    <row r="215" spans="1:8">
      <c r="A215">
        <v>4</v>
      </c>
      <c r="B215" t="s">
        <v>148</v>
      </c>
      <c r="C215">
        <v>2014</v>
      </c>
      <c r="D215" t="s">
        <v>12</v>
      </c>
      <c r="E215" t="s">
        <v>5</v>
      </c>
      <c r="F215" t="s">
        <v>13</v>
      </c>
      <c r="G215" t="s">
        <v>157</v>
      </c>
      <c r="H215" s="220" t="s">
        <v>372</v>
      </c>
    </row>
    <row r="216" spans="1:8">
      <c r="A216">
        <v>0</v>
      </c>
      <c r="B216" t="s">
        <v>34</v>
      </c>
      <c r="C216">
        <v>2014</v>
      </c>
      <c r="D216" t="s">
        <v>12</v>
      </c>
      <c r="E216" t="s">
        <v>5</v>
      </c>
      <c r="F216" t="s">
        <v>13</v>
      </c>
      <c r="G216" t="s">
        <v>158</v>
      </c>
      <c r="H216" s="220" t="s">
        <v>373</v>
      </c>
    </row>
    <row r="217" spans="1:8">
      <c r="A217">
        <v>1</v>
      </c>
      <c r="B217" t="s">
        <v>145</v>
      </c>
      <c r="C217">
        <v>2013</v>
      </c>
      <c r="D217" t="s">
        <v>12</v>
      </c>
      <c r="E217" t="s">
        <v>5</v>
      </c>
      <c r="F217" t="s">
        <v>13</v>
      </c>
      <c r="G217" t="s">
        <v>154</v>
      </c>
      <c r="H217" s="220" t="s">
        <v>374</v>
      </c>
    </row>
    <row r="218" spans="1:8">
      <c r="A218">
        <v>2</v>
      </c>
      <c r="B218" t="s">
        <v>146</v>
      </c>
      <c r="C218">
        <v>2013</v>
      </c>
      <c r="D218" t="s">
        <v>12</v>
      </c>
      <c r="E218" t="s">
        <v>5</v>
      </c>
      <c r="F218" t="s">
        <v>13</v>
      </c>
      <c r="G218" t="s">
        <v>155</v>
      </c>
      <c r="H218" s="220" t="s">
        <v>375</v>
      </c>
    </row>
    <row r="219" spans="1:8">
      <c r="A219">
        <v>3</v>
      </c>
      <c r="B219" t="s">
        <v>147</v>
      </c>
      <c r="C219">
        <v>2013</v>
      </c>
      <c r="D219" t="s">
        <v>12</v>
      </c>
      <c r="E219" t="s">
        <v>5</v>
      </c>
      <c r="F219" t="s">
        <v>13</v>
      </c>
      <c r="G219" t="s">
        <v>156</v>
      </c>
      <c r="H219" s="220" t="s">
        <v>376</v>
      </c>
    </row>
    <row r="220" spans="1:8">
      <c r="A220">
        <v>4</v>
      </c>
      <c r="B220" t="s">
        <v>148</v>
      </c>
      <c r="C220">
        <v>2013</v>
      </c>
      <c r="D220" t="s">
        <v>12</v>
      </c>
      <c r="E220" t="s">
        <v>5</v>
      </c>
      <c r="F220" t="s">
        <v>13</v>
      </c>
      <c r="G220" t="s">
        <v>157</v>
      </c>
      <c r="H220" s="220" t="s">
        <v>377</v>
      </c>
    </row>
    <row r="221" spans="1:8">
      <c r="A221">
        <v>0</v>
      </c>
      <c r="B221" t="s">
        <v>34</v>
      </c>
      <c r="C221">
        <v>2013</v>
      </c>
      <c r="D221" t="s">
        <v>12</v>
      </c>
      <c r="E221" t="s">
        <v>5</v>
      </c>
      <c r="F221" t="s">
        <v>13</v>
      </c>
      <c r="G221" t="s">
        <v>158</v>
      </c>
      <c r="H221" s="220" t="s">
        <v>378</v>
      </c>
    </row>
    <row r="222" spans="1:8">
      <c r="A222">
        <v>1</v>
      </c>
      <c r="B222" t="s">
        <v>145</v>
      </c>
      <c r="C222">
        <v>2012</v>
      </c>
      <c r="D222" t="s">
        <v>12</v>
      </c>
      <c r="E222" t="s">
        <v>5</v>
      </c>
      <c r="F222" t="s">
        <v>13</v>
      </c>
      <c r="G222" t="s">
        <v>154</v>
      </c>
      <c r="H222" s="220" t="s">
        <v>379</v>
      </c>
    </row>
    <row r="223" spans="1:8">
      <c r="A223">
        <v>2</v>
      </c>
      <c r="B223" t="s">
        <v>146</v>
      </c>
      <c r="C223">
        <v>2012</v>
      </c>
      <c r="D223" t="s">
        <v>12</v>
      </c>
      <c r="E223" t="s">
        <v>5</v>
      </c>
      <c r="F223" t="s">
        <v>13</v>
      </c>
      <c r="G223" t="s">
        <v>155</v>
      </c>
      <c r="H223" s="220" t="s">
        <v>380</v>
      </c>
    </row>
    <row r="224" spans="1:8">
      <c r="A224">
        <v>3</v>
      </c>
      <c r="B224" t="s">
        <v>147</v>
      </c>
      <c r="C224">
        <v>2012</v>
      </c>
      <c r="D224" t="s">
        <v>12</v>
      </c>
      <c r="E224" t="s">
        <v>5</v>
      </c>
      <c r="F224" t="s">
        <v>13</v>
      </c>
      <c r="G224" t="s">
        <v>156</v>
      </c>
      <c r="H224" s="220" t="s">
        <v>381</v>
      </c>
    </row>
    <row r="225" spans="1:8">
      <c r="A225">
        <v>4</v>
      </c>
      <c r="B225" t="s">
        <v>148</v>
      </c>
      <c r="C225">
        <v>2012</v>
      </c>
      <c r="D225" t="s">
        <v>12</v>
      </c>
      <c r="E225" t="s">
        <v>5</v>
      </c>
      <c r="F225" t="s">
        <v>13</v>
      </c>
      <c r="G225" t="s">
        <v>157</v>
      </c>
      <c r="H225" s="220" t="s">
        <v>382</v>
      </c>
    </row>
    <row r="226" spans="1:8">
      <c r="A226">
        <v>0</v>
      </c>
      <c r="B226" t="s">
        <v>34</v>
      </c>
      <c r="C226">
        <v>2012</v>
      </c>
      <c r="D226" t="s">
        <v>12</v>
      </c>
      <c r="E226" t="s">
        <v>5</v>
      </c>
      <c r="F226" t="s">
        <v>13</v>
      </c>
      <c r="G226" t="s">
        <v>158</v>
      </c>
      <c r="H226" s="220" t="s">
        <v>383</v>
      </c>
    </row>
    <row r="227" spans="1:8">
      <c r="A227">
        <v>1</v>
      </c>
      <c r="B227" t="s">
        <v>145</v>
      </c>
      <c r="C227">
        <v>2011</v>
      </c>
      <c r="D227" t="s">
        <v>12</v>
      </c>
      <c r="E227" t="s">
        <v>5</v>
      </c>
      <c r="F227" t="s">
        <v>13</v>
      </c>
      <c r="G227" t="s">
        <v>154</v>
      </c>
      <c r="H227" s="220" t="s">
        <v>384</v>
      </c>
    </row>
    <row r="228" spans="1:8">
      <c r="A228">
        <v>2</v>
      </c>
      <c r="B228" t="s">
        <v>146</v>
      </c>
      <c r="C228">
        <v>2011</v>
      </c>
      <c r="D228" t="s">
        <v>12</v>
      </c>
      <c r="E228" t="s">
        <v>5</v>
      </c>
      <c r="F228" t="s">
        <v>13</v>
      </c>
      <c r="G228" t="s">
        <v>155</v>
      </c>
      <c r="H228" s="220" t="s">
        <v>385</v>
      </c>
    </row>
    <row r="229" spans="1:8">
      <c r="A229">
        <v>3</v>
      </c>
      <c r="B229" t="s">
        <v>147</v>
      </c>
      <c r="C229">
        <v>2011</v>
      </c>
      <c r="D229" t="s">
        <v>12</v>
      </c>
      <c r="E229" t="s">
        <v>5</v>
      </c>
      <c r="F229" t="s">
        <v>13</v>
      </c>
      <c r="G229" t="s">
        <v>156</v>
      </c>
      <c r="H229" s="220" t="s">
        <v>386</v>
      </c>
    </row>
    <row r="230" spans="1:8">
      <c r="A230">
        <v>4</v>
      </c>
      <c r="B230" t="s">
        <v>148</v>
      </c>
      <c r="C230">
        <v>2011</v>
      </c>
      <c r="D230" t="s">
        <v>12</v>
      </c>
      <c r="E230" t="s">
        <v>5</v>
      </c>
      <c r="F230" t="s">
        <v>13</v>
      </c>
      <c r="G230" t="s">
        <v>157</v>
      </c>
      <c r="H230" s="220" t="s">
        <v>387</v>
      </c>
    </row>
    <row r="231" spans="1:8">
      <c r="A231">
        <v>0</v>
      </c>
      <c r="B231" t="s">
        <v>34</v>
      </c>
      <c r="C231">
        <v>2011</v>
      </c>
      <c r="D231" t="s">
        <v>12</v>
      </c>
      <c r="E231" t="s">
        <v>5</v>
      </c>
      <c r="F231" t="s">
        <v>13</v>
      </c>
      <c r="G231" t="s">
        <v>158</v>
      </c>
      <c r="H231" s="220" t="s">
        <v>388</v>
      </c>
    </row>
    <row r="232" spans="1:8">
      <c r="A232">
        <v>1</v>
      </c>
      <c r="B232" t="s">
        <v>145</v>
      </c>
      <c r="C232">
        <v>2010</v>
      </c>
      <c r="D232" t="s">
        <v>12</v>
      </c>
      <c r="E232" t="s">
        <v>5</v>
      </c>
      <c r="F232" t="s">
        <v>13</v>
      </c>
      <c r="G232" t="s">
        <v>154</v>
      </c>
      <c r="H232" s="220" t="s">
        <v>389</v>
      </c>
    </row>
    <row r="233" spans="1:8">
      <c r="A233">
        <v>2</v>
      </c>
      <c r="B233" t="s">
        <v>146</v>
      </c>
      <c r="C233">
        <v>2010</v>
      </c>
      <c r="D233" t="s">
        <v>12</v>
      </c>
      <c r="E233" t="s">
        <v>5</v>
      </c>
      <c r="F233" t="s">
        <v>13</v>
      </c>
      <c r="G233" t="s">
        <v>155</v>
      </c>
      <c r="H233" s="220" t="s">
        <v>390</v>
      </c>
    </row>
    <row r="234" spans="1:8">
      <c r="A234">
        <v>3</v>
      </c>
      <c r="B234" t="s">
        <v>147</v>
      </c>
      <c r="C234">
        <v>2010</v>
      </c>
      <c r="D234" t="s">
        <v>12</v>
      </c>
      <c r="E234" t="s">
        <v>5</v>
      </c>
      <c r="F234" t="s">
        <v>13</v>
      </c>
      <c r="G234" t="s">
        <v>156</v>
      </c>
      <c r="H234" s="220" t="s">
        <v>391</v>
      </c>
    </row>
    <row r="235" spans="1:8">
      <c r="A235">
        <v>4</v>
      </c>
      <c r="B235" t="s">
        <v>148</v>
      </c>
      <c r="C235">
        <v>2010</v>
      </c>
      <c r="D235" t="s">
        <v>12</v>
      </c>
      <c r="E235" t="s">
        <v>5</v>
      </c>
      <c r="F235" t="s">
        <v>13</v>
      </c>
      <c r="G235" t="s">
        <v>157</v>
      </c>
      <c r="H235" s="220" t="s">
        <v>392</v>
      </c>
    </row>
    <row r="236" spans="1:8">
      <c r="A236">
        <v>0</v>
      </c>
      <c r="B236" t="s">
        <v>34</v>
      </c>
      <c r="C236">
        <v>2010</v>
      </c>
      <c r="D236" t="s">
        <v>12</v>
      </c>
      <c r="E236" t="s">
        <v>5</v>
      </c>
      <c r="F236" t="s">
        <v>13</v>
      </c>
      <c r="G236" t="s">
        <v>158</v>
      </c>
      <c r="H236" s="220" t="s">
        <v>393</v>
      </c>
    </row>
    <row r="237" spans="1:8">
      <c r="A237">
        <v>1</v>
      </c>
      <c r="B237" t="s">
        <v>145</v>
      </c>
      <c r="C237">
        <v>2005</v>
      </c>
      <c r="D237" t="s">
        <v>12</v>
      </c>
      <c r="E237" t="s">
        <v>5</v>
      </c>
      <c r="F237" t="s">
        <v>13</v>
      </c>
      <c r="G237" t="s">
        <v>154</v>
      </c>
      <c r="H237" s="220" t="s">
        <v>394</v>
      </c>
    </row>
    <row r="238" spans="1:8">
      <c r="A238">
        <v>2</v>
      </c>
      <c r="B238" t="s">
        <v>146</v>
      </c>
      <c r="C238">
        <v>2005</v>
      </c>
      <c r="D238" t="s">
        <v>12</v>
      </c>
      <c r="E238" t="s">
        <v>5</v>
      </c>
      <c r="F238" t="s">
        <v>13</v>
      </c>
      <c r="G238" t="s">
        <v>155</v>
      </c>
      <c r="H238" s="220" t="s">
        <v>395</v>
      </c>
    </row>
    <row r="239" spans="1:8">
      <c r="A239">
        <v>3</v>
      </c>
      <c r="B239" t="s">
        <v>147</v>
      </c>
      <c r="C239">
        <v>2005</v>
      </c>
      <c r="D239" t="s">
        <v>12</v>
      </c>
      <c r="E239" t="s">
        <v>5</v>
      </c>
      <c r="F239" t="s">
        <v>13</v>
      </c>
      <c r="G239" t="s">
        <v>156</v>
      </c>
      <c r="H239" s="220" t="s">
        <v>396</v>
      </c>
    </row>
    <row r="240" spans="1:8">
      <c r="A240">
        <v>4</v>
      </c>
      <c r="B240" t="s">
        <v>148</v>
      </c>
      <c r="C240">
        <v>2005</v>
      </c>
      <c r="D240" t="s">
        <v>12</v>
      </c>
      <c r="E240" t="s">
        <v>5</v>
      </c>
      <c r="F240" t="s">
        <v>13</v>
      </c>
      <c r="G240" t="s">
        <v>157</v>
      </c>
      <c r="H240" s="220" t="s">
        <v>397</v>
      </c>
    </row>
    <row r="241" spans="1:8">
      <c r="A241">
        <v>0</v>
      </c>
      <c r="B241" t="s">
        <v>34</v>
      </c>
      <c r="C241">
        <v>2005</v>
      </c>
      <c r="D241" t="s">
        <v>12</v>
      </c>
      <c r="E241" t="s">
        <v>5</v>
      </c>
      <c r="F241" t="s">
        <v>13</v>
      </c>
      <c r="G241" t="s">
        <v>158</v>
      </c>
      <c r="H241" s="220" t="s">
        <v>398</v>
      </c>
    </row>
    <row r="242" spans="1:8">
      <c r="A242">
        <v>1</v>
      </c>
      <c r="B242" t="s">
        <v>145</v>
      </c>
      <c r="C242">
        <v>2020</v>
      </c>
      <c r="D242" t="s">
        <v>11</v>
      </c>
      <c r="E242" t="s">
        <v>139</v>
      </c>
      <c r="F242" t="s">
        <v>13</v>
      </c>
      <c r="G242" t="s">
        <v>154</v>
      </c>
      <c r="H242" s="220" t="s">
        <v>399</v>
      </c>
    </row>
    <row r="243" spans="1:8">
      <c r="A243">
        <v>2</v>
      </c>
      <c r="B243" t="s">
        <v>146</v>
      </c>
      <c r="C243">
        <v>2020</v>
      </c>
      <c r="D243" t="s">
        <v>11</v>
      </c>
      <c r="E243" t="s">
        <v>139</v>
      </c>
      <c r="F243" t="s">
        <v>13</v>
      </c>
      <c r="G243" t="s">
        <v>155</v>
      </c>
      <c r="H243" s="220" t="s">
        <v>400</v>
      </c>
    </row>
    <row r="244" spans="1:8">
      <c r="A244">
        <v>3</v>
      </c>
      <c r="B244" t="s">
        <v>147</v>
      </c>
      <c r="C244">
        <v>2020</v>
      </c>
      <c r="D244" t="s">
        <v>11</v>
      </c>
      <c r="E244" t="s">
        <v>139</v>
      </c>
      <c r="F244" t="s">
        <v>13</v>
      </c>
      <c r="G244" t="s">
        <v>156</v>
      </c>
      <c r="H244" s="220" t="s">
        <v>401</v>
      </c>
    </row>
    <row r="245" spans="1:8">
      <c r="A245">
        <v>4</v>
      </c>
      <c r="B245" t="s">
        <v>148</v>
      </c>
      <c r="C245">
        <v>2020</v>
      </c>
      <c r="D245" t="s">
        <v>11</v>
      </c>
      <c r="E245" t="s">
        <v>139</v>
      </c>
      <c r="F245" t="s">
        <v>13</v>
      </c>
      <c r="G245" t="s">
        <v>157</v>
      </c>
      <c r="H245" s="220" t="s">
        <v>402</v>
      </c>
    </row>
    <row r="246" spans="1:8">
      <c r="A246">
        <v>0</v>
      </c>
      <c r="B246" t="s">
        <v>34</v>
      </c>
      <c r="C246">
        <v>2020</v>
      </c>
      <c r="D246" t="s">
        <v>11</v>
      </c>
      <c r="E246" t="s">
        <v>139</v>
      </c>
      <c r="F246" t="s">
        <v>13</v>
      </c>
      <c r="G246" t="s">
        <v>158</v>
      </c>
      <c r="H246" s="220" t="s">
        <v>403</v>
      </c>
    </row>
    <row r="247" spans="1:8">
      <c r="A247">
        <v>1</v>
      </c>
      <c r="B247" t="s">
        <v>145</v>
      </c>
      <c r="C247">
        <v>2019</v>
      </c>
      <c r="D247" t="s">
        <v>11</v>
      </c>
      <c r="E247" t="s">
        <v>139</v>
      </c>
      <c r="F247" t="s">
        <v>13</v>
      </c>
      <c r="G247" t="s">
        <v>154</v>
      </c>
      <c r="H247" s="220" t="s">
        <v>404</v>
      </c>
    </row>
    <row r="248" spans="1:8">
      <c r="A248">
        <v>2</v>
      </c>
      <c r="B248" t="s">
        <v>146</v>
      </c>
      <c r="C248">
        <v>2019</v>
      </c>
      <c r="D248" t="s">
        <v>11</v>
      </c>
      <c r="E248" t="s">
        <v>139</v>
      </c>
      <c r="F248" t="s">
        <v>13</v>
      </c>
      <c r="G248" t="s">
        <v>155</v>
      </c>
      <c r="H248" s="220" t="s">
        <v>405</v>
      </c>
    </row>
    <row r="249" spans="1:8">
      <c r="A249">
        <v>3</v>
      </c>
      <c r="B249" t="s">
        <v>147</v>
      </c>
      <c r="C249">
        <v>2019</v>
      </c>
      <c r="D249" t="s">
        <v>11</v>
      </c>
      <c r="E249" t="s">
        <v>139</v>
      </c>
      <c r="F249" t="s">
        <v>13</v>
      </c>
      <c r="G249" t="s">
        <v>156</v>
      </c>
      <c r="H249" s="220" t="s">
        <v>406</v>
      </c>
    </row>
    <row r="250" spans="1:8">
      <c r="A250">
        <v>4</v>
      </c>
      <c r="B250" t="s">
        <v>148</v>
      </c>
      <c r="C250">
        <v>2019</v>
      </c>
      <c r="D250" t="s">
        <v>11</v>
      </c>
      <c r="E250" t="s">
        <v>139</v>
      </c>
      <c r="F250" t="s">
        <v>13</v>
      </c>
      <c r="G250" t="s">
        <v>157</v>
      </c>
      <c r="H250" s="220" t="s">
        <v>407</v>
      </c>
    </row>
    <row r="251" spans="1:8">
      <c r="A251">
        <v>0</v>
      </c>
      <c r="B251" t="s">
        <v>34</v>
      </c>
      <c r="C251">
        <v>2019</v>
      </c>
      <c r="D251" t="s">
        <v>11</v>
      </c>
      <c r="E251" t="s">
        <v>139</v>
      </c>
      <c r="F251" t="s">
        <v>13</v>
      </c>
      <c r="G251" t="s">
        <v>158</v>
      </c>
      <c r="H251" s="220" t="s">
        <v>408</v>
      </c>
    </row>
    <row r="252" spans="1:8">
      <c r="A252">
        <v>1</v>
      </c>
      <c r="B252" t="s">
        <v>145</v>
      </c>
      <c r="C252">
        <v>2018</v>
      </c>
      <c r="D252" t="s">
        <v>11</v>
      </c>
      <c r="E252" t="s">
        <v>139</v>
      </c>
      <c r="F252" t="s">
        <v>13</v>
      </c>
      <c r="G252" t="s">
        <v>154</v>
      </c>
      <c r="H252" s="220" t="s">
        <v>409</v>
      </c>
    </row>
    <row r="253" spans="1:8">
      <c r="A253">
        <v>2</v>
      </c>
      <c r="B253" t="s">
        <v>146</v>
      </c>
      <c r="C253">
        <v>2018</v>
      </c>
      <c r="D253" t="s">
        <v>11</v>
      </c>
      <c r="E253" t="s">
        <v>139</v>
      </c>
      <c r="F253" t="s">
        <v>13</v>
      </c>
      <c r="G253" t="s">
        <v>155</v>
      </c>
      <c r="H253" s="220" t="s">
        <v>410</v>
      </c>
    </row>
    <row r="254" spans="1:8">
      <c r="A254">
        <v>3</v>
      </c>
      <c r="B254" t="s">
        <v>147</v>
      </c>
      <c r="C254">
        <v>2018</v>
      </c>
      <c r="D254" t="s">
        <v>11</v>
      </c>
      <c r="E254" t="s">
        <v>139</v>
      </c>
      <c r="F254" t="s">
        <v>13</v>
      </c>
      <c r="G254" t="s">
        <v>156</v>
      </c>
      <c r="H254" s="220" t="s">
        <v>411</v>
      </c>
    </row>
    <row r="255" spans="1:8">
      <c r="A255">
        <v>4</v>
      </c>
      <c r="B255" t="s">
        <v>148</v>
      </c>
      <c r="C255">
        <v>2018</v>
      </c>
      <c r="D255" t="s">
        <v>11</v>
      </c>
      <c r="E255" t="s">
        <v>139</v>
      </c>
      <c r="F255" t="s">
        <v>13</v>
      </c>
      <c r="G255" t="s">
        <v>157</v>
      </c>
      <c r="H255" s="220" t="s">
        <v>412</v>
      </c>
    </row>
    <row r="256" spans="1:8">
      <c r="A256">
        <v>0</v>
      </c>
      <c r="B256" t="s">
        <v>34</v>
      </c>
      <c r="C256">
        <v>2018</v>
      </c>
      <c r="D256" t="s">
        <v>11</v>
      </c>
      <c r="E256" t="s">
        <v>139</v>
      </c>
      <c r="F256" t="s">
        <v>13</v>
      </c>
      <c r="G256" t="s">
        <v>158</v>
      </c>
      <c r="H256" s="220" t="s">
        <v>413</v>
      </c>
    </row>
    <row r="257" spans="1:8">
      <c r="A257">
        <v>1</v>
      </c>
      <c r="B257" t="s">
        <v>145</v>
      </c>
      <c r="C257">
        <v>2017</v>
      </c>
      <c r="D257" t="s">
        <v>11</v>
      </c>
      <c r="E257" t="s">
        <v>139</v>
      </c>
      <c r="F257" t="s">
        <v>13</v>
      </c>
      <c r="G257" t="s">
        <v>154</v>
      </c>
      <c r="H257" s="220" t="s">
        <v>414</v>
      </c>
    </row>
    <row r="258" spans="1:8">
      <c r="A258">
        <v>2</v>
      </c>
      <c r="B258" t="s">
        <v>146</v>
      </c>
      <c r="C258">
        <v>2017</v>
      </c>
      <c r="D258" t="s">
        <v>11</v>
      </c>
      <c r="E258" t="s">
        <v>139</v>
      </c>
      <c r="F258" t="s">
        <v>13</v>
      </c>
      <c r="G258" t="s">
        <v>155</v>
      </c>
      <c r="H258" s="220" t="s">
        <v>415</v>
      </c>
    </row>
    <row r="259" spans="1:8">
      <c r="A259">
        <v>3</v>
      </c>
      <c r="B259" t="s">
        <v>147</v>
      </c>
      <c r="C259">
        <v>2017</v>
      </c>
      <c r="D259" t="s">
        <v>11</v>
      </c>
      <c r="E259" t="s">
        <v>139</v>
      </c>
      <c r="F259" t="s">
        <v>13</v>
      </c>
      <c r="G259" t="s">
        <v>156</v>
      </c>
      <c r="H259" s="220" t="s">
        <v>416</v>
      </c>
    </row>
    <row r="260" spans="1:8">
      <c r="A260">
        <v>4</v>
      </c>
      <c r="B260" t="s">
        <v>148</v>
      </c>
      <c r="C260">
        <v>2017</v>
      </c>
      <c r="D260" t="s">
        <v>11</v>
      </c>
      <c r="E260" t="s">
        <v>139</v>
      </c>
      <c r="F260" t="s">
        <v>13</v>
      </c>
      <c r="G260" t="s">
        <v>157</v>
      </c>
      <c r="H260" s="220" t="s">
        <v>417</v>
      </c>
    </row>
    <row r="261" spans="1:8">
      <c r="A261">
        <v>0</v>
      </c>
      <c r="B261" t="s">
        <v>34</v>
      </c>
      <c r="C261">
        <v>2017</v>
      </c>
      <c r="D261" t="s">
        <v>11</v>
      </c>
      <c r="E261" t="s">
        <v>139</v>
      </c>
      <c r="F261" t="s">
        <v>13</v>
      </c>
      <c r="G261" t="s">
        <v>158</v>
      </c>
      <c r="H261" s="220" t="s">
        <v>418</v>
      </c>
    </row>
    <row r="262" spans="1:8">
      <c r="A262">
        <v>1</v>
      </c>
      <c r="B262" t="s">
        <v>145</v>
      </c>
      <c r="C262">
        <v>2016</v>
      </c>
      <c r="D262" t="s">
        <v>11</v>
      </c>
      <c r="E262" t="s">
        <v>139</v>
      </c>
      <c r="F262" t="s">
        <v>13</v>
      </c>
      <c r="G262" t="s">
        <v>154</v>
      </c>
      <c r="H262" s="220" t="s">
        <v>419</v>
      </c>
    </row>
    <row r="263" spans="1:8">
      <c r="A263">
        <v>2</v>
      </c>
      <c r="B263" t="s">
        <v>146</v>
      </c>
      <c r="C263">
        <v>2016</v>
      </c>
      <c r="D263" t="s">
        <v>11</v>
      </c>
      <c r="E263" t="s">
        <v>139</v>
      </c>
      <c r="F263" t="s">
        <v>13</v>
      </c>
      <c r="G263" t="s">
        <v>155</v>
      </c>
      <c r="H263" s="220" t="s">
        <v>420</v>
      </c>
    </row>
    <row r="264" spans="1:8">
      <c r="A264">
        <v>3</v>
      </c>
      <c r="B264" t="s">
        <v>147</v>
      </c>
      <c r="C264">
        <v>2016</v>
      </c>
      <c r="D264" t="s">
        <v>11</v>
      </c>
      <c r="E264" t="s">
        <v>139</v>
      </c>
      <c r="F264" t="s">
        <v>13</v>
      </c>
      <c r="G264" t="s">
        <v>156</v>
      </c>
      <c r="H264" s="220" t="s">
        <v>421</v>
      </c>
    </row>
    <row r="265" spans="1:8">
      <c r="A265">
        <v>4</v>
      </c>
      <c r="B265" t="s">
        <v>148</v>
      </c>
      <c r="C265">
        <v>2016</v>
      </c>
      <c r="D265" t="s">
        <v>11</v>
      </c>
      <c r="E265" t="s">
        <v>139</v>
      </c>
      <c r="F265" t="s">
        <v>13</v>
      </c>
      <c r="G265" t="s">
        <v>157</v>
      </c>
      <c r="H265" s="220" t="s">
        <v>422</v>
      </c>
    </row>
    <row r="266" spans="1:8">
      <c r="A266">
        <v>0</v>
      </c>
      <c r="B266" t="s">
        <v>34</v>
      </c>
      <c r="C266">
        <v>2016</v>
      </c>
      <c r="D266" t="s">
        <v>11</v>
      </c>
      <c r="E266" t="s">
        <v>139</v>
      </c>
      <c r="F266" t="s">
        <v>13</v>
      </c>
      <c r="G266" t="s">
        <v>158</v>
      </c>
      <c r="H266" s="220" t="s">
        <v>423</v>
      </c>
    </row>
    <row r="267" spans="1:8">
      <c r="A267">
        <v>1</v>
      </c>
      <c r="B267" t="s">
        <v>145</v>
      </c>
      <c r="C267">
        <v>2015</v>
      </c>
      <c r="D267" t="s">
        <v>11</v>
      </c>
      <c r="E267" t="s">
        <v>139</v>
      </c>
      <c r="F267" t="s">
        <v>13</v>
      </c>
      <c r="G267" t="s">
        <v>154</v>
      </c>
      <c r="H267" s="220" t="s">
        <v>424</v>
      </c>
    </row>
    <row r="268" spans="1:8">
      <c r="A268">
        <v>2</v>
      </c>
      <c r="B268" t="s">
        <v>146</v>
      </c>
      <c r="C268">
        <v>2015</v>
      </c>
      <c r="D268" t="s">
        <v>11</v>
      </c>
      <c r="E268" t="s">
        <v>139</v>
      </c>
      <c r="F268" t="s">
        <v>13</v>
      </c>
      <c r="G268" t="s">
        <v>155</v>
      </c>
      <c r="H268" s="220" t="s">
        <v>425</v>
      </c>
    </row>
    <row r="269" spans="1:8">
      <c r="A269">
        <v>3</v>
      </c>
      <c r="B269" t="s">
        <v>147</v>
      </c>
      <c r="C269">
        <v>2015</v>
      </c>
      <c r="D269" t="s">
        <v>11</v>
      </c>
      <c r="E269" t="s">
        <v>139</v>
      </c>
      <c r="F269" t="s">
        <v>13</v>
      </c>
      <c r="G269" t="s">
        <v>156</v>
      </c>
      <c r="H269" s="220" t="s">
        <v>426</v>
      </c>
    </row>
    <row r="270" spans="1:8">
      <c r="A270">
        <v>4</v>
      </c>
      <c r="B270" t="s">
        <v>148</v>
      </c>
      <c r="C270">
        <v>2015</v>
      </c>
      <c r="D270" t="s">
        <v>11</v>
      </c>
      <c r="E270" t="s">
        <v>139</v>
      </c>
      <c r="F270" t="s">
        <v>13</v>
      </c>
      <c r="G270" t="s">
        <v>157</v>
      </c>
      <c r="H270" s="220" t="s">
        <v>427</v>
      </c>
    </row>
    <row r="271" spans="1:8">
      <c r="A271">
        <v>0</v>
      </c>
      <c r="B271" t="s">
        <v>34</v>
      </c>
      <c r="C271">
        <v>2015</v>
      </c>
      <c r="D271" t="s">
        <v>11</v>
      </c>
      <c r="E271" t="s">
        <v>139</v>
      </c>
      <c r="F271" t="s">
        <v>13</v>
      </c>
      <c r="G271" t="s">
        <v>158</v>
      </c>
      <c r="H271" s="220" t="s">
        <v>428</v>
      </c>
    </row>
    <row r="272" spans="1:8">
      <c r="A272">
        <v>1</v>
      </c>
      <c r="B272" t="s">
        <v>145</v>
      </c>
      <c r="C272">
        <v>2014</v>
      </c>
      <c r="D272" t="s">
        <v>11</v>
      </c>
      <c r="E272" t="s">
        <v>139</v>
      </c>
      <c r="F272" t="s">
        <v>13</v>
      </c>
      <c r="G272" t="s">
        <v>154</v>
      </c>
      <c r="H272" s="220" t="s">
        <v>429</v>
      </c>
    </row>
    <row r="273" spans="1:8">
      <c r="A273">
        <v>2</v>
      </c>
      <c r="B273" t="s">
        <v>146</v>
      </c>
      <c r="C273">
        <v>2014</v>
      </c>
      <c r="D273" t="s">
        <v>11</v>
      </c>
      <c r="E273" t="s">
        <v>139</v>
      </c>
      <c r="F273" t="s">
        <v>13</v>
      </c>
      <c r="G273" t="s">
        <v>155</v>
      </c>
      <c r="H273" s="220" t="s">
        <v>430</v>
      </c>
    </row>
    <row r="274" spans="1:8">
      <c r="A274">
        <v>3</v>
      </c>
      <c r="B274" t="s">
        <v>147</v>
      </c>
      <c r="C274">
        <v>2014</v>
      </c>
      <c r="D274" t="s">
        <v>11</v>
      </c>
      <c r="E274" t="s">
        <v>139</v>
      </c>
      <c r="F274" t="s">
        <v>13</v>
      </c>
      <c r="G274" t="s">
        <v>156</v>
      </c>
      <c r="H274" s="220" t="s">
        <v>431</v>
      </c>
    </row>
    <row r="275" spans="1:8">
      <c r="A275">
        <v>4</v>
      </c>
      <c r="B275" t="s">
        <v>148</v>
      </c>
      <c r="C275">
        <v>2014</v>
      </c>
      <c r="D275" t="s">
        <v>11</v>
      </c>
      <c r="E275" t="s">
        <v>139</v>
      </c>
      <c r="F275" t="s">
        <v>13</v>
      </c>
      <c r="G275" t="s">
        <v>157</v>
      </c>
      <c r="H275" s="220" t="s">
        <v>432</v>
      </c>
    </row>
    <row r="276" spans="1:8">
      <c r="A276">
        <v>0</v>
      </c>
      <c r="B276" t="s">
        <v>34</v>
      </c>
      <c r="C276">
        <v>2014</v>
      </c>
      <c r="D276" t="s">
        <v>11</v>
      </c>
      <c r="E276" t="s">
        <v>139</v>
      </c>
      <c r="F276" t="s">
        <v>13</v>
      </c>
      <c r="G276" t="s">
        <v>158</v>
      </c>
      <c r="H276" s="220" t="s">
        <v>433</v>
      </c>
    </row>
    <row r="277" spans="1:8">
      <c r="A277">
        <v>1</v>
      </c>
      <c r="B277" t="s">
        <v>145</v>
      </c>
      <c r="C277">
        <v>2013</v>
      </c>
      <c r="D277" t="s">
        <v>11</v>
      </c>
      <c r="E277" t="s">
        <v>139</v>
      </c>
      <c r="F277" t="s">
        <v>13</v>
      </c>
      <c r="G277" t="s">
        <v>154</v>
      </c>
      <c r="H277" s="220" t="s">
        <v>35</v>
      </c>
    </row>
    <row r="278" spans="1:8">
      <c r="A278">
        <v>2</v>
      </c>
      <c r="B278" t="s">
        <v>146</v>
      </c>
      <c r="C278">
        <v>2013</v>
      </c>
      <c r="D278" t="s">
        <v>11</v>
      </c>
      <c r="E278" t="s">
        <v>139</v>
      </c>
      <c r="F278" t="s">
        <v>13</v>
      </c>
      <c r="G278" t="s">
        <v>155</v>
      </c>
      <c r="H278" s="220" t="s">
        <v>35</v>
      </c>
    </row>
    <row r="279" spans="1:8">
      <c r="A279">
        <v>3</v>
      </c>
      <c r="B279" t="s">
        <v>147</v>
      </c>
      <c r="C279">
        <v>2013</v>
      </c>
      <c r="D279" t="s">
        <v>11</v>
      </c>
      <c r="E279" t="s">
        <v>139</v>
      </c>
      <c r="F279" t="s">
        <v>13</v>
      </c>
      <c r="G279" t="s">
        <v>156</v>
      </c>
      <c r="H279" s="220" t="s">
        <v>35</v>
      </c>
    </row>
    <row r="280" spans="1:8">
      <c r="A280">
        <v>4</v>
      </c>
      <c r="B280" t="s">
        <v>148</v>
      </c>
      <c r="C280">
        <v>2013</v>
      </c>
      <c r="D280" t="s">
        <v>11</v>
      </c>
      <c r="E280" t="s">
        <v>139</v>
      </c>
      <c r="F280" t="s">
        <v>13</v>
      </c>
      <c r="G280" t="s">
        <v>157</v>
      </c>
      <c r="H280" s="220" t="s">
        <v>35</v>
      </c>
    </row>
    <row r="281" spans="1:8">
      <c r="A281">
        <v>0</v>
      </c>
      <c r="B281" t="s">
        <v>34</v>
      </c>
      <c r="C281">
        <v>2013</v>
      </c>
      <c r="D281" t="s">
        <v>11</v>
      </c>
      <c r="E281" t="s">
        <v>139</v>
      </c>
      <c r="F281" t="s">
        <v>13</v>
      </c>
      <c r="G281" t="s">
        <v>158</v>
      </c>
      <c r="H281" s="220" t="s">
        <v>35</v>
      </c>
    </row>
    <row r="282" spans="1:8">
      <c r="A282">
        <v>1</v>
      </c>
      <c r="B282" t="s">
        <v>145</v>
      </c>
      <c r="C282">
        <v>2012</v>
      </c>
      <c r="D282" t="s">
        <v>11</v>
      </c>
      <c r="E282" t="s">
        <v>139</v>
      </c>
      <c r="F282" t="s">
        <v>13</v>
      </c>
      <c r="G282" t="s">
        <v>154</v>
      </c>
      <c r="H282" s="220" t="s">
        <v>35</v>
      </c>
    </row>
    <row r="283" spans="1:8">
      <c r="A283">
        <v>2</v>
      </c>
      <c r="B283" t="s">
        <v>146</v>
      </c>
      <c r="C283">
        <v>2012</v>
      </c>
      <c r="D283" t="s">
        <v>11</v>
      </c>
      <c r="E283" t="s">
        <v>139</v>
      </c>
      <c r="F283" t="s">
        <v>13</v>
      </c>
      <c r="G283" t="s">
        <v>155</v>
      </c>
      <c r="H283" s="220" t="s">
        <v>35</v>
      </c>
    </row>
    <row r="284" spans="1:8">
      <c r="A284">
        <v>3</v>
      </c>
      <c r="B284" t="s">
        <v>147</v>
      </c>
      <c r="C284">
        <v>2012</v>
      </c>
      <c r="D284" t="s">
        <v>11</v>
      </c>
      <c r="E284" t="s">
        <v>139</v>
      </c>
      <c r="F284" t="s">
        <v>13</v>
      </c>
      <c r="G284" t="s">
        <v>156</v>
      </c>
      <c r="H284" s="220" t="s">
        <v>35</v>
      </c>
    </row>
    <row r="285" spans="1:8">
      <c r="A285">
        <v>4</v>
      </c>
      <c r="B285" t="s">
        <v>148</v>
      </c>
      <c r="C285">
        <v>2012</v>
      </c>
      <c r="D285" t="s">
        <v>11</v>
      </c>
      <c r="E285" t="s">
        <v>139</v>
      </c>
      <c r="F285" t="s">
        <v>13</v>
      </c>
      <c r="G285" t="s">
        <v>157</v>
      </c>
      <c r="H285" s="220" t="s">
        <v>35</v>
      </c>
    </row>
    <row r="286" spans="1:8">
      <c r="A286">
        <v>0</v>
      </c>
      <c r="B286" t="s">
        <v>34</v>
      </c>
      <c r="C286">
        <v>2012</v>
      </c>
      <c r="D286" t="s">
        <v>11</v>
      </c>
      <c r="E286" t="s">
        <v>139</v>
      </c>
      <c r="F286" t="s">
        <v>13</v>
      </c>
      <c r="G286" t="s">
        <v>158</v>
      </c>
      <c r="H286" s="220" t="s">
        <v>35</v>
      </c>
    </row>
    <row r="287" spans="1:8">
      <c r="A287">
        <v>1</v>
      </c>
      <c r="B287" t="s">
        <v>145</v>
      </c>
      <c r="C287">
        <v>2011</v>
      </c>
      <c r="D287" t="s">
        <v>11</v>
      </c>
      <c r="E287" t="s">
        <v>139</v>
      </c>
      <c r="F287" t="s">
        <v>13</v>
      </c>
      <c r="G287" t="s">
        <v>154</v>
      </c>
      <c r="H287" s="220" t="s">
        <v>35</v>
      </c>
    </row>
    <row r="288" spans="1:8">
      <c r="A288">
        <v>2</v>
      </c>
      <c r="B288" t="s">
        <v>146</v>
      </c>
      <c r="C288">
        <v>2011</v>
      </c>
      <c r="D288" t="s">
        <v>11</v>
      </c>
      <c r="E288" t="s">
        <v>139</v>
      </c>
      <c r="F288" t="s">
        <v>13</v>
      </c>
      <c r="G288" t="s">
        <v>155</v>
      </c>
      <c r="H288" s="220" t="s">
        <v>35</v>
      </c>
    </row>
    <row r="289" spans="1:8">
      <c r="A289">
        <v>3</v>
      </c>
      <c r="B289" t="s">
        <v>147</v>
      </c>
      <c r="C289">
        <v>2011</v>
      </c>
      <c r="D289" t="s">
        <v>11</v>
      </c>
      <c r="E289" t="s">
        <v>139</v>
      </c>
      <c r="F289" t="s">
        <v>13</v>
      </c>
      <c r="G289" t="s">
        <v>156</v>
      </c>
      <c r="H289" s="220" t="s">
        <v>35</v>
      </c>
    </row>
    <row r="290" spans="1:8">
      <c r="A290">
        <v>4</v>
      </c>
      <c r="B290" t="s">
        <v>148</v>
      </c>
      <c r="C290">
        <v>2011</v>
      </c>
      <c r="D290" t="s">
        <v>11</v>
      </c>
      <c r="E290" t="s">
        <v>139</v>
      </c>
      <c r="F290" t="s">
        <v>13</v>
      </c>
      <c r="G290" t="s">
        <v>157</v>
      </c>
      <c r="H290" s="220" t="s">
        <v>35</v>
      </c>
    </row>
    <row r="291" spans="1:8">
      <c r="A291">
        <v>0</v>
      </c>
      <c r="B291" t="s">
        <v>34</v>
      </c>
      <c r="C291">
        <v>2011</v>
      </c>
      <c r="D291" t="s">
        <v>11</v>
      </c>
      <c r="E291" t="s">
        <v>139</v>
      </c>
      <c r="F291" t="s">
        <v>13</v>
      </c>
      <c r="G291" t="s">
        <v>158</v>
      </c>
      <c r="H291" s="220" t="s">
        <v>35</v>
      </c>
    </row>
    <row r="292" spans="1:8">
      <c r="A292">
        <v>1</v>
      </c>
      <c r="B292" t="s">
        <v>145</v>
      </c>
      <c r="C292">
        <v>2010</v>
      </c>
      <c r="D292" t="s">
        <v>11</v>
      </c>
      <c r="E292" t="s">
        <v>139</v>
      </c>
      <c r="F292" t="s">
        <v>13</v>
      </c>
      <c r="G292" t="s">
        <v>154</v>
      </c>
      <c r="H292" s="220" t="s">
        <v>35</v>
      </c>
    </row>
    <row r="293" spans="1:8">
      <c r="A293">
        <v>2</v>
      </c>
      <c r="B293" t="s">
        <v>146</v>
      </c>
      <c r="C293">
        <v>2010</v>
      </c>
      <c r="D293" t="s">
        <v>11</v>
      </c>
      <c r="E293" t="s">
        <v>139</v>
      </c>
      <c r="F293" t="s">
        <v>13</v>
      </c>
      <c r="G293" t="s">
        <v>155</v>
      </c>
      <c r="H293" s="220" t="s">
        <v>35</v>
      </c>
    </row>
    <row r="294" spans="1:8">
      <c r="A294">
        <v>3</v>
      </c>
      <c r="B294" t="s">
        <v>147</v>
      </c>
      <c r="C294">
        <v>2010</v>
      </c>
      <c r="D294" t="s">
        <v>11</v>
      </c>
      <c r="E294" t="s">
        <v>139</v>
      </c>
      <c r="F294" t="s">
        <v>13</v>
      </c>
      <c r="G294" t="s">
        <v>156</v>
      </c>
      <c r="H294" s="220" t="s">
        <v>35</v>
      </c>
    </row>
    <row r="295" spans="1:8">
      <c r="A295">
        <v>4</v>
      </c>
      <c r="B295" t="s">
        <v>148</v>
      </c>
      <c r="C295">
        <v>2010</v>
      </c>
      <c r="D295" t="s">
        <v>11</v>
      </c>
      <c r="E295" t="s">
        <v>139</v>
      </c>
      <c r="F295" t="s">
        <v>13</v>
      </c>
      <c r="G295" t="s">
        <v>157</v>
      </c>
      <c r="H295" s="220" t="s">
        <v>35</v>
      </c>
    </row>
    <row r="296" spans="1:8">
      <c r="A296">
        <v>0</v>
      </c>
      <c r="B296" t="s">
        <v>34</v>
      </c>
      <c r="C296">
        <v>2010</v>
      </c>
      <c r="D296" t="s">
        <v>11</v>
      </c>
      <c r="E296" t="s">
        <v>139</v>
      </c>
      <c r="F296" t="s">
        <v>13</v>
      </c>
      <c r="G296" t="s">
        <v>158</v>
      </c>
      <c r="H296" s="220" t="s">
        <v>35</v>
      </c>
    </row>
    <row r="297" spans="1:8">
      <c r="A297">
        <v>1</v>
      </c>
      <c r="B297" t="s">
        <v>145</v>
      </c>
      <c r="C297">
        <v>2005</v>
      </c>
      <c r="D297" t="s">
        <v>11</v>
      </c>
      <c r="E297" t="s">
        <v>139</v>
      </c>
      <c r="F297" t="s">
        <v>13</v>
      </c>
      <c r="G297" t="s">
        <v>154</v>
      </c>
      <c r="H297" s="220" t="s">
        <v>35</v>
      </c>
    </row>
    <row r="298" spans="1:8">
      <c r="A298">
        <v>2</v>
      </c>
      <c r="B298" t="s">
        <v>146</v>
      </c>
      <c r="C298">
        <v>2005</v>
      </c>
      <c r="D298" t="s">
        <v>11</v>
      </c>
      <c r="E298" t="s">
        <v>139</v>
      </c>
      <c r="F298" t="s">
        <v>13</v>
      </c>
      <c r="G298" t="s">
        <v>155</v>
      </c>
      <c r="H298" s="220" t="s">
        <v>35</v>
      </c>
    </row>
    <row r="299" spans="1:8">
      <c r="A299">
        <v>3</v>
      </c>
      <c r="B299" t="s">
        <v>147</v>
      </c>
      <c r="C299">
        <v>2005</v>
      </c>
      <c r="D299" t="s">
        <v>11</v>
      </c>
      <c r="E299" t="s">
        <v>139</v>
      </c>
      <c r="F299" t="s">
        <v>13</v>
      </c>
      <c r="G299" t="s">
        <v>156</v>
      </c>
      <c r="H299" s="220" t="s">
        <v>35</v>
      </c>
    </row>
    <row r="300" spans="1:8">
      <c r="A300">
        <v>4</v>
      </c>
      <c r="B300" t="s">
        <v>148</v>
      </c>
      <c r="C300">
        <v>2005</v>
      </c>
      <c r="D300" t="s">
        <v>11</v>
      </c>
      <c r="E300" t="s">
        <v>139</v>
      </c>
      <c r="F300" t="s">
        <v>13</v>
      </c>
      <c r="G300" t="s">
        <v>157</v>
      </c>
      <c r="H300" s="220" t="s">
        <v>35</v>
      </c>
    </row>
    <row r="301" spans="1:8">
      <c r="A301">
        <v>0</v>
      </c>
      <c r="B301" t="s">
        <v>34</v>
      </c>
      <c r="C301">
        <v>2005</v>
      </c>
      <c r="D301" t="s">
        <v>11</v>
      </c>
      <c r="E301" t="s">
        <v>139</v>
      </c>
      <c r="F301" t="s">
        <v>13</v>
      </c>
      <c r="G301" t="s">
        <v>158</v>
      </c>
      <c r="H301" s="220" t="s">
        <v>35</v>
      </c>
    </row>
    <row r="302" spans="1:8">
      <c r="A302">
        <v>1</v>
      </c>
      <c r="B302" t="s">
        <v>145</v>
      </c>
      <c r="C302">
        <v>2020</v>
      </c>
      <c r="D302" t="s">
        <v>12</v>
      </c>
      <c r="E302" t="s">
        <v>139</v>
      </c>
      <c r="F302" t="s">
        <v>13</v>
      </c>
      <c r="G302" t="s">
        <v>154</v>
      </c>
      <c r="H302" s="220" t="s">
        <v>434</v>
      </c>
    </row>
    <row r="303" spans="1:8">
      <c r="A303">
        <v>2</v>
      </c>
      <c r="B303" t="s">
        <v>146</v>
      </c>
      <c r="C303">
        <v>2020</v>
      </c>
      <c r="D303" t="s">
        <v>12</v>
      </c>
      <c r="E303" t="s">
        <v>139</v>
      </c>
      <c r="F303" t="s">
        <v>13</v>
      </c>
      <c r="G303" t="s">
        <v>155</v>
      </c>
      <c r="H303" s="220" t="s">
        <v>435</v>
      </c>
    </row>
    <row r="304" spans="1:8">
      <c r="A304">
        <v>3</v>
      </c>
      <c r="B304" t="s">
        <v>147</v>
      </c>
      <c r="C304">
        <v>2020</v>
      </c>
      <c r="D304" t="s">
        <v>12</v>
      </c>
      <c r="E304" t="s">
        <v>139</v>
      </c>
      <c r="F304" t="s">
        <v>13</v>
      </c>
      <c r="G304" t="s">
        <v>156</v>
      </c>
      <c r="H304" s="220" t="s">
        <v>436</v>
      </c>
    </row>
    <row r="305" spans="1:8">
      <c r="A305">
        <v>4</v>
      </c>
      <c r="B305" t="s">
        <v>148</v>
      </c>
      <c r="C305">
        <v>2020</v>
      </c>
      <c r="D305" t="s">
        <v>12</v>
      </c>
      <c r="E305" t="s">
        <v>139</v>
      </c>
      <c r="F305" t="s">
        <v>13</v>
      </c>
      <c r="G305" t="s">
        <v>157</v>
      </c>
      <c r="H305" s="220" t="s">
        <v>437</v>
      </c>
    </row>
    <row r="306" spans="1:8">
      <c r="A306">
        <v>0</v>
      </c>
      <c r="B306" t="s">
        <v>34</v>
      </c>
      <c r="C306">
        <v>2020</v>
      </c>
      <c r="D306" t="s">
        <v>12</v>
      </c>
      <c r="E306" t="s">
        <v>139</v>
      </c>
      <c r="F306" t="s">
        <v>13</v>
      </c>
      <c r="G306" t="s">
        <v>158</v>
      </c>
      <c r="H306" s="220" t="s">
        <v>438</v>
      </c>
    </row>
    <row r="307" spans="1:8">
      <c r="A307">
        <v>1</v>
      </c>
      <c r="B307" t="s">
        <v>145</v>
      </c>
      <c r="C307">
        <v>2019</v>
      </c>
      <c r="D307" t="s">
        <v>12</v>
      </c>
      <c r="E307" t="s">
        <v>139</v>
      </c>
      <c r="F307" t="s">
        <v>13</v>
      </c>
      <c r="G307" t="s">
        <v>154</v>
      </c>
      <c r="H307" s="220" t="s">
        <v>439</v>
      </c>
    </row>
    <row r="308" spans="1:8">
      <c r="A308">
        <v>2</v>
      </c>
      <c r="B308" t="s">
        <v>146</v>
      </c>
      <c r="C308">
        <v>2019</v>
      </c>
      <c r="D308" t="s">
        <v>12</v>
      </c>
      <c r="E308" t="s">
        <v>139</v>
      </c>
      <c r="F308" t="s">
        <v>13</v>
      </c>
      <c r="G308" t="s">
        <v>155</v>
      </c>
      <c r="H308" s="220" t="s">
        <v>440</v>
      </c>
    </row>
    <row r="309" spans="1:8">
      <c r="A309">
        <v>3</v>
      </c>
      <c r="B309" t="s">
        <v>147</v>
      </c>
      <c r="C309">
        <v>2019</v>
      </c>
      <c r="D309" t="s">
        <v>12</v>
      </c>
      <c r="E309" t="s">
        <v>139</v>
      </c>
      <c r="F309" t="s">
        <v>13</v>
      </c>
      <c r="G309" t="s">
        <v>156</v>
      </c>
      <c r="H309" s="220" t="s">
        <v>441</v>
      </c>
    </row>
    <row r="310" spans="1:8">
      <c r="A310">
        <v>4</v>
      </c>
      <c r="B310" t="s">
        <v>148</v>
      </c>
      <c r="C310">
        <v>2019</v>
      </c>
      <c r="D310" t="s">
        <v>12</v>
      </c>
      <c r="E310" t="s">
        <v>139</v>
      </c>
      <c r="F310" t="s">
        <v>13</v>
      </c>
      <c r="G310" t="s">
        <v>157</v>
      </c>
      <c r="H310" s="220" t="s">
        <v>442</v>
      </c>
    </row>
    <row r="311" spans="1:8">
      <c r="A311">
        <v>0</v>
      </c>
      <c r="B311" t="s">
        <v>34</v>
      </c>
      <c r="C311">
        <v>2019</v>
      </c>
      <c r="D311" t="s">
        <v>12</v>
      </c>
      <c r="E311" t="s">
        <v>139</v>
      </c>
      <c r="F311" t="s">
        <v>13</v>
      </c>
      <c r="G311" t="s">
        <v>158</v>
      </c>
      <c r="H311" s="220" t="s">
        <v>443</v>
      </c>
    </row>
    <row r="312" spans="1:8">
      <c r="A312">
        <v>1</v>
      </c>
      <c r="B312" t="s">
        <v>145</v>
      </c>
      <c r="C312">
        <v>2018</v>
      </c>
      <c r="D312" t="s">
        <v>12</v>
      </c>
      <c r="E312" t="s">
        <v>139</v>
      </c>
      <c r="F312" t="s">
        <v>13</v>
      </c>
      <c r="G312" t="s">
        <v>154</v>
      </c>
      <c r="H312" s="220" t="s">
        <v>444</v>
      </c>
    </row>
    <row r="313" spans="1:8">
      <c r="A313">
        <v>2</v>
      </c>
      <c r="B313" t="s">
        <v>146</v>
      </c>
      <c r="C313">
        <v>2018</v>
      </c>
      <c r="D313" t="s">
        <v>12</v>
      </c>
      <c r="E313" t="s">
        <v>139</v>
      </c>
      <c r="F313" t="s">
        <v>13</v>
      </c>
      <c r="G313" t="s">
        <v>155</v>
      </c>
      <c r="H313" s="220" t="s">
        <v>445</v>
      </c>
    </row>
    <row r="314" spans="1:8">
      <c r="A314">
        <v>3</v>
      </c>
      <c r="B314" t="s">
        <v>147</v>
      </c>
      <c r="C314">
        <v>2018</v>
      </c>
      <c r="D314" t="s">
        <v>12</v>
      </c>
      <c r="E314" t="s">
        <v>139</v>
      </c>
      <c r="F314" t="s">
        <v>13</v>
      </c>
      <c r="G314" t="s">
        <v>156</v>
      </c>
      <c r="H314" s="220" t="s">
        <v>446</v>
      </c>
    </row>
    <row r="315" spans="1:8">
      <c r="A315">
        <v>4</v>
      </c>
      <c r="B315" t="s">
        <v>148</v>
      </c>
      <c r="C315">
        <v>2018</v>
      </c>
      <c r="D315" t="s">
        <v>12</v>
      </c>
      <c r="E315" t="s">
        <v>139</v>
      </c>
      <c r="F315" t="s">
        <v>13</v>
      </c>
      <c r="G315" t="s">
        <v>157</v>
      </c>
      <c r="H315" s="220" t="s">
        <v>447</v>
      </c>
    </row>
    <row r="316" spans="1:8">
      <c r="A316">
        <v>0</v>
      </c>
      <c r="B316" t="s">
        <v>34</v>
      </c>
      <c r="C316">
        <v>2018</v>
      </c>
      <c r="D316" t="s">
        <v>12</v>
      </c>
      <c r="E316" t="s">
        <v>139</v>
      </c>
      <c r="F316" t="s">
        <v>13</v>
      </c>
      <c r="G316" t="s">
        <v>158</v>
      </c>
      <c r="H316" s="220" t="s">
        <v>448</v>
      </c>
    </row>
    <row r="317" spans="1:8">
      <c r="A317">
        <v>1</v>
      </c>
      <c r="B317" t="s">
        <v>145</v>
      </c>
      <c r="C317">
        <v>2017</v>
      </c>
      <c r="D317" t="s">
        <v>12</v>
      </c>
      <c r="E317" t="s">
        <v>139</v>
      </c>
      <c r="F317" t="s">
        <v>13</v>
      </c>
      <c r="G317" t="s">
        <v>154</v>
      </c>
      <c r="H317" s="220" t="s">
        <v>449</v>
      </c>
    </row>
    <row r="318" spans="1:8">
      <c r="A318">
        <v>2</v>
      </c>
      <c r="B318" t="s">
        <v>146</v>
      </c>
      <c r="C318">
        <v>2017</v>
      </c>
      <c r="D318" t="s">
        <v>12</v>
      </c>
      <c r="E318" t="s">
        <v>139</v>
      </c>
      <c r="F318" t="s">
        <v>13</v>
      </c>
      <c r="G318" t="s">
        <v>155</v>
      </c>
      <c r="H318" s="220" t="s">
        <v>450</v>
      </c>
    </row>
    <row r="319" spans="1:8">
      <c r="A319">
        <v>3</v>
      </c>
      <c r="B319" t="s">
        <v>147</v>
      </c>
      <c r="C319">
        <v>2017</v>
      </c>
      <c r="D319" t="s">
        <v>12</v>
      </c>
      <c r="E319" t="s">
        <v>139</v>
      </c>
      <c r="F319" t="s">
        <v>13</v>
      </c>
      <c r="G319" t="s">
        <v>156</v>
      </c>
      <c r="H319" s="220" t="s">
        <v>451</v>
      </c>
    </row>
    <row r="320" spans="1:8">
      <c r="A320">
        <v>4</v>
      </c>
      <c r="B320" t="s">
        <v>148</v>
      </c>
      <c r="C320">
        <v>2017</v>
      </c>
      <c r="D320" t="s">
        <v>12</v>
      </c>
      <c r="E320" t="s">
        <v>139</v>
      </c>
      <c r="F320" t="s">
        <v>13</v>
      </c>
      <c r="G320" t="s">
        <v>157</v>
      </c>
      <c r="H320" s="220" t="s">
        <v>452</v>
      </c>
    </row>
    <row r="321" spans="1:8">
      <c r="A321">
        <v>0</v>
      </c>
      <c r="B321" t="s">
        <v>34</v>
      </c>
      <c r="C321">
        <v>2017</v>
      </c>
      <c r="D321" t="s">
        <v>12</v>
      </c>
      <c r="E321" t="s">
        <v>139</v>
      </c>
      <c r="F321" t="s">
        <v>13</v>
      </c>
      <c r="G321" t="s">
        <v>158</v>
      </c>
      <c r="H321" s="220" t="s">
        <v>453</v>
      </c>
    </row>
    <row r="322" spans="1:8">
      <c r="A322">
        <v>1</v>
      </c>
      <c r="B322" t="s">
        <v>145</v>
      </c>
      <c r="C322">
        <v>2016</v>
      </c>
      <c r="D322" t="s">
        <v>12</v>
      </c>
      <c r="E322" t="s">
        <v>139</v>
      </c>
      <c r="F322" t="s">
        <v>13</v>
      </c>
      <c r="G322" t="s">
        <v>154</v>
      </c>
      <c r="H322" s="220" t="s">
        <v>454</v>
      </c>
    </row>
    <row r="323" spans="1:8">
      <c r="A323">
        <v>2</v>
      </c>
      <c r="B323" t="s">
        <v>146</v>
      </c>
      <c r="C323">
        <v>2016</v>
      </c>
      <c r="D323" t="s">
        <v>12</v>
      </c>
      <c r="E323" t="s">
        <v>139</v>
      </c>
      <c r="F323" t="s">
        <v>13</v>
      </c>
      <c r="G323" t="s">
        <v>155</v>
      </c>
      <c r="H323" s="220" t="s">
        <v>455</v>
      </c>
    </row>
    <row r="324" spans="1:8">
      <c r="A324">
        <v>3</v>
      </c>
      <c r="B324" t="s">
        <v>147</v>
      </c>
      <c r="C324">
        <v>2016</v>
      </c>
      <c r="D324" t="s">
        <v>12</v>
      </c>
      <c r="E324" t="s">
        <v>139</v>
      </c>
      <c r="F324" t="s">
        <v>13</v>
      </c>
      <c r="G324" t="s">
        <v>156</v>
      </c>
      <c r="H324" s="220" t="s">
        <v>456</v>
      </c>
    </row>
    <row r="325" spans="1:8">
      <c r="A325">
        <v>4</v>
      </c>
      <c r="B325" t="s">
        <v>148</v>
      </c>
      <c r="C325">
        <v>2016</v>
      </c>
      <c r="D325" t="s">
        <v>12</v>
      </c>
      <c r="E325" t="s">
        <v>139</v>
      </c>
      <c r="F325" t="s">
        <v>13</v>
      </c>
      <c r="G325" t="s">
        <v>157</v>
      </c>
      <c r="H325" s="220" t="s">
        <v>457</v>
      </c>
    </row>
    <row r="326" spans="1:8">
      <c r="A326">
        <v>0</v>
      </c>
      <c r="B326" t="s">
        <v>34</v>
      </c>
      <c r="C326">
        <v>2016</v>
      </c>
      <c r="D326" t="s">
        <v>12</v>
      </c>
      <c r="E326" t="s">
        <v>139</v>
      </c>
      <c r="F326" t="s">
        <v>13</v>
      </c>
      <c r="G326" t="s">
        <v>158</v>
      </c>
      <c r="H326" s="220" t="s">
        <v>458</v>
      </c>
    </row>
    <row r="327" spans="1:8">
      <c r="A327">
        <v>1</v>
      </c>
      <c r="B327" t="s">
        <v>145</v>
      </c>
      <c r="C327">
        <v>2015</v>
      </c>
      <c r="D327" t="s">
        <v>12</v>
      </c>
      <c r="E327" t="s">
        <v>139</v>
      </c>
      <c r="F327" t="s">
        <v>13</v>
      </c>
      <c r="G327" t="s">
        <v>154</v>
      </c>
      <c r="H327" s="220" t="s">
        <v>459</v>
      </c>
    </row>
    <row r="328" spans="1:8">
      <c r="A328">
        <v>2</v>
      </c>
      <c r="B328" t="s">
        <v>146</v>
      </c>
      <c r="C328">
        <v>2015</v>
      </c>
      <c r="D328" t="s">
        <v>12</v>
      </c>
      <c r="E328" t="s">
        <v>139</v>
      </c>
      <c r="F328" t="s">
        <v>13</v>
      </c>
      <c r="G328" t="s">
        <v>155</v>
      </c>
      <c r="H328" s="220" t="s">
        <v>460</v>
      </c>
    </row>
    <row r="329" spans="1:8">
      <c r="A329">
        <v>3</v>
      </c>
      <c r="B329" t="s">
        <v>147</v>
      </c>
      <c r="C329">
        <v>2015</v>
      </c>
      <c r="D329" t="s">
        <v>12</v>
      </c>
      <c r="E329" t="s">
        <v>139</v>
      </c>
      <c r="F329" t="s">
        <v>13</v>
      </c>
      <c r="G329" t="s">
        <v>156</v>
      </c>
      <c r="H329" s="220" t="s">
        <v>461</v>
      </c>
    </row>
    <row r="330" spans="1:8">
      <c r="A330">
        <v>4</v>
      </c>
      <c r="B330" t="s">
        <v>148</v>
      </c>
      <c r="C330">
        <v>2015</v>
      </c>
      <c r="D330" t="s">
        <v>12</v>
      </c>
      <c r="E330" t="s">
        <v>139</v>
      </c>
      <c r="F330" t="s">
        <v>13</v>
      </c>
      <c r="G330" t="s">
        <v>157</v>
      </c>
      <c r="H330" s="220" t="s">
        <v>462</v>
      </c>
    </row>
    <row r="331" spans="1:8">
      <c r="A331">
        <v>0</v>
      </c>
      <c r="B331" t="s">
        <v>34</v>
      </c>
      <c r="C331">
        <v>2015</v>
      </c>
      <c r="D331" t="s">
        <v>12</v>
      </c>
      <c r="E331" t="s">
        <v>139</v>
      </c>
      <c r="F331" t="s">
        <v>13</v>
      </c>
      <c r="G331" t="s">
        <v>158</v>
      </c>
      <c r="H331" s="220" t="s">
        <v>463</v>
      </c>
    </row>
    <row r="332" spans="1:8">
      <c r="A332">
        <v>1</v>
      </c>
      <c r="B332" t="s">
        <v>145</v>
      </c>
      <c r="C332">
        <v>2014</v>
      </c>
      <c r="D332" t="s">
        <v>12</v>
      </c>
      <c r="E332" t="s">
        <v>139</v>
      </c>
      <c r="F332" t="s">
        <v>13</v>
      </c>
      <c r="G332" t="s">
        <v>154</v>
      </c>
      <c r="H332" s="220" t="s">
        <v>464</v>
      </c>
    </row>
    <row r="333" spans="1:8">
      <c r="A333">
        <v>2</v>
      </c>
      <c r="B333" t="s">
        <v>146</v>
      </c>
      <c r="C333">
        <v>2014</v>
      </c>
      <c r="D333" t="s">
        <v>12</v>
      </c>
      <c r="E333" t="s">
        <v>139</v>
      </c>
      <c r="F333" t="s">
        <v>13</v>
      </c>
      <c r="G333" t="s">
        <v>155</v>
      </c>
      <c r="H333" s="220" t="s">
        <v>465</v>
      </c>
    </row>
    <row r="334" spans="1:8">
      <c r="A334">
        <v>3</v>
      </c>
      <c r="B334" t="s">
        <v>147</v>
      </c>
      <c r="C334">
        <v>2014</v>
      </c>
      <c r="D334" t="s">
        <v>12</v>
      </c>
      <c r="E334" t="s">
        <v>139</v>
      </c>
      <c r="F334" t="s">
        <v>13</v>
      </c>
      <c r="G334" t="s">
        <v>156</v>
      </c>
      <c r="H334" s="220" t="s">
        <v>466</v>
      </c>
    </row>
    <row r="335" spans="1:8">
      <c r="A335">
        <v>4</v>
      </c>
      <c r="B335" t="s">
        <v>148</v>
      </c>
      <c r="C335">
        <v>2014</v>
      </c>
      <c r="D335" t="s">
        <v>12</v>
      </c>
      <c r="E335" t="s">
        <v>139</v>
      </c>
      <c r="F335" t="s">
        <v>13</v>
      </c>
      <c r="G335" t="s">
        <v>157</v>
      </c>
      <c r="H335" s="220" t="s">
        <v>467</v>
      </c>
    </row>
    <row r="336" spans="1:8">
      <c r="A336">
        <v>0</v>
      </c>
      <c r="B336" t="s">
        <v>34</v>
      </c>
      <c r="C336">
        <v>2014</v>
      </c>
      <c r="D336" t="s">
        <v>12</v>
      </c>
      <c r="E336" t="s">
        <v>139</v>
      </c>
      <c r="F336" t="s">
        <v>13</v>
      </c>
      <c r="G336" t="s">
        <v>158</v>
      </c>
      <c r="H336" s="220" t="s">
        <v>468</v>
      </c>
    </row>
    <row r="337" spans="1:8">
      <c r="A337">
        <v>1</v>
      </c>
      <c r="B337" t="s">
        <v>145</v>
      </c>
      <c r="C337">
        <v>2013</v>
      </c>
      <c r="D337" t="s">
        <v>12</v>
      </c>
      <c r="E337" t="s">
        <v>139</v>
      </c>
      <c r="F337" t="s">
        <v>13</v>
      </c>
      <c r="G337" t="s">
        <v>154</v>
      </c>
      <c r="H337" s="220" t="s">
        <v>35</v>
      </c>
    </row>
    <row r="338" spans="1:8">
      <c r="A338">
        <v>2</v>
      </c>
      <c r="B338" t="s">
        <v>146</v>
      </c>
      <c r="C338">
        <v>2013</v>
      </c>
      <c r="D338" t="s">
        <v>12</v>
      </c>
      <c r="E338" t="s">
        <v>139</v>
      </c>
      <c r="F338" t="s">
        <v>13</v>
      </c>
      <c r="G338" t="s">
        <v>155</v>
      </c>
      <c r="H338" s="220" t="s">
        <v>35</v>
      </c>
    </row>
    <row r="339" spans="1:8">
      <c r="A339">
        <v>3</v>
      </c>
      <c r="B339" t="s">
        <v>147</v>
      </c>
      <c r="C339">
        <v>2013</v>
      </c>
      <c r="D339" t="s">
        <v>12</v>
      </c>
      <c r="E339" t="s">
        <v>139</v>
      </c>
      <c r="F339" t="s">
        <v>13</v>
      </c>
      <c r="G339" t="s">
        <v>156</v>
      </c>
      <c r="H339" s="220" t="s">
        <v>35</v>
      </c>
    </row>
    <row r="340" spans="1:8">
      <c r="A340">
        <v>4</v>
      </c>
      <c r="B340" t="s">
        <v>148</v>
      </c>
      <c r="C340">
        <v>2013</v>
      </c>
      <c r="D340" t="s">
        <v>12</v>
      </c>
      <c r="E340" t="s">
        <v>139</v>
      </c>
      <c r="F340" t="s">
        <v>13</v>
      </c>
      <c r="G340" t="s">
        <v>157</v>
      </c>
      <c r="H340" s="220" t="s">
        <v>35</v>
      </c>
    </row>
    <row r="341" spans="1:8">
      <c r="A341">
        <v>0</v>
      </c>
      <c r="B341" t="s">
        <v>34</v>
      </c>
      <c r="C341">
        <v>2013</v>
      </c>
      <c r="D341" t="s">
        <v>12</v>
      </c>
      <c r="E341" t="s">
        <v>139</v>
      </c>
      <c r="F341" t="s">
        <v>13</v>
      </c>
      <c r="G341" t="s">
        <v>158</v>
      </c>
      <c r="H341" s="220" t="s">
        <v>35</v>
      </c>
    </row>
    <row r="342" spans="1:8">
      <c r="A342">
        <v>1</v>
      </c>
      <c r="B342" t="s">
        <v>145</v>
      </c>
      <c r="C342">
        <v>2012</v>
      </c>
      <c r="D342" t="s">
        <v>12</v>
      </c>
      <c r="E342" t="s">
        <v>139</v>
      </c>
      <c r="F342" t="s">
        <v>13</v>
      </c>
      <c r="G342" t="s">
        <v>154</v>
      </c>
      <c r="H342" s="220" t="s">
        <v>35</v>
      </c>
    </row>
    <row r="343" spans="1:8">
      <c r="A343">
        <v>2</v>
      </c>
      <c r="B343" t="s">
        <v>146</v>
      </c>
      <c r="C343">
        <v>2012</v>
      </c>
      <c r="D343" t="s">
        <v>12</v>
      </c>
      <c r="E343" t="s">
        <v>139</v>
      </c>
      <c r="F343" t="s">
        <v>13</v>
      </c>
      <c r="G343" t="s">
        <v>155</v>
      </c>
      <c r="H343" s="220" t="s">
        <v>35</v>
      </c>
    </row>
    <row r="344" spans="1:8">
      <c r="A344">
        <v>3</v>
      </c>
      <c r="B344" t="s">
        <v>147</v>
      </c>
      <c r="C344">
        <v>2012</v>
      </c>
      <c r="D344" t="s">
        <v>12</v>
      </c>
      <c r="E344" t="s">
        <v>139</v>
      </c>
      <c r="F344" t="s">
        <v>13</v>
      </c>
      <c r="G344" t="s">
        <v>156</v>
      </c>
      <c r="H344" s="220" t="s">
        <v>35</v>
      </c>
    </row>
    <row r="345" spans="1:8">
      <c r="A345">
        <v>4</v>
      </c>
      <c r="B345" t="s">
        <v>148</v>
      </c>
      <c r="C345">
        <v>2012</v>
      </c>
      <c r="D345" t="s">
        <v>12</v>
      </c>
      <c r="E345" t="s">
        <v>139</v>
      </c>
      <c r="F345" t="s">
        <v>13</v>
      </c>
      <c r="G345" t="s">
        <v>157</v>
      </c>
      <c r="H345" s="220" t="s">
        <v>35</v>
      </c>
    </row>
    <row r="346" spans="1:8">
      <c r="A346">
        <v>0</v>
      </c>
      <c r="B346" t="s">
        <v>34</v>
      </c>
      <c r="C346">
        <v>2012</v>
      </c>
      <c r="D346" t="s">
        <v>12</v>
      </c>
      <c r="E346" t="s">
        <v>139</v>
      </c>
      <c r="F346" t="s">
        <v>13</v>
      </c>
      <c r="G346" t="s">
        <v>158</v>
      </c>
      <c r="H346" s="220" t="s">
        <v>35</v>
      </c>
    </row>
    <row r="347" spans="1:8">
      <c r="A347">
        <v>1</v>
      </c>
      <c r="B347" t="s">
        <v>145</v>
      </c>
      <c r="C347">
        <v>2011</v>
      </c>
      <c r="D347" t="s">
        <v>12</v>
      </c>
      <c r="E347" t="s">
        <v>139</v>
      </c>
      <c r="F347" t="s">
        <v>13</v>
      </c>
      <c r="G347" t="s">
        <v>154</v>
      </c>
      <c r="H347" s="220" t="s">
        <v>35</v>
      </c>
    </row>
    <row r="348" spans="1:8">
      <c r="A348">
        <v>2</v>
      </c>
      <c r="B348" t="s">
        <v>146</v>
      </c>
      <c r="C348">
        <v>2011</v>
      </c>
      <c r="D348" t="s">
        <v>12</v>
      </c>
      <c r="E348" t="s">
        <v>139</v>
      </c>
      <c r="F348" t="s">
        <v>13</v>
      </c>
      <c r="G348" t="s">
        <v>155</v>
      </c>
      <c r="H348" s="220" t="s">
        <v>35</v>
      </c>
    </row>
    <row r="349" spans="1:8">
      <c r="A349">
        <v>3</v>
      </c>
      <c r="B349" t="s">
        <v>147</v>
      </c>
      <c r="C349">
        <v>2011</v>
      </c>
      <c r="D349" t="s">
        <v>12</v>
      </c>
      <c r="E349" t="s">
        <v>139</v>
      </c>
      <c r="F349" t="s">
        <v>13</v>
      </c>
      <c r="G349" t="s">
        <v>156</v>
      </c>
      <c r="H349" s="220" t="s">
        <v>35</v>
      </c>
    </row>
    <row r="350" spans="1:8">
      <c r="A350">
        <v>4</v>
      </c>
      <c r="B350" t="s">
        <v>148</v>
      </c>
      <c r="C350">
        <v>2011</v>
      </c>
      <c r="D350" t="s">
        <v>12</v>
      </c>
      <c r="E350" t="s">
        <v>139</v>
      </c>
      <c r="F350" t="s">
        <v>13</v>
      </c>
      <c r="G350" t="s">
        <v>157</v>
      </c>
      <c r="H350" s="220" t="s">
        <v>35</v>
      </c>
    </row>
    <row r="351" spans="1:8">
      <c r="A351">
        <v>0</v>
      </c>
      <c r="B351" t="s">
        <v>34</v>
      </c>
      <c r="C351">
        <v>2011</v>
      </c>
      <c r="D351" t="s">
        <v>12</v>
      </c>
      <c r="E351" t="s">
        <v>139</v>
      </c>
      <c r="F351" t="s">
        <v>13</v>
      </c>
      <c r="G351" t="s">
        <v>158</v>
      </c>
      <c r="H351" s="220" t="s">
        <v>35</v>
      </c>
    </row>
    <row r="352" spans="1:8">
      <c r="A352">
        <v>1</v>
      </c>
      <c r="B352" t="s">
        <v>145</v>
      </c>
      <c r="C352">
        <v>2010</v>
      </c>
      <c r="D352" t="s">
        <v>12</v>
      </c>
      <c r="E352" t="s">
        <v>139</v>
      </c>
      <c r="F352" t="s">
        <v>13</v>
      </c>
      <c r="G352" t="s">
        <v>154</v>
      </c>
      <c r="H352" s="220" t="s">
        <v>35</v>
      </c>
    </row>
    <row r="353" spans="1:8">
      <c r="A353">
        <v>2</v>
      </c>
      <c r="B353" t="s">
        <v>146</v>
      </c>
      <c r="C353">
        <v>2010</v>
      </c>
      <c r="D353" t="s">
        <v>12</v>
      </c>
      <c r="E353" t="s">
        <v>139</v>
      </c>
      <c r="F353" t="s">
        <v>13</v>
      </c>
      <c r="G353" t="s">
        <v>155</v>
      </c>
      <c r="H353" s="220" t="s">
        <v>35</v>
      </c>
    </row>
    <row r="354" spans="1:8">
      <c r="A354">
        <v>3</v>
      </c>
      <c r="B354" t="s">
        <v>147</v>
      </c>
      <c r="C354">
        <v>2010</v>
      </c>
      <c r="D354" t="s">
        <v>12</v>
      </c>
      <c r="E354" t="s">
        <v>139</v>
      </c>
      <c r="F354" t="s">
        <v>13</v>
      </c>
      <c r="G354" t="s">
        <v>156</v>
      </c>
      <c r="H354" s="220" t="s">
        <v>35</v>
      </c>
    </row>
    <row r="355" spans="1:8">
      <c r="A355">
        <v>4</v>
      </c>
      <c r="B355" t="s">
        <v>148</v>
      </c>
      <c r="C355">
        <v>2010</v>
      </c>
      <c r="D355" t="s">
        <v>12</v>
      </c>
      <c r="E355" t="s">
        <v>139</v>
      </c>
      <c r="F355" t="s">
        <v>13</v>
      </c>
      <c r="G355" t="s">
        <v>157</v>
      </c>
      <c r="H355" s="220" t="s">
        <v>35</v>
      </c>
    </row>
    <row r="356" spans="1:8">
      <c r="A356">
        <v>0</v>
      </c>
      <c r="B356" t="s">
        <v>34</v>
      </c>
      <c r="C356">
        <v>2010</v>
      </c>
      <c r="D356" t="s">
        <v>12</v>
      </c>
      <c r="E356" t="s">
        <v>139</v>
      </c>
      <c r="F356" t="s">
        <v>13</v>
      </c>
      <c r="G356" t="s">
        <v>158</v>
      </c>
      <c r="H356" s="220" t="s">
        <v>35</v>
      </c>
    </row>
    <row r="357" spans="1:8">
      <c r="A357">
        <v>1</v>
      </c>
      <c r="B357" t="s">
        <v>145</v>
      </c>
      <c r="C357">
        <v>2005</v>
      </c>
      <c r="D357" t="s">
        <v>12</v>
      </c>
      <c r="E357" t="s">
        <v>139</v>
      </c>
      <c r="F357" t="s">
        <v>13</v>
      </c>
      <c r="G357" t="s">
        <v>154</v>
      </c>
      <c r="H357" s="220" t="s">
        <v>35</v>
      </c>
    </row>
    <row r="358" spans="1:8">
      <c r="A358">
        <v>2</v>
      </c>
      <c r="B358" t="s">
        <v>146</v>
      </c>
      <c r="C358">
        <v>2005</v>
      </c>
      <c r="D358" t="s">
        <v>12</v>
      </c>
      <c r="E358" t="s">
        <v>139</v>
      </c>
      <c r="F358" t="s">
        <v>13</v>
      </c>
      <c r="G358" t="s">
        <v>155</v>
      </c>
      <c r="H358" s="220" t="s">
        <v>35</v>
      </c>
    </row>
    <row r="359" spans="1:8">
      <c r="A359">
        <v>3</v>
      </c>
      <c r="B359" t="s">
        <v>147</v>
      </c>
      <c r="C359">
        <v>2005</v>
      </c>
      <c r="D359" t="s">
        <v>12</v>
      </c>
      <c r="E359" t="s">
        <v>139</v>
      </c>
      <c r="F359" t="s">
        <v>13</v>
      </c>
      <c r="G359" t="s">
        <v>156</v>
      </c>
      <c r="H359" s="220" t="s">
        <v>35</v>
      </c>
    </row>
    <row r="360" spans="1:8">
      <c r="A360">
        <v>4</v>
      </c>
      <c r="B360" t="s">
        <v>148</v>
      </c>
      <c r="C360">
        <v>2005</v>
      </c>
      <c r="D360" t="s">
        <v>12</v>
      </c>
      <c r="E360" t="s">
        <v>139</v>
      </c>
      <c r="F360" t="s">
        <v>13</v>
      </c>
      <c r="G360" t="s">
        <v>157</v>
      </c>
      <c r="H360" s="220" t="s">
        <v>35</v>
      </c>
    </row>
    <row r="361" spans="1:8">
      <c r="A361">
        <v>0</v>
      </c>
      <c r="B361" t="s">
        <v>34</v>
      </c>
      <c r="C361">
        <v>2005</v>
      </c>
      <c r="D361" t="s">
        <v>12</v>
      </c>
      <c r="E361" t="s">
        <v>139</v>
      </c>
      <c r="F361" t="s">
        <v>13</v>
      </c>
      <c r="G361" t="s">
        <v>158</v>
      </c>
      <c r="H361" s="220" t="s">
        <v>35</v>
      </c>
    </row>
    <row r="362" spans="1:8">
      <c r="A362">
        <v>1</v>
      </c>
      <c r="B362" t="s">
        <v>145</v>
      </c>
      <c r="C362">
        <v>2020</v>
      </c>
      <c r="D362" t="s">
        <v>11</v>
      </c>
      <c r="E362" t="s">
        <v>7</v>
      </c>
      <c r="F362" t="s">
        <v>13</v>
      </c>
      <c r="G362" t="s">
        <v>154</v>
      </c>
      <c r="H362" s="220" t="s">
        <v>469</v>
      </c>
    </row>
    <row r="363" spans="1:8">
      <c r="A363">
        <v>2</v>
      </c>
      <c r="B363" t="s">
        <v>146</v>
      </c>
      <c r="C363">
        <v>2020</v>
      </c>
      <c r="D363" t="s">
        <v>11</v>
      </c>
      <c r="E363" t="s">
        <v>7</v>
      </c>
      <c r="F363" t="s">
        <v>13</v>
      </c>
      <c r="G363" t="s">
        <v>155</v>
      </c>
      <c r="H363" s="220" t="s">
        <v>470</v>
      </c>
    </row>
    <row r="364" spans="1:8">
      <c r="A364">
        <v>3</v>
      </c>
      <c r="B364" t="s">
        <v>147</v>
      </c>
      <c r="C364">
        <v>2020</v>
      </c>
      <c r="D364" t="s">
        <v>11</v>
      </c>
      <c r="E364" t="s">
        <v>7</v>
      </c>
      <c r="F364" t="s">
        <v>13</v>
      </c>
      <c r="G364" t="s">
        <v>156</v>
      </c>
      <c r="H364" s="220" t="s">
        <v>471</v>
      </c>
    </row>
    <row r="365" spans="1:8">
      <c r="A365">
        <v>4</v>
      </c>
      <c r="B365" t="s">
        <v>148</v>
      </c>
      <c r="C365">
        <v>2020</v>
      </c>
      <c r="D365" t="s">
        <v>11</v>
      </c>
      <c r="E365" t="s">
        <v>7</v>
      </c>
      <c r="F365" t="s">
        <v>13</v>
      </c>
      <c r="G365" t="s">
        <v>157</v>
      </c>
      <c r="H365" s="220" t="s">
        <v>472</v>
      </c>
    </row>
    <row r="366" spans="1:8">
      <c r="A366">
        <v>0</v>
      </c>
      <c r="B366" t="s">
        <v>34</v>
      </c>
      <c r="C366">
        <v>2020</v>
      </c>
      <c r="D366" t="s">
        <v>11</v>
      </c>
      <c r="E366" t="s">
        <v>7</v>
      </c>
      <c r="F366" t="s">
        <v>13</v>
      </c>
      <c r="G366" t="s">
        <v>158</v>
      </c>
      <c r="H366" s="220" t="s">
        <v>473</v>
      </c>
    </row>
    <row r="367" spans="1:8">
      <c r="A367">
        <v>1</v>
      </c>
      <c r="B367" t="s">
        <v>145</v>
      </c>
      <c r="C367">
        <v>2019</v>
      </c>
      <c r="D367" t="s">
        <v>11</v>
      </c>
      <c r="E367" t="s">
        <v>7</v>
      </c>
      <c r="F367" t="s">
        <v>13</v>
      </c>
      <c r="G367" t="s">
        <v>154</v>
      </c>
      <c r="H367" s="220" t="s">
        <v>474</v>
      </c>
    </row>
    <row r="368" spans="1:8">
      <c r="A368">
        <v>2</v>
      </c>
      <c r="B368" t="s">
        <v>146</v>
      </c>
      <c r="C368">
        <v>2019</v>
      </c>
      <c r="D368" t="s">
        <v>11</v>
      </c>
      <c r="E368" t="s">
        <v>7</v>
      </c>
      <c r="F368" t="s">
        <v>13</v>
      </c>
      <c r="G368" t="s">
        <v>155</v>
      </c>
      <c r="H368" s="220" t="s">
        <v>475</v>
      </c>
    </row>
    <row r="369" spans="1:8">
      <c r="A369">
        <v>3</v>
      </c>
      <c r="B369" t="s">
        <v>147</v>
      </c>
      <c r="C369">
        <v>2019</v>
      </c>
      <c r="D369" t="s">
        <v>11</v>
      </c>
      <c r="E369" t="s">
        <v>7</v>
      </c>
      <c r="F369" t="s">
        <v>13</v>
      </c>
      <c r="G369" t="s">
        <v>156</v>
      </c>
      <c r="H369" s="220" t="s">
        <v>476</v>
      </c>
    </row>
    <row r="370" spans="1:8">
      <c r="A370">
        <v>4</v>
      </c>
      <c r="B370" t="s">
        <v>148</v>
      </c>
      <c r="C370">
        <v>2019</v>
      </c>
      <c r="D370" t="s">
        <v>11</v>
      </c>
      <c r="E370" t="s">
        <v>7</v>
      </c>
      <c r="F370" t="s">
        <v>13</v>
      </c>
      <c r="G370" t="s">
        <v>157</v>
      </c>
      <c r="H370" s="220" t="s">
        <v>477</v>
      </c>
    </row>
    <row r="371" spans="1:8">
      <c r="A371">
        <v>0</v>
      </c>
      <c r="B371" t="s">
        <v>34</v>
      </c>
      <c r="C371">
        <v>2019</v>
      </c>
      <c r="D371" t="s">
        <v>11</v>
      </c>
      <c r="E371" t="s">
        <v>7</v>
      </c>
      <c r="F371" t="s">
        <v>13</v>
      </c>
      <c r="G371" t="s">
        <v>158</v>
      </c>
      <c r="H371" s="220" t="s">
        <v>478</v>
      </c>
    </row>
    <row r="372" spans="1:8">
      <c r="A372">
        <v>1</v>
      </c>
      <c r="B372" t="s">
        <v>145</v>
      </c>
      <c r="C372">
        <v>2018</v>
      </c>
      <c r="D372" t="s">
        <v>11</v>
      </c>
      <c r="E372" t="s">
        <v>7</v>
      </c>
      <c r="F372" t="s">
        <v>13</v>
      </c>
      <c r="G372" t="s">
        <v>154</v>
      </c>
      <c r="H372" s="220" t="s">
        <v>479</v>
      </c>
    </row>
    <row r="373" spans="1:8">
      <c r="A373">
        <v>2</v>
      </c>
      <c r="B373" t="s">
        <v>146</v>
      </c>
      <c r="C373">
        <v>2018</v>
      </c>
      <c r="D373" t="s">
        <v>11</v>
      </c>
      <c r="E373" t="s">
        <v>7</v>
      </c>
      <c r="F373" t="s">
        <v>13</v>
      </c>
      <c r="G373" t="s">
        <v>155</v>
      </c>
      <c r="H373" s="220" t="s">
        <v>480</v>
      </c>
    </row>
    <row r="374" spans="1:8">
      <c r="A374">
        <v>3</v>
      </c>
      <c r="B374" t="s">
        <v>147</v>
      </c>
      <c r="C374">
        <v>2018</v>
      </c>
      <c r="D374" t="s">
        <v>11</v>
      </c>
      <c r="E374" t="s">
        <v>7</v>
      </c>
      <c r="F374" t="s">
        <v>13</v>
      </c>
      <c r="G374" t="s">
        <v>156</v>
      </c>
      <c r="H374" s="220" t="s">
        <v>481</v>
      </c>
    </row>
    <row r="375" spans="1:8">
      <c r="A375">
        <v>4</v>
      </c>
      <c r="B375" t="s">
        <v>148</v>
      </c>
      <c r="C375">
        <v>2018</v>
      </c>
      <c r="D375" t="s">
        <v>11</v>
      </c>
      <c r="E375" t="s">
        <v>7</v>
      </c>
      <c r="F375" t="s">
        <v>13</v>
      </c>
      <c r="G375" t="s">
        <v>157</v>
      </c>
      <c r="H375" s="220" t="s">
        <v>482</v>
      </c>
    </row>
    <row r="376" spans="1:8">
      <c r="A376">
        <v>0</v>
      </c>
      <c r="B376" t="s">
        <v>34</v>
      </c>
      <c r="C376">
        <v>2018</v>
      </c>
      <c r="D376" t="s">
        <v>11</v>
      </c>
      <c r="E376" t="s">
        <v>7</v>
      </c>
      <c r="F376" t="s">
        <v>13</v>
      </c>
      <c r="G376" t="s">
        <v>158</v>
      </c>
      <c r="H376" s="220" t="s">
        <v>483</v>
      </c>
    </row>
    <row r="377" spans="1:8">
      <c r="A377">
        <v>1</v>
      </c>
      <c r="B377" t="s">
        <v>145</v>
      </c>
      <c r="C377">
        <v>2017</v>
      </c>
      <c r="D377" t="s">
        <v>11</v>
      </c>
      <c r="E377" t="s">
        <v>7</v>
      </c>
      <c r="F377" t="s">
        <v>13</v>
      </c>
      <c r="G377" t="s">
        <v>154</v>
      </c>
      <c r="H377" s="220" t="s">
        <v>484</v>
      </c>
    </row>
    <row r="378" spans="1:8">
      <c r="A378">
        <v>2</v>
      </c>
      <c r="B378" t="s">
        <v>146</v>
      </c>
      <c r="C378">
        <v>2017</v>
      </c>
      <c r="D378" t="s">
        <v>11</v>
      </c>
      <c r="E378" t="s">
        <v>7</v>
      </c>
      <c r="F378" t="s">
        <v>13</v>
      </c>
      <c r="G378" t="s">
        <v>155</v>
      </c>
      <c r="H378" s="220" t="s">
        <v>485</v>
      </c>
    </row>
    <row r="379" spans="1:8">
      <c r="A379">
        <v>3</v>
      </c>
      <c r="B379" t="s">
        <v>147</v>
      </c>
      <c r="C379">
        <v>2017</v>
      </c>
      <c r="D379" t="s">
        <v>11</v>
      </c>
      <c r="E379" t="s">
        <v>7</v>
      </c>
      <c r="F379" t="s">
        <v>13</v>
      </c>
      <c r="G379" t="s">
        <v>156</v>
      </c>
      <c r="H379" s="220" t="s">
        <v>486</v>
      </c>
    </row>
    <row r="380" spans="1:8">
      <c r="A380">
        <v>4</v>
      </c>
      <c r="B380" t="s">
        <v>148</v>
      </c>
      <c r="C380">
        <v>2017</v>
      </c>
      <c r="D380" t="s">
        <v>11</v>
      </c>
      <c r="E380" t="s">
        <v>7</v>
      </c>
      <c r="F380" t="s">
        <v>13</v>
      </c>
      <c r="G380" t="s">
        <v>157</v>
      </c>
      <c r="H380" s="220" t="s">
        <v>487</v>
      </c>
    </row>
    <row r="381" spans="1:8">
      <c r="A381">
        <v>0</v>
      </c>
      <c r="B381" t="s">
        <v>34</v>
      </c>
      <c r="C381">
        <v>2017</v>
      </c>
      <c r="D381" t="s">
        <v>11</v>
      </c>
      <c r="E381" t="s">
        <v>7</v>
      </c>
      <c r="F381" t="s">
        <v>13</v>
      </c>
      <c r="G381" t="s">
        <v>158</v>
      </c>
      <c r="H381" s="220" t="s">
        <v>488</v>
      </c>
    </row>
    <row r="382" spans="1:8">
      <c r="A382">
        <v>1</v>
      </c>
      <c r="B382" t="s">
        <v>145</v>
      </c>
      <c r="C382">
        <v>2016</v>
      </c>
      <c r="D382" t="s">
        <v>11</v>
      </c>
      <c r="E382" t="s">
        <v>7</v>
      </c>
      <c r="F382" t="s">
        <v>13</v>
      </c>
      <c r="G382" t="s">
        <v>154</v>
      </c>
      <c r="H382" s="220" t="s">
        <v>489</v>
      </c>
    </row>
    <row r="383" spans="1:8">
      <c r="A383">
        <v>2</v>
      </c>
      <c r="B383" t="s">
        <v>146</v>
      </c>
      <c r="C383">
        <v>2016</v>
      </c>
      <c r="D383" t="s">
        <v>11</v>
      </c>
      <c r="E383" t="s">
        <v>7</v>
      </c>
      <c r="F383" t="s">
        <v>13</v>
      </c>
      <c r="G383" t="s">
        <v>155</v>
      </c>
      <c r="H383" s="220" t="s">
        <v>490</v>
      </c>
    </row>
    <row r="384" spans="1:8">
      <c r="A384">
        <v>3</v>
      </c>
      <c r="B384" t="s">
        <v>147</v>
      </c>
      <c r="C384">
        <v>2016</v>
      </c>
      <c r="D384" t="s">
        <v>11</v>
      </c>
      <c r="E384" t="s">
        <v>7</v>
      </c>
      <c r="F384" t="s">
        <v>13</v>
      </c>
      <c r="G384" t="s">
        <v>156</v>
      </c>
      <c r="H384" s="220" t="s">
        <v>491</v>
      </c>
    </row>
    <row r="385" spans="1:8">
      <c r="A385">
        <v>4</v>
      </c>
      <c r="B385" t="s">
        <v>148</v>
      </c>
      <c r="C385">
        <v>2016</v>
      </c>
      <c r="D385" t="s">
        <v>11</v>
      </c>
      <c r="E385" t="s">
        <v>7</v>
      </c>
      <c r="F385" t="s">
        <v>13</v>
      </c>
      <c r="G385" t="s">
        <v>157</v>
      </c>
      <c r="H385" s="220" t="s">
        <v>492</v>
      </c>
    </row>
    <row r="386" spans="1:8">
      <c r="A386">
        <v>0</v>
      </c>
      <c r="B386" t="s">
        <v>34</v>
      </c>
      <c r="C386">
        <v>2016</v>
      </c>
      <c r="D386" t="s">
        <v>11</v>
      </c>
      <c r="E386" t="s">
        <v>7</v>
      </c>
      <c r="F386" t="s">
        <v>13</v>
      </c>
      <c r="G386" t="s">
        <v>158</v>
      </c>
      <c r="H386" s="220" t="s">
        <v>493</v>
      </c>
    </row>
    <row r="387" spans="1:8">
      <c r="A387">
        <v>1</v>
      </c>
      <c r="B387" t="s">
        <v>145</v>
      </c>
      <c r="C387">
        <v>2015</v>
      </c>
      <c r="D387" t="s">
        <v>11</v>
      </c>
      <c r="E387" t="s">
        <v>7</v>
      </c>
      <c r="F387" t="s">
        <v>13</v>
      </c>
      <c r="G387" t="s">
        <v>154</v>
      </c>
      <c r="H387" s="220" t="s">
        <v>494</v>
      </c>
    </row>
    <row r="388" spans="1:8">
      <c r="A388">
        <v>2</v>
      </c>
      <c r="B388" t="s">
        <v>146</v>
      </c>
      <c r="C388">
        <v>2015</v>
      </c>
      <c r="D388" t="s">
        <v>11</v>
      </c>
      <c r="E388" t="s">
        <v>7</v>
      </c>
      <c r="F388" t="s">
        <v>13</v>
      </c>
      <c r="G388" t="s">
        <v>155</v>
      </c>
      <c r="H388" s="220" t="s">
        <v>495</v>
      </c>
    </row>
    <row r="389" spans="1:8">
      <c r="A389">
        <v>3</v>
      </c>
      <c r="B389" t="s">
        <v>147</v>
      </c>
      <c r="C389">
        <v>2015</v>
      </c>
      <c r="D389" t="s">
        <v>11</v>
      </c>
      <c r="E389" t="s">
        <v>7</v>
      </c>
      <c r="F389" t="s">
        <v>13</v>
      </c>
      <c r="G389" t="s">
        <v>156</v>
      </c>
      <c r="H389" s="220" t="s">
        <v>496</v>
      </c>
    </row>
    <row r="390" spans="1:8">
      <c r="A390">
        <v>4</v>
      </c>
      <c r="B390" t="s">
        <v>148</v>
      </c>
      <c r="C390">
        <v>2015</v>
      </c>
      <c r="D390" t="s">
        <v>11</v>
      </c>
      <c r="E390" t="s">
        <v>7</v>
      </c>
      <c r="F390" t="s">
        <v>13</v>
      </c>
      <c r="G390" t="s">
        <v>157</v>
      </c>
      <c r="H390" s="220" t="s">
        <v>497</v>
      </c>
    </row>
    <row r="391" spans="1:8">
      <c r="A391">
        <v>0</v>
      </c>
      <c r="B391" t="s">
        <v>34</v>
      </c>
      <c r="C391">
        <v>2015</v>
      </c>
      <c r="D391" t="s">
        <v>11</v>
      </c>
      <c r="E391" t="s">
        <v>7</v>
      </c>
      <c r="F391" t="s">
        <v>13</v>
      </c>
      <c r="G391" t="s">
        <v>158</v>
      </c>
      <c r="H391" s="220" t="s">
        <v>498</v>
      </c>
    </row>
    <row r="392" spans="1:8">
      <c r="A392">
        <v>1</v>
      </c>
      <c r="B392" t="s">
        <v>145</v>
      </c>
      <c r="C392">
        <v>2014</v>
      </c>
      <c r="D392" t="s">
        <v>11</v>
      </c>
      <c r="E392" t="s">
        <v>7</v>
      </c>
      <c r="F392" t="s">
        <v>13</v>
      </c>
      <c r="G392" t="s">
        <v>154</v>
      </c>
      <c r="H392" s="220" t="s">
        <v>499</v>
      </c>
    </row>
    <row r="393" spans="1:8">
      <c r="A393">
        <v>2</v>
      </c>
      <c r="B393" t="s">
        <v>146</v>
      </c>
      <c r="C393">
        <v>2014</v>
      </c>
      <c r="D393" t="s">
        <v>11</v>
      </c>
      <c r="E393" t="s">
        <v>7</v>
      </c>
      <c r="F393" t="s">
        <v>13</v>
      </c>
      <c r="G393" t="s">
        <v>155</v>
      </c>
      <c r="H393" s="220" t="s">
        <v>500</v>
      </c>
    </row>
    <row r="394" spans="1:8">
      <c r="A394">
        <v>3</v>
      </c>
      <c r="B394" t="s">
        <v>147</v>
      </c>
      <c r="C394">
        <v>2014</v>
      </c>
      <c r="D394" t="s">
        <v>11</v>
      </c>
      <c r="E394" t="s">
        <v>7</v>
      </c>
      <c r="F394" t="s">
        <v>13</v>
      </c>
      <c r="G394" t="s">
        <v>156</v>
      </c>
      <c r="H394" s="220" t="s">
        <v>501</v>
      </c>
    </row>
    <row r="395" spans="1:8">
      <c r="A395">
        <v>4</v>
      </c>
      <c r="B395" t="s">
        <v>148</v>
      </c>
      <c r="C395">
        <v>2014</v>
      </c>
      <c r="D395" t="s">
        <v>11</v>
      </c>
      <c r="E395" t="s">
        <v>7</v>
      </c>
      <c r="F395" t="s">
        <v>13</v>
      </c>
      <c r="G395" t="s">
        <v>157</v>
      </c>
      <c r="H395" s="220" t="s">
        <v>502</v>
      </c>
    </row>
    <row r="396" spans="1:8">
      <c r="A396">
        <v>0</v>
      </c>
      <c r="B396" t="s">
        <v>34</v>
      </c>
      <c r="C396">
        <v>2014</v>
      </c>
      <c r="D396" t="s">
        <v>11</v>
      </c>
      <c r="E396" t="s">
        <v>7</v>
      </c>
      <c r="F396" t="s">
        <v>13</v>
      </c>
      <c r="G396" t="s">
        <v>158</v>
      </c>
      <c r="H396" s="220" t="s">
        <v>503</v>
      </c>
    </row>
    <row r="397" spans="1:8">
      <c r="A397">
        <v>1</v>
      </c>
      <c r="B397" t="s">
        <v>145</v>
      </c>
      <c r="C397">
        <v>2013</v>
      </c>
      <c r="D397" t="s">
        <v>11</v>
      </c>
      <c r="E397" t="s">
        <v>7</v>
      </c>
      <c r="F397" t="s">
        <v>13</v>
      </c>
      <c r="G397" t="s">
        <v>154</v>
      </c>
      <c r="H397" s="220" t="s">
        <v>504</v>
      </c>
    </row>
    <row r="398" spans="1:8">
      <c r="A398">
        <v>2</v>
      </c>
      <c r="B398" t="s">
        <v>146</v>
      </c>
      <c r="C398">
        <v>2013</v>
      </c>
      <c r="D398" t="s">
        <v>11</v>
      </c>
      <c r="E398" t="s">
        <v>7</v>
      </c>
      <c r="F398" t="s">
        <v>13</v>
      </c>
      <c r="G398" t="s">
        <v>155</v>
      </c>
      <c r="H398" s="220" t="s">
        <v>505</v>
      </c>
    </row>
    <row r="399" spans="1:8">
      <c r="A399">
        <v>3</v>
      </c>
      <c r="B399" t="s">
        <v>147</v>
      </c>
      <c r="C399">
        <v>2013</v>
      </c>
      <c r="D399" t="s">
        <v>11</v>
      </c>
      <c r="E399" t="s">
        <v>7</v>
      </c>
      <c r="F399" t="s">
        <v>13</v>
      </c>
      <c r="G399" t="s">
        <v>156</v>
      </c>
      <c r="H399" s="220" t="s">
        <v>506</v>
      </c>
    </row>
    <row r="400" spans="1:8">
      <c r="A400">
        <v>4</v>
      </c>
      <c r="B400" t="s">
        <v>148</v>
      </c>
      <c r="C400">
        <v>2013</v>
      </c>
      <c r="D400" t="s">
        <v>11</v>
      </c>
      <c r="E400" t="s">
        <v>7</v>
      </c>
      <c r="F400" t="s">
        <v>13</v>
      </c>
      <c r="G400" t="s">
        <v>157</v>
      </c>
      <c r="H400" s="220" t="s">
        <v>507</v>
      </c>
    </row>
    <row r="401" spans="1:8">
      <c r="A401">
        <v>0</v>
      </c>
      <c r="B401" t="s">
        <v>34</v>
      </c>
      <c r="C401">
        <v>2013</v>
      </c>
      <c r="D401" t="s">
        <v>11</v>
      </c>
      <c r="E401" t="s">
        <v>7</v>
      </c>
      <c r="F401" t="s">
        <v>13</v>
      </c>
      <c r="G401" t="s">
        <v>158</v>
      </c>
      <c r="H401" s="220" t="s">
        <v>508</v>
      </c>
    </row>
    <row r="402" spans="1:8">
      <c r="A402">
        <v>1</v>
      </c>
      <c r="B402" t="s">
        <v>145</v>
      </c>
      <c r="C402">
        <v>2012</v>
      </c>
      <c r="D402" t="s">
        <v>11</v>
      </c>
      <c r="E402" t="s">
        <v>7</v>
      </c>
      <c r="F402" t="s">
        <v>13</v>
      </c>
      <c r="G402" t="s">
        <v>154</v>
      </c>
      <c r="H402" s="220" t="s">
        <v>509</v>
      </c>
    </row>
    <row r="403" spans="1:8">
      <c r="A403">
        <v>2</v>
      </c>
      <c r="B403" t="s">
        <v>146</v>
      </c>
      <c r="C403">
        <v>2012</v>
      </c>
      <c r="D403" t="s">
        <v>11</v>
      </c>
      <c r="E403" t="s">
        <v>7</v>
      </c>
      <c r="F403" t="s">
        <v>13</v>
      </c>
      <c r="G403" t="s">
        <v>155</v>
      </c>
      <c r="H403" s="220" t="s">
        <v>510</v>
      </c>
    </row>
    <row r="404" spans="1:8">
      <c r="A404">
        <v>3</v>
      </c>
      <c r="B404" t="s">
        <v>147</v>
      </c>
      <c r="C404">
        <v>2012</v>
      </c>
      <c r="D404" t="s">
        <v>11</v>
      </c>
      <c r="E404" t="s">
        <v>7</v>
      </c>
      <c r="F404" t="s">
        <v>13</v>
      </c>
      <c r="G404" t="s">
        <v>156</v>
      </c>
      <c r="H404" s="220" t="s">
        <v>511</v>
      </c>
    </row>
    <row r="405" spans="1:8">
      <c r="A405">
        <v>4</v>
      </c>
      <c r="B405" t="s">
        <v>148</v>
      </c>
      <c r="C405">
        <v>2012</v>
      </c>
      <c r="D405" t="s">
        <v>11</v>
      </c>
      <c r="E405" t="s">
        <v>7</v>
      </c>
      <c r="F405" t="s">
        <v>13</v>
      </c>
      <c r="G405" t="s">
        <v>157</v>
      </c>
      <c r="H405" s="220" t="s">
        <v>512</v>
      </c>
    </row>
    <row r="406" spans="1:8">
      <c r="A406">
        <v>0</v>
      </c>
      <c r="B406" t="s">
        <v>34</v>
      </c>
      <c r="C406">
        <v>2012</v>
      </c>
      <c r="D406" t="s">
        <v>11</v>
      </c>
      <c r="E406" t="s">
        <v>7</v>
      </c>
      <c r="F406" t="s">
        <v>13</v>
      </c>
      <c r="G406" t="s">
        <v>158</v>
      </c>
      <c r="H406" s="220" t="s">
        <v>513</v>
      </c>
    </row>
    <row r="407" spans="1:8">
      <c r="A407">
        <v>1</v>
      </c>
      <c r="B407" t="s">
        <v>145</v>
      </c>
      <c r="C407">
        <v>2011</v>
      </c>
      <c r="D407" t="s">
        <v>11</v>
      </c>
      <c r="E407" t="s">
        <v>7</v>
      </c>
      <c r="F407" t="s">
        <v>13</v>
      </c>
      <c r="G407" t="s">
        <v>154</v>
      </c>
      <c r="H407" s="220" t="s">
        <v>514</v>
      </c>
    </row>
    <row r="408" spans="1:8">
      <c r="A408">
        <v>2</v>
      </c>
      <c r="B408" t="s">
        <v>146</v>
      </c>
      <c r="C408">
        <v>2011</v>
      </c>
      <c r="D408" t="s">
        <v>11</v>
      </c>
      <c r="E408" t="s">
        <v>7</v>
      </c>
      <c r="F408" t="s">
        <v>13</v>
      </c>
      <c r="G408" t="s">
        <v>155</v>
      </c>
      <c r="H408" s="220" t="s">
        <v>515</v>
      </c>
    </row>
    <row r="409" spans="1:8">
      <c r="A409">
        <v>3</v>
      </c>
      <c r="B409" t="s">
        <v>147</v>
      </c>
      <c r="C409">
        <v>2011</v>
      </c>
      <c r="D409" t="s">
        <v>11</v>
      </c>
      <c r="E409" t="s">
        <v>7</v>
      </c>
      <c r="F409" t="s">
        <v>13</v>
      </c>
      <c r="G409" t="s">
        <v>156</v>
      </c>
      <c r="H409" s="220" t="s">
        <v>516</v>
      </c>
    </row>
    <row r="410" spans="1:8">
      <c r="A410">
        <v>4</v>
      </c>
      <c r="B410" t="s">
        <v>148</v>
      </c>
      <c r="C410">
        <v>2011</v>
      </c>
      <c r="D410" t="s">
        <v>11</v>
      </c>
      <c r="E410" t="s">
        <v>7</v>
      </c>
      <c r="F410" t="s">
        <v>13</v>
      </c>
      <c r="G410" t="s">
        <v>157</v>
      </c>
      <c r="H410" s="220" t="s">
        <v>517</v>
      </c>
    </row>
    <row r="411" spans="1:8">
      <c r="A411">
        <v>0</v>
      </c>
      <c r="B411" t="s">
        <v>34</v>
      </c>
      <c r="C411">
        <v>2011</v>
      </c>
      <c r="D411" t="s">
        <v>11</v>
      </c>
      <c r="E411" t="s">
        <v>7</v>
      </c>
      <c r="F411" t="s">
        <v>13</v>
      </c>
      <c r="G411" t="s">
        <v>158</v>
      </c>
      <c r="H411" s="220" t="s">
        <v>518</v>
      </c>
    </row>
    <row r="412" spans="1:8">
      <c r="A412">
        <v>1</v>
      </c>
      <c r="B412" t="s">
        <v>145</v>
      </c>
      <c r="C412">
        <v>2010</v>
      </c>
      <c r="D412" t="s">
        <v>11</v>
      </c>
      <c r="E412" t="s">
        <v>7</v>
      </c>
      <c r="F412" t="s">
        <v>13</v>
      </c>
      <c r="G412" t="s">
        <v>154</v>
      </c>
      <c r="H412" s="220" t="s">
        <v>519</v>
      </c>
    </row>
    <row r="413" spans="1:8">
      <c r="A413">
        <v>2</v>
      </c>
      <c r="B413" t="s">
        <v>146</v>
      </c>
      <c r="C413">
        <v>2010</v>
      </c>
      <c r="D413" t="s">
        <v>11</v>
      </c>
      <c r="E413" t="s">
        <v>7</v>
      </c>
      <c r="F413" t="s">
        <v>13</v>
      </c>
      <c r="G413" t="s">
        <v>155</v>
      </c>
      <c r="H413" s="220" t="s">
        <v>520</v>
      </c>
    </row>
    <row r="414" spans="1:8">
      <c r="A414">
        <v>3</v>
      </c>
      <c r="B414" t="s">
        <v>147</v>
      </c>
      <c r="C414">
        <v>2010</v>
      </c>
      <c r="D414" t="s">
        <v>11</v>
      </c>
      <c r="E414" t="s">
        <v>7</v>
      </c>
      <c r="F414" t="s">
        <v>13</v>
      </c>
      <c r="G414" t="s">
        <v>156</v>
      </c>
      <c r="H414" s="220" t="s">
        <v>521</v>
      </c>
    </row>
    <row r="415" spans="1:8">
      <c r="A415">
        <v>4</v>
      </c>
      <c r="B415" t="s">
        <v>148</v>
      </c>
      <c r="C415">
        <v>2010</v>
      </c>
      <c r="D415" t="s">
        <v>11</v>
      </c>
      <c r="E415" t="s">
        <v>7</v>
      </c>
      <c r="F415" t="s">
        <v>13</v>
      </c>
      <c r="G415" t="s">
        <v>157</v>
      </c>
      <c r="H415" s="220" t="s">
        <v>522</v>
      </c>
    </row>
    <row r="416" spans="1:8">
      <c r="A416">
        <v>0</v>
      </c>
      <c r="B416" t="s">
        <v>34</v>
      </c>
      <c r="C416">
        <v>2010</v>
      </c>
      <c r="D416" t="s">
        <v>11</v>
      </c>
      <c r="E416" t="s">
        <v>7</v>
      </c>
      <c r="F416" t="s">
        <v>13</v>
      </c>
      <c r="G416" t="s">
        <v>158</v>
      </c>
      <c r="H416" s="220" t="s">
        <v>523</v>
      </c>
    </row>
    <row r="417" spans="1:8">
      <c r="A417">
        <v>1</v>
      </c>
      <c r="B417" t="s">
        <v>145</v>
      </c>
      <c r="C417">
        <v>2005</v>
      </c>
      <c r="D417" t="s">
        <v>11</v>
      </c>
      <c r="E417" t="s">
        <v>7</v>
      </c>
      <c r="F417" t="s">
        <v>13</v>
      </c>
      <c r="G417" t="s">
        <v>154</v>
      </c>
      <c r="H417" s="220" t="s">
        <v>524</v>
      </c>
    </row>
    <row r="418" spans="1:8">
      <c r="A418">
        <v>2</v>
      </c>
      <c r="B418" t="s">
        <v>146</v>
      </c>
      <c r="C418">
        <v>2005</v>
      </c>
      <c r="D418" t="s">
        <v>11</v>
      </c>
      <c r="E418" t="s">
        <v>7</v>
      </c>
      <c r="F418" t="s">
        <v>13</v>
      </c>
      <c r="G418" t="s">
        <v>155</v>
      </c>
      <c r="H418" s="220" t="s">
        <v>525</v>
      </c>
    </row>
    <row r="419" spans="1:8">
      <c r="A419">
        <v>3</v>
      </c>
      <c r="B419" t="s">
        <v>147</v>
      </c>
      <c r="C419">
        <v>2005</v>
      </c>
      <c r="D419" t="s">
        <v>11</v>
      </c>
      <c r="E419" t="s">
        <v>7</v>
      </c>
      <c r="F419" t="s">
        <v>13</v>
      </c>
      <c r="G419" t="s">
        <v>156</v>
      </c>
      <c r="H419" s="220" t="s">
        <v>526</v>
      </c>
    </row>
    <row r="420" spans="1:8">
      <c r="A420">
        <v>4</v>
      </c>
      <c r="B420" t="s">
        <v>148</v>
      </c>
      <c r="C420">
        <v>2005</v>
      </c>
      <c r="D420" t="s">
        <v>11</v>
      </c>
      <c r="E420" t="s">
        <v>7</v>
      </c>
      <c r="F420" t="s">
        <v>13</v>
      </c>
      <c r="G420" t="s">
        <v>157</v>
      </c>
      <c r="H420" s="220" t="s">
        <v>527</v>
      </c>
    </row>
    <row r="421" spans="1:8">
      <c r="A421">
        <v>0</v>
      </c>
      <c r="B421" t="s">
        <v>34</v>
      </c>
      <c r="C421">
        <v>2005</v>
      </c>
      <c r="D421" t="s">
        <v>11</v>
      </c>
      <c r="E421" t="s">
        <v>7</v>
      </c>
      <c r="F421" t="s">
        <v>13</v>
      </c>
      <c r="G421" t="s">
        <v>158</v>
      </c>
      <c r="H421" s="220" t="s">
        <v>528</v>
      </c>
    </row>
    <row r="422" spans="1:8">
      <c r="A422">
        <v>1</v>
      </c>
      <c r="B422" t="s">
        <v>145</v>
      </c>
      <c r="C422">
        <v>2020</v>
      </c>
      <c r="D422" t="s">
        <v>12</v>
      </c>
      <c r="E422" t="s">
        <v>7</v>
      </c>
      <c r="F422" t="s">
        <v>13</v>
      </c>
      <c r="G422" t="s">
        <v>154</v>
      </c>
      <c r="H422" s="220" t="s">
        <v>529</v>
      </c>
    </row>
    <row r="423" spans="1:8">
      <c r="A423">
        <v>2</v>
      </c>
      <c r="B423" t="s">
        <v>146</v>
      </c>
      <c r="C423">
        <v>2020</v>
      </c>
      <c r="D423" t="s">
        <v>12</v>
      </c>
      <c r="E423" t="s">
        <v>7</v>
      </c>
      <c r="F423" t="s">
        <v>13</v>
      </c>
      <c r="G423" t="s">
        <v>155</v>
      </c>
      <c r="H423" s="220" t="s">
        <v>530</v>
      </c>
    </row>
    <row r="424" spans="1:8">
      <c r="A424">
        <v>3</v>
      </c>
      <c r="B424" t="s">
        <v>147</v>
      </c>
      <c r="C424">
        <v>2020</v>
      </c>
      <c r="D424" t="s">
        <v>12</v>
      </c>
      <c r="E424" t="s">
        <v>7</v>
      </c>
      <c r="F424" t="s">
        <v>13</v>
      </c>
      <c r="G424" t="s">
        <v>156</v>
      </c>
      <c r="H424" s="220" t="s">
        <v>531</v>
      </c>
    </row>
    <row r="425" spans="1:8">
      <c r="A425">
        <v>4</v>
      </c>
      <c r="B425" t="s">
        <v>148</v>
      </c>
      <c r="C425">
        <v>2020</v>
      </c>
      <c r="D425" t="s">
        <v>12</v>
      </c>
      <c r="E425" t="s">
        <v>7</v>
      </c>
      <c r="F425" t="s">
        <v>13</v>
      </c>
      <c r="G425" t="s">
        <v>157</v>
      </c>
      <c r="H425" s="220" t="s">
        <v>532</v>
      </c>
    </row>
    <row r="426" spans="1:8">
      <c r="A426">
        <v>0</v>
      </c>
      <c r="B426" t="s">
        <v>34</v>
      </c>
      <c r="C426">
        <v>2020</v>
      </c>
      <c r="D426" t="s">
        <v>12</v>
      </c>
      <c r="E426" t="s">
        <v>7</v>
      </c>
      <c r="F426" t="s">
        <v>13</v>
      </c>
      <c r="G426" t="s">
        <v>158</v>
      </c>
      <c r="H426" s="220" t="s">
        <v>533</v>
      </c>
    </row>
    <row r="427" spans="1:8">
      <c r="A427">
        <v>1</v>
      </c>
      <c r="B427" t="s">
        <v>145</v>
      </c>
      <c r="C427">
        <v>2019</v>
      </c>
      <c r="D427" t="s">
        <v>12</v>
      </c>
      <c r="E427" t="s">
        <v>7</v>
      </c>
      <c r="F427" t="s">
        <v>13</v>
      </c>
      <c r="G427" t="s">
        <v>154</v>
      </c>
      <c r="H427" s="220" t="s">
        <v>534</v>
      </c>
    </row>
    <row r="428" spans="1:8">
      <c r="A428">
        <v>2</v>
      </c>
      <c r="B428" t="s">
        <v>146</v>
      </c>
      <c r="C428">
        <v>2019</v>
      </c>
      <c r="D428" t="s">
        <v>12</v>
      </c>
      <c r="E428" t="s">
        <v>7</v>
      </c>
      <c r="F428" t="s">
        <v>13</v>
      </c>
      <c r="G428" t="s">
        <v>155</v>
      </c>
      <c r="H428" s="220" t="s">
        <v>535</v>
      </c>
    </row>
    <row r="429" spans="1:8">
      <c r="A429">
        <v>3</v>
      </c>
      <c r="B429" t="s">
        <v>147</v>
      </c>
      <c r="C429">
        <v>2019</v>
      </c>
      <c r="D429" t="s">
        <v>12</v>
      </c>
      <c r="E429" t="s">
        <v>7</v>
      </c>
      <c r="F429" t="s">
        <v>13</v>
      </c>
      <c r="G429" t="s">
        <v>156</v>
      </c>
      <c r="H429" s="220" t="s">
        <v>536</v>
      </c>
    </row>
    <row r="430" spans="1:8">
      <c r="A430">
        <v>4</v>
      </c>
      <c r="B430" t="s">
        <v>148</v>
      </c>
      <c r="C430">
        <v>2019</v>
      </c>
      <c r="D430" t="s">
        <v>12</v>
      </c>
      <c r="E430" t="s">
        <v>7</v>
      </c>
      <c r="F430" t="s">
        <v>13</v>
      </c>
      <c r="G430" t="s">
        <v>157</v>
      </c>
      <c r="H430" s="220" t="s">
        <v>537</v>
      </c>
    </row>
    <row r="431" spans="1:8">
      <c r="A431">
        <v>0</v>
      </c>
      <c r="B431" t="s">
        <v>34</v>
      </c>
      <c r="C431">
        <v>2019</v>
      </c>
      <c r="D431" t="s">
        <v>12</v>
      </c>
      <c r="E431" t="s">
        <v>7</v>
      </c>
      <c r="F431" t="s">
        <v>13</v>
      </c>
      <c r="G431" t="s">
        <v>158</v>
      </c>
      <c r="H431" s="220" t="s">
        <v>538</v>
      </c>
    </row>
    <row r="432" spans="1:8">
      <c r="A432">
        <v>1</v>
      </c>
      <c r="B432" t="s">
        <v>145</v>
      </c>
      <c r="C432">
        <v>2018</v>
      </c>
      <c r="D432" t="s">
        <v>12</v>
      </c>
      <c r="E432" t="s">
        <v>7</v>
      </c>
      <c r="F432" t="s">
        <v>13</v>
      </c>
      <c r="G432" t="s">
        <v>154</v>
      </c>
      <c r="H432" s="220" t="s">
        <v>16</v>
      </c>
    </row>
    <row r="433" spans="1:8">
      <c r="A433">
        <v>2</v>
      </c>
      <c r="B433" t="s">
        <v>146</v>
      </c>
      <c r="C433">
        <v>2018</v>
      </c>
      <c r="D433" t="s">
        <v>12</v>
      </c>
      <c r="E433" t="s">
        <v>7</v>
      </c>
      <c r="F433" t="s">
        <v>13</v>
      </c>
      <c r="G433" t="s">
        <v>155</v>
      </c>
      <c r="H433" s="220" t="s">
        <v>539</v>
      </c>
    </row>
    <row r="434" spans="1:8">
      <c r="A434">
        <v>3</v>
      </c>
      <c r="B434" t="s">
        <v>147</v>
      </c>
      <c r="C434">
        <v>2018</v>
      </c>
      <c r="D434" t="s">
        <v>12</v>
      </c>
      <c r="E434" t="s">
        <v>7</v>
      </c>
      <c r="F434" t="s">
        <v>13</v>
      </c>
      <c r="G434" t="s">
        <v>156</v>
      </c>
      <c r="H434" s="220" t="s">
        <v>540</v>
      </c>
    </row>
    <row r="435" spans="1:8">
      <c r="A435">
        <v>4</v>
      </c>
      <c r="B435" t="s">
        <v>148</v>
      </c>
      <c r="C435">
        <v>2018</v>
      </c>
      <c r="D435" t="s">
        <v>12</v>
      </c>
      <c r="E435" t="s">
        <v>7</v>
      </c>
      <c r="F435" t="s">
        <v>13</v>
      </c>
      <c r="G435" t="s">
        <v>157</v>
      </c>
      <c r="H435" s="220" t="s">
        <v>541</v>
      </c>
    </row>
    <row r="436" spans="1:8">
      <c r="A436">
        <v>0</v>
      </c>
      <c r="B436" t="s">
        <v>34</v>
      </c>
      <c r="C436">
        <v>2018</v>
      </c>
      <c r="D436" t="s">
        <v>12</v>
      </c>
      <c r="E436" t="s">
        <v>7</v>
      </c>
      <c r="F436" t="s">
        <v>13</v>
      </c>
      <c r="G436" t="s">
        <v>158</v>
      </c>
      <c r="H436" s="220" t="s">
        <v>542</v>
      </c>
    </row>
    <row r="437" spans="1:8">
      <c r="A437">
        <v>1</v>
      </c>
      <c r="B437" t="s">
        <v>145</v>
      </c>
      <c r="C437">
        <v>2017</v>
      </c>
      <c r="D437" t="s">
        <v>12</v>
      </c>
      <c r="E437" t="s">
        <v>7</v>
      </c>
      <c r="F437" t="s">
        <v>13</v>
      </c>
      <c r="G437" t="s">
        <v>154</v>
      </c>
      <c r="H437" s="220" t="s">
        <v>543</v>
      </c>
    </row>
    <row r="438" spans="1:8">
      <c r="A438">
        <v>2</v>
      </c>
      <c r="B438" t="s">
        <v>146</v>
      </c>
      <c r="C438">
        <v>2017</v>
      </c>
      <c r="D438" t="s">
        <v>12</v>
      </c>
      <c r="E438" t="s">
        <v>7</v>
      </c>
      <c r="F438" t="s">
        <v>13</v>
      </c>
      <c r="G438" t="s">
        <v>155</v>
      </c>
      <c r="H438" s="220" t="s">
        <v>544</v>
      </c>
    </row>
    <row r="439" spans="1:8">
      <c r="A439">
        <v>3</v>
      </c>
      <c r="B439" t="s">
        <v>147</v>
      </c>
      <c r="C439">
        <v>2017</v>
      </c>
      <c r="D439" t="s">
        <v>12</v>
      </c>
      <c r="E439" t="s">
        <v>7</v>
      </c>
      <c r="F439" t="s">
        <v>13</v>
      </c>
      <c r="G439" t="s">
        <v>156</v>
      </c>
      <c r="H439" s="220" t="s">
        <v>545</v>
      </c>
    </row>
    <row r="440" spans="1:8">
      <c r="A440">
        <v>4</v>
      </c>
      <c r="B440" t="s">
        <v>148</v>
      </c>
      <c r="C440">
        <v>2017</v>
      </c>
      <c r="D440" t="s">
        <v>12</v>
      </c>
      <c r="E440" t="s">
        <v>7</v>
      </c>
      <c r="F440" t="s">
        <v>13</v>
      </c>
      <c r="G440" t="s">
        <v>157</v>
      </c>
      <c r="H440" s="220" t="s">
        <v>546</v>
      </c>
    </row>
    <row r="441" spans="1:8">
      <c r="A441">
        <v>0</v>
      </c>
      <c r="B441" t="s">
        <v>34</v>
      </c>
      <c r="C441">
        <v>2017</v>
      </c>
      <c r="D441" t="s">
        <v>12</v>
      </c>
      <c r="E441" t="s">
        <v>7</v>
      </c>
      <c r="F441" t="s">
        <v>13</v>
      </c>
      <c r="G441" t="s">
        <v>158</v>
      </c>
      <c r="H441" s="220" t="s">
        <v>547</v>
      </c>
    </row>
    <row r="442" spans="1:8">
      <c r="A442">
        <v>1</v>
      </c>
      <c r="B442" t="s">
        <v>145</v>
      </c>
      <c r="C442">
        <v>2016</v>
      </c>
      <c r="D442" t="s">
        <v>12</v>
      </c>
      <c r="E442" t="s">
        <v>7</v>
      </c>
      <c r="F442" t="s">
        <v>13</v>
      </c>
      <c r="G442" t="s">
        <v>154</v>
      </c>
      <c r="H442" s="220" t="s">
        <v>548</v>
      </c>
    </row>
    <row r="443" spans="1:8">
      <c r="A443">
        <v>2</v>
      </c>
      <c r="B443" t="s">
        <v>146</v>
      </c>
      <c r="C443">
        <v>2016</v>
      </c>
      <c r="D443" t="s">
        <v>12</v>
      </c>
      <c r="E443" t="s">
        <v>7</v>
      </c>
      <c r="F443" t="s">
        <v>13</v>
      </c>
      <c r="G443" t="s">
        <v>155</v>
      </c>
      <c r="H443" s="220" t="s">
        <v>549</v>
      </c>
    </row>
    <row r="444" spans="1:8">
      <c r="A444">
        <v>3</v>
      </c>
      <c r="B444" t="s">
        <v>147</v>
      </c>
      <c r="C444">
        <v>2016</v>
      </c>
      <c r="D444" t="s">
        <v>12</v>
      </c>
      <c r="E444" t="s">
        <v>7</v>
      </c>
      <c r="F444" t="s">
        <v>13</v>
      </c>
      <c r="G444" t="s">
        <v>156</v>
      </c>
      <c r="H444" s="220" t="s">
        <v>550</v>
      </c>
    </row>
    <row r="445" spans="1:8">
      <c r="A445">
        <v>4</v>
      </c>
      <c r="B445" t="s">
        <v>148</v>
      </c>
      <c r="C445">
        <v>2016</v>
      </c>
      <c r="D445" t="s">
        <v>12</v>
      </c>
      <c r="E445" t="s">
        <v>7</v>
      </c>
      <c r="F445" t="s">
        <v>13</v>
      </c>
      <c r="G445" t="s">
        <v>157</v>
      </c>
      <c r="H445" s="220" t="s">
        <v>551</v>
      </c>
    </row>
    <row r="446" spans="1:8">
      <c r="A446">
        <v>0</v>
      </c>
      <c r="B446" t="s">
        <v>34</v>
      </c>
      <c r="C446">
        <v>2016</v>
      </c>
      <c r="D446" t="s">
        <v>12</v>
      </c>
      <c r="E446" t="s">
        <v>7</v>
      </c>
      <c r="F446" t="s">
        <v>13</v>
      </c>
      <c r="G446" t="s">
        <v>158</v>
      </c>
      <c r="H446" s="220" t="s">
        <v>552</v>
      </c>
    </row>
    <row r="447" spans="1:8">
      <c r="A447">
        <v>1</v>
      </c>
      <c r="B447" t="s">
        <v>145</v>
      </c>
      <c r="C447">
        <v>2015</v>
      </c>
      <c r="D447" t="s">
        <v>12</v>
      </c>
      <c r="E447" t="s">
        <v>7</v>
      </c>
      <c r="F447" t="s">
        <v>13</v>
      </c>
      <c r="G447" t="s">
        <v>154</v>
      </c>
      <c r="H447" s="220" t="s">
        <v>553</v>
      </c>
    </row>
    <row r="448" spans="1:8">
      <c r="A448">
        <v>2</v>
      </c>
      <c r="B448" t="s">
        <v>146</v>
      </c>
      <c r="C448">
        <v>2015</v>
      </c>
      <c r="D448" t="s">
        <v>12</v>
      </c>
      <c r="E448" t="s">
        <v>7</v>
      </c>
      <c r="F448" t="s">
        <v>13</v>
      </c>
      <c r="G448" t="s">
        <v>155</v>
      </c>
      <c r="H448" s="220" t="s">
        <v>554</v>
      </c>
    </row>
    <row r="449" spans="1:8">
      <c r="A449">
        <v>3</v>
      </c>
      <c r="B449" t="s">
        <v>147</v>
      </c>
      <c r="C449">
        <v>2015</v>
      </c>
      <c r="D449" t="s">
        <v>12</v>
      </c>
      <c r="E449" t="s">
        <v>7</v>
      </c>
      <c r="F449" t="s">
        <v>13</v>
      </c>
      <c r="G449" t="s">
        <v>156</v>
      </c>
      <c r="H449" s="220" t="s">
        <v>555</v>
      </c>
    </row>
    <row r="450" spans="1:8">
      <c r="A450">
        <v>4</v>
      </c>
      <c r="B450" t="s">
        <v>148</v>
      </c>
      <c r="C450">
        <v>2015</v>
      </c>
      <c r="D450" t="s">
        <v>12</v>
      </c>
      <c r="E450" t="s">
        <v>7</v>
      </c>
      <c r="F450" t="s">
        <v>13</v>
      </c>
      <c r="G450" t="s">
        <v>157</v>
      </c>
      <c r="H450" s="220" t="s">
        <v>556</v>
      </c>
    </row>
    <row r="451" spans="1:8">
      <c r="A451">
        <v>0</v>
      </c>
      <c r="B451" t="s">
        <v>34</v>
      </c>
      <c r="C451">
        <v>2015</v>
      </c>
      <c r="D451" t="s">
        <v>12</v>
      </c>
      <c r="E451" t="s">
        <v>7</v>
      </c>
      <c r="F451" t="s">
        <v>13</v>
      </c>
      <c r="G451" t="s">
        <v>158</v>
      </c>
      <c r="H451" s="220" t="s">
        <v>557</v>
      </c>
    </row>
    <row r="452" spans="1:8">
      <c r="A452">
        <v>1</v>
      </c>
      <c r="B452" t="s">
        <v>145</v>
      </c>
      <c r="C452">
        <v>2014</v>
      </c>
      <c r="D452" t="s">
        <v>12</v>
      </c>
      <c r="E452" t="s">
        <v>7</v>
      </c>
      <c r="F452" t="s">
        <v>13</v>
      </c>
      <c r="G452" t="s">
        <v>154</v>
      </c>
      <c r="H452" s="220" t="s">
        <v>558</v>
      </c>
    </row>
    <row r="453" spans="1:8">
      <c r="A453">
        <v>2</v>
      </c>
      <c r="B453" t="s">
        <v>146</v>
      </c>
      <c r="C453">
        <v>2014</v>
      </c>
      <c r="D453" t="s">
        <v>12</v>
      </c>
      <c r="E453" t="s">
        <v>7</v>
      </c>
      <c r="F453" t="s">
        <v>13</v>
      </c>
      <c r="G453" t="s">
        <v>155</v>
      </c>
      <c r="H453" s="220" t="s">
        <v>559</v>
      </c>
    </row>
    <row r="454" spans="1:8">
      <c r="A454">
        <v>3</v>
      </c>
      <c r="B454" t="s">
        <v>147</v>
      </c>
      <c r="C454">
        <v>2014</v>
      </c>
      <c r="D454" t="s">
        <v>12</v>
      </c>
      <c r="E454" t="s">
        <v>7</v>
      </c>
      <c r="F454" t="s">
        <v>13</v>
      </c>
      <c r="G454" t="s">
        <v>156</v>
      </c>
      <c r="H454" s="220" t="s">
        <v>560</v>
      </c>
    </row>
    <row r="455" spans="1:8">
      <c r="A455">
        <v>4</v>
      </c>
      <c r="B455" t="s">
        <v>148</v>
      </c>
      <c r="C455">
        <v>2014</v>
      </c>
      <c r="D455" t="s">
        <v>12</v>
      </c>
      <c r="E455" t="s">
        <v>7</v>
      </c>
      <c r="F455" t="s">
        <v>13</v>
      </c>
      <c r="G455" t="s">
        <v>157</v>
      </c>
      <c r="H455" s="220" t="s">
        <v>561</v>
      </c>
    </row>
    <row r="456" spans="1:8">
      <c r="A456">
        <v>0</v>
      </c>
      <c r="B456" t="s">
        <v>34</v>
      </c>
      <c r="C456">
        <v>2014</v>
      </c>
      <c r="D456" t="s">
        <v>12</v>
      </c>
      <c r="E456" t="s">
        <v>7</v>
      </c>
      <c r="F456" t="s">
        <v>13</v>
      </c>
      <c r="G456" t="s">
        <v>158</v>
      </c>
      <c r="H456" s="220" t="s">
        <v>562</v>
      </c>
    </row>
    <row r="457" spans="1:8">
      <c r="A457">
        <v>1</v>
      </c>
      <c r="B457" t="s">
        <v>145</v>
      </c>
      <c r="C457">
        <v>2013</v>
      </c>
      <c r="D457" t="s">
        <v>12</v>
      </c>
      <c r="E457" t="s">
        <v>7</v>
      </c>
      <c r="F457" t="s">
        <v>13</v>
      </c>
      <c r="G457" t="s">
        <v>154</v>
      </c>
      <c r="H457" s="220" t="s">
        <v>563</v>
      </c>
    </row>
    <row r="458" spans="1:8">
      <c r="A458">
        <v>2</v>
      </c>
      <c r="B458" t="s">
        <v>146</v>
      </c>
      <c r="C458">
        <v>2013</v>
      </c>
      <c r="D458" t="s">
        <v>12</v>
      </c>
      <c r="E458" t="s">
        <v>7</v>
      </c>
      <c r="F458" t="s">
        <v>13</v>
      </c>
      <c r="G458" t="s">
        <v>155</v>
      </c>
      <c r="H458" s="220" t="s">
        <v>564</v>
      </c>
    </row>
    <row r="459" spans="1:8">
      <c r="A459">
        <v>3</v>
      </c>
      <c r="B459" t="s">
        <v>147</v>
      </c>
      <c r="C459">
        <v>2013</v>
      </c>
      <c r="D459" t="s">
        <v>12</v>
      </c>
      <c r="E459" t="s">
        <v>7</v>
      </c>
      <c r="F459" t="s">
        <v>13</v>
      </c>
      <c r="G459" t="s">
        <v>156</v>
      </c>
      <c r="H459" s="220" t="s">
        <v>565</v>
      </c>
    </row>
    <row r="460" spans="1:8">
      <c r="A460">
        <v>4</v>
      </c>
      <c r="B460" t="s">
        <v>148</v>
      </c>
      <c r="C460">
        <v>2013</v>
      </c>
      <c r="D460" t="s">
        <v>12</v>
      </c>
      <c r="E460" t="s">
        <v>7</v>
      </c>
      <c r="F460" t="s">
        <v>13</v>
      </c>
      <c r="G460" t="s">
        <v>157</v>
      </c>
      <c r="H460" s="220" t="s">
        <v>566</v>
      </c>
    </row>
    <row r="461" spans="1:8">
      <c r="A461">
        <v>0</v>
      </c>
      <c r="B461" t="s">
        <v>34</v>
      </c>
      <c r="C461">
        <v>2013</v>
      </c>
      <c r="D461" t="s">
        <v>12</v>
      </c>
      <c r="E461" t="s">
        <v>7</v>
      </c>
      <c r="F461" t="s">
        <v>13</v>
      </c>
      <c r="G461" t="s">
        <v>158</v>
      </c>
      <c r="H461" s="220" t="s">
        <v>567</v>
      </c>
    </row>
    <row r="462" spans="1:8">
      <c r="A462">
        <v>1</v>
      </c>
      <c r="B462" t="s">
        <v>145</v>
      </c>
      <c r="C462">
        <v>2012</v>
      </c>
      <c r="D462" t="s">
        <v>12</v>
      </c>
      <c r="E462" t="s">
        <v>7</v>
      </c>
      <c r="F462" t="s">
        <v>13</v>
      </c>
      <c r="G462" t="s">
        <v>154</v>
      </c>
      <c r="H462" s="220" t="s">
        <v>568</v>
      </c>
    </row>
    <row r="463" spans="1:8">
      <c r="A463">
        <v>2</v>
      </c>
      <c r="B463" t="s">
        <v>146</v>
      </c>
      <c r="C463">
        <v>2012</v>
      </c>
      <c r="D463" t="s">
        <v>12</v>
      </c>
      <c r="E463" t="s">
        <v>7</v>
      </c>
      <c r="F463" t="s">
        <v>13</v>
      </c>
      <c r="G463" t="s">
        <v>155</v>
      </c>
      <c r="H463" s="220" t="s">
        <v>569</v>
      </c>
    </row>
    <row r="464" spans="1:8">
      <c r="A464">
        <v>3</v>
      </c>
      <c r="B464" t="s">
        <v>147</v>
      </c>
      <c r="C464">
        <v>2012</v>
      </c>
      <c r="D464" t="s">
        <v>12</v>
      </c>
      <c r="E464" t="s">
        <v>7</v>
      </c>
      <c r="F464" t="s">
        <v>13</v>
      </c>
      <c r="G464" t="s">
        <v>156</v>
      </c>
      <c r="H464" s="220" t="s">
        <v>570</v>
      </c>
    </row>
    <row r="465" spans="1:8">
      <c r="A465">
        <v>4</v>
      </c>
      <c r="B465" t="s">
        <v>148</v>
      </c>
      <c r="C465">
        <v>2012</v>
      </c>
      <c r="D465" t="s">
        <v>12</v>
      </c>
      <c r="E465" t="s">
        <v>7</v>
      </c>
      <c r="F465" t="s">
        <v>13</v>
      </c>
      <c r="G465" t="s">
        <v>157</v>
      </c>
      <c r="H465" s="220" t="s">
        <v>571</v>
      </c>
    </row>
    <row r="466" spans="1:8">
      <c r="A466">
        <v>0</v>
      </c>
      <c r="B466" t="s">
        <v>34</v>
      </c>
      <c r="C466">
        <v>2012</v>
      </c>
      <c r="D466" t="s">
        <v>12</v>
      </c>
      <c r="E466" t="s">
        <v>7</v>
      </c>
      <c r="F466" t="s">
        <v>13</v>
      </c>
      <c r="G466" t="s">
        <v>158</v>
      </c>
      <c r="H466" s="220" t="s">
        <v>572</v>
      </c>
    </row>
    <row r="467" spans="1:8">
      <c r="A467">
        <v>1</v>
      </c>
      <c r="B467" t="s">
        <v>145</v>
      </c>
      <c r="C467">
        <v>2011</v>
      </c>
      <c r="D467" t="s">
        <v>12</v>
      </c>
      <c r="E467" t="s">
        <v>7</v>
      </c>
      <c r="F467" t="s">
        <v>13</v>
      </c>
      <c r="G467" t="s">
        <v>154</v>
      </c>
      <c r="H467" s="220" t="s">
        <v>573</v>
      </c>
    </row>
    <row r="468" spans="1:8">
      <c r="A468">
        <v>2</v>
      </c>
      <c r="B468" t="s">
        <v>146</v>
      </c>
      <c r="C468">
        <v>2011</v>
      </c>
      <c r="D468" t="s">
        <v>12</v>
      </c>
      <c r="E468" t="s">
        <v>7</v>
      </c>
      <c r="F468" t="s">
        <v>13</v>
      </c>
      <c r="G468" t="s">
        <v>155</v>
      </c>
      <c r="H468" s="220" t="s">
        <v>574</v>
      </c>
    </row>
    <row r="469" spans="1:8">
      <c r="A469">
        <v>3</v>
      </c>
      <c r="B469" t="s">
        <v>147</v>
      </c>
      <c r="C469">
        <v>2011</v>
      </c>
      <c r="D469" t="s">
        <v>12</v>
      </c>
      <c r="E469" t="s">
        <v>7</v>
      </c>
      <c r="F469" t="s">
        <v>13</v>
      </c>
      <c r="G469" t="s">
        <v>156</v>
      </c>
      <c r="H469" s="220" t="s">
        <v>575</v>
      </c>
    </row>
    <row r="470" spans="1:8">
      <c r="A470">
        <v>4</v>
      </c>
      <c r="B470" t="s">
        <v>148</v>
      </c>
      <c r="C470">
        <v>2011</v>
      </c>
      <c r="D470" t="s">
        <v>12</v>
      </c>
      <c r="E470" t="s">
        <v>7</v>
      </c>
      <c r="F470" t="s">
        <v>13</v>
      </c>
      <c r="G470" t="s">
        <v>157</v>
      </c>
      <c r="H470" s="220" t="s">
        <v>576</v>
      </c>
    </row>
    <row r="471" spans="1:8">
      <c r="A471">
        <v>0</v>
      </c>
      <c r="B471" t="s">
        <v>34</v>
      </c>
      <c r="C471">
        <v>2011</v>
      </c>
      <c r="D471" t="s">
        <v>12</v>
      </c>
      <c r="E471" t="s">
        <v>7</v>
      </c>
      <c r="F471" t="s">
        <v>13</v>
      </c>
      <c r="G471" t="s">
        <v>158</v>
      </c>
      <c r="H471" s="220" t="s">
        <v>577</v>
      </c>
    </row>
    <row r="472" spans="1:8">
      <c r="A472">
        <v>1</v>
      </c>
      <c r="B472" t="s">
        <v>145</v>
      </c>
      <c r="C472">
        <v>2010</v>
      </c>
      <c r="D472" t="s">
        <v>12</v>
      </c>
      <c r="E472" t="s">
        <v>7</v>
      </c>
      <c r="F472" t="s">
        <v>13</v>
      </c>
      <c r="G472" t="s">
        <v>154</v>
      </c>
      <c r="H472" s="220" t="s">
        <v>578</v>
      </c>
    </row>
    <row r="473" spans="1:8">
      <c r="A473">
        <v>2</v>
      </c>
      <c r="B473" t="s">
        <v>146</v>
      </c>
      <c r="C473">
        <v>2010</v>
      </c>
      <c r="D473" t="s">
        <v>12</v>
      </c>
      <c r="E473" t="s">
        <v>7</v>
      </c>
      <c r="F473" t="s">
        <v>13</v>
      </c>
      <c r="G473" t="s">
        <v>155</v>
      </c>
      <c r="H473" s="220" t="s">
        <v>579</v>
      </c>
    </row>
    <row r="474" spans="1:8">
      <c r="A474">
        <v>3</v>
      </c>
      <c r="B474" t="s">
        <v>147</v>
      </c>
      <c r="C474">
        <v>2010</v>
      </c>
      <c r="D474" t="s">
        <v>12</v>
      </c>
      <c r="E474" t="s">
        <v>7</v>
      </c>
      <c r="F474" t="s">
        <v>13</v>
      </c>
      <c r="G474" t="s">
        <v>156</v>
      </c>
      <c r="H474" s="220" t="s">
        <v>580</v>
      </c>
    </row>
    <row r="475" spans="1:8">
      <c r="A475">
        <v>4</v>
      </c>
      <c r="B475" t="s">
        <v>148</v>
      </c>
      <c r="C475">
        <v>2010</v>
      </c>
      <c r="D475" t="s">
        <v>12</v>
      </c>
      <c r="E475" t="s">
        <v>7</v>
      </c>
      <c r="F475" t="s">
        <v>13</v>
      </c>
      <c r="G475" t="s">
        <v>157</v>
      </c>
      <c r="H475" s="220" t="s">
        <v>581</v>
      </c>
    </row>
    <row r="476" spans="1:8">
      <c r="A476">
        <v>0</v>
      </c>
      <c r="B476" t="s">
        <v>34</v>
      </c>
      <c r="C476">
        <v>2010</v>
      </c>
      <c r="D476" t="s">
        <v>12</v>
      </c>
      <c r="E476" t="s">
        <v>7</v>
      </c>
      <c r="F476" t="s">
        <v>13</v>
      </c>
      <c r="G476" t="s">
        <v>158</v>
      </c>
      <c r="H476" s="220" t="s">
        <v>582</v>
      </c>
    </row>
    <row r="477" spans="1:8">
      <c r="A477">
        <v>1</v>
      </c>
      <c r="B477" t="s">
        <v>145</v>
      </c>
      <c r="C477">
        <v>2005</v>
      </c>
      <c r="D477" t="s">
        <v>12</v>
      </c>
      <c r="E477" t="s">
        <v>7</v>
      </c>
      <c r="F477" t="s">
        <v>13</v>
      </c>
      <c r="G477" t="s">
        <v>154</v>
      </c>
      <c r="H477" s="220" t="s">
        <v>583</v>
      </c>
    </row>
    <row r="478" spans="1:8">
      <c r="A478">
        <v>2</v>
      </c>
      <c r="B478" t="s">
        <v>146</v>
      </c>
      <c r="C478">
        <v>2005</v>
      </c>
      <c r="D478" t="s">
        <v>12</v>
      </c>
      <c r="E478" t="s">
        <v>7</v>
      </c>
      <c r="F478" t="s">
        <v>13</v>
      </c>
      <c r="G478" t="s">
        <v>155</v>
      </c>
      <c r="H478" s="220" t="s">
        <v>584</v>
      </c>
    </row>
    <row r="479" spans="1:8">
      <c r="A479">
        <v>3</v>
      </c>
      <c r="B479" t="s">
        <v>147</v>
      </c>
      <c r="C479">
        <v>2005</v>
      </c>
      <c r="D479" t="s">
        <v>12</v>
      </c>
      <c r="E479" t="s">
        <v>7</v>
      </c>
      <c r="F479" t="s">
        <v>13</v>
      </c>
      <c r="G479" t="s">
        <v>156</v>
      </c>
      <c r="H479" s="220" t="s">
        <v>585</v>
      </c>
    </row>
    <row r="480" spans="1:8">
      <c r="A480">
        <v>4</v>
      </c>
      <c r="B480" t="s">
        <v>148</v>
      </c>
      <c r="C480">
        <v>2005</v>
      </c>
      <c r="D480" t="s">
        <v>12</v>
      </c>
      <c r="E480" t="s">
        <v>7</v>
      </c>
      <c r="F480" t="s">
        <v>13</v>
      </c>
      <c r="G480" t="s">
        <v>157</v>
      </c>
      <c r="H480" s="220" t="s">
        <v>586</v>
      </c>
    </row>
    <row r="481" spans="1:8">
      <c r="A481">
        <v>0</v>
      </c>
      <c r="B481" t="s">
        <v>34</v>
      </c>
      <c r="C481">
        <v>2005</v>
      </c>
      <c r="D481" t="s">
        <v>12</v>
      </c>
      <c r="E481" t="s">
        <v>7</v>
      </c>
      <c r="F481" t="s">
        <v>13</v>
      </c>
      <c r="G481" t="s">
        <v>158</v>
      </c>
      <c r="H481" s="220" t="s">
        <v>587</v>
      </c>
    </row>
    <row r="482" spans="1:8">
      <c r="A482">
        <v>1</v>
      </c>
      <c r="B482" t="s">
        <v>145</v>
      </c>
      <c r="C482">
        <v>2020</v>
      </c>
      <c r="D482" t="s">
        <v>11</v>
      </c>
      <c r="E482" t="s">
        <v>115</v>
      </c>
      <c r="F482" t="s">
        <v>13</v>
      </c>
      <c r="G482" t="s">
        <v>154</v>
      </c>
      <c r="H482" s="220" t="s">
        <v>588</v>
      </c>
    </row>
    <row r="483" spans="1:8">
      <c r="A483">
        <v>2</v>
      </c>
      <c r="B483" t="s">
        <v>146</v>
      </c>
      <c r="C483">
        <v>2020</v>
      </c>
      <c r="D483" t="s">
        <v>11</v>
      </c>
      <c r="E483" t="s">
        <v>115</v>
      </c>
      <c r="F483" t="s">
        <v>13</v>
      </c>
      <c r="G483" t="s">
        <v>155</v>
      </c>
      <c r="H483" s="220" t="s">
        <v>589</v>
      </c>
    </row>
    <row r="484" spans="1:8">
      <c r="A484">
        <v>3</v>
      </c>
      <c r="B484" t="s">
        <v>147</v>
      </c>
      <c r="C484">
        <v>2020</v>
      </c>
      <c r="D484" t="s">
        <v>11</v>
      </c>
      <c r="E484" t="s">
        <v>115</v>
      </c>
      <c r="F484" t="s">
        <v>13</v>
      </c>
      <c r="G484" t="s">
        <v>156</v>
      </c>
      <c r="H484" s="220" t="s">
        <v>590</v>
      </c>
    </row>
    <row r="485" spans="1:8">
      <c r="A485">
        <v>4</v>
      </c>
      <c r="B485" t="s">
        <v>148</v>
      </c>
      <c r="C485">
        <v>2020</v>
      </c>
      <c r="D485" t="s">
        <v>11</v>
      </c>
      <c r="E485" t="s">
        <v>115</v>
      </c>
      <c r="F485" t="s">
        <v>13</v>
      </c>
      <c r="G485" t="s">
        <v>157</v>
      </c>
      <c r="H485" s="220" t="s">
        <v>591</v>
      </c>
    </row>
    <row r="486" spans="1:8">
      <c r="A486">
        <v>0</v>
      </c>
      <c r="B486" t="s">
        <v>34</v>
      </c>
      <c r="C486">
        <v>2020</v>
      </c>
      <c r="D486" t="s">
        <v>11</v>
      </c>
      <c r="E486" t="s">
        <v>115</v>
      </c>
      <c r="F486" t="s">
        <v>13</v>
      </c>
      <c r="G486" t="s">
        <v>158</v>
      </c>
      <c r="H486" s="220" t="s">
        <v>592</v>
      </c>
    </row>
    <row r="487" spans="1:8">
      <c r="A487">
        <v>1</v>
      </c>
      <c r="B487" t="s">
        <v>145</v>
      </c>
      <c r="C487">
        <v>2019</v>
      </c>
      <c r="D487" t="s">
        <v>11</v>
      </c>
      <c r="E487" t="s">
        <v>115</v>
      </c>
      <c r="F487" t="s">
        <v>13</v>
      </c>
      <c r="G487" t="s">
        <v>154</v>
      </c>
      <c r="H487" s="220" t="s">
        <v>593</v>
      </c>
    </row>
    <row r="488" spans="1:8">
      <c r="A488">
        <v>2</v>
      </c>
      <c r="B488" t="s">
        <v>146</v>
      </c>
      <c r="C488">
        <v>2019</v>
      </c>
      <c r="D488" t="s">
        <v>11</v>
      </c>
      <c r="E488" t="s">
        <v>115</v>
      </c>
      <c r="F488" t="s">
        <v>13</v>
      </c>
      <c r="G488" t="s">
        <v>155</v>
      </c>
      <c r="H488" s="220" t="s">
        <v>594</v>
      </c>
    </row>
    <row r="489" spans="1:8">
      <c r="A489">
        <v>3</v>
      </c>
      <c r="B489" t="s">
        <v>147</v>
      </c>
      <c r="C489">
        <v>2019</v>
      </c>
      <c r="D489" t="s">
        <v>11</v>
      </c>
      <c r="E489" t="s">
        <v>115</v>
      </c>
      <c r="F489" t="s">
        <v>13</v>
      </c>
      <c r="G489" t="s">
        <v>156</v>
      </c>
      <c r="H489" s="220" t="s">
        <v>595</v>
      </c>
    </row>
    <row r="490" spans="1:8">
      <c r="A490">
        <v>4</v>
      </c>
      <c r="B490" t="s">
        <v>148</v>
      </c>
      <c r="C490">
        <v>2019</v>
      </c>
      <c r="D490" t="s">
        <v>11</v>
      </c>
      <c r="E490" t="s">
        <v>115</v>
      </c>
      <c r="F490" t="s">
        <v>13</v>
      </c>
      <c r="G490" t="s">
        <v>157</v>
      </c>
      <c r="H490" s="220" t="s">
        <v>596</v>
      </c>
    </row>
    <row r="491" spans="1:8">
      <c r="A491">
        <v>0</v>
      </c>
      <c r="B491" t="s">
        <v>34</v>
      </c>
      <c r="C491">
        <v>2019</v>
      </c>
      <c r="D491" t="s">
        <v>11</v>
      </c>
      <c r="E491" t="s">
        <v>115</v>
      </c>
      <c r="F491" t="s">
        <v>13</v>
      </c>
      <c r="G491" t="s">
        <v>158</v>
      </c>
      <c r="H491" s="220" t="s">
        <v>597</v>
      </c>
    </row>
    <row r="492" spans="1:8">
      <c r="A492">
        <v>1</v>
      </c>
      <c r="B492" t="s">
        <v>145</v>
      </c>
      <c r="C492">
        <v>2018</v>
      </c>
      <c r="D492" t="s">
        <v>11</v>
      </c>
      <c r="E492" t="s">
        <v>115</v>
      </c>
      <c r="F492" t="s">
        <v>13</v>
      </c>
      <c r="G492" t="s">
        <v>154</v>
      </c>
      <c r="H492" s="220" t="s">
        <v>598</v>
      </c>
    </row>
    <row r="493" spans="1:8">
      <c r="A493">
        <v>2</v>
      </c>
      <c r="B493" t="s">
        <v>146</v>
      </c>
      <c r="C493">
        <v>2018</v>
      </c>
      <c r="D493" t="s">
        <v>11</v>
      </c>
      <c r="E493" t="s">
        <v>115</v>
      </c>
      <c r="F493" t="s">
        <v>13</v>
      </c>
      <c r="G493" t="s">
        <v>155</v>
      </c>
      <c r="H493" s="220" t="s">
        <v>599</v>
      </c>
    </row>
    <row r="494" spans="1:8">
      <c r="A494">
        <v>3</v>
      </c>
      <c r="B494" t="s">
        <v>147</v>
      </c>
      <c r="C494">
        <v>2018</v>
      </c>
      <c r="D494" t="s">
        <v>11</v>
      </c>
      <c r="E494" t="s">
        <v>115</v>
      </c>
      <c r="F494" t="s">
        <v>13</v>
      </c>
      <c r="G494" t="s">
        <v>156</v>
      </c>
      <c r="H494" s="220" t="s">
        <v>600</v>
      </c>
    </row>
    <row r="495" spans="1:8">
      <c r="A495">
        <v>4</v>
      </c>
      <c r="B495" t="s">
        <v>148</v>
      </c>
      <c r="C495">
        <v>2018</v>
      </c>
      <c r="D495" t="s">
        <v>11</v>
      </c>
      <c r="E495" t="s">
        <v>115</v>
      </c>
      <c r="F495" t="s">
        <v>13</v>
      </c>
      <c r="G495" t="s">
        <v>157</v>
      </c>
      <c r="H495" s="220" t="s">
        <v>601</v>
      </c>
    </row>
    <row r="496" spans="1:8">
      <c r="A496">
        <v>0</v>
      </c>
      <c r="B496" t="s">
        <v>34</v>
      </c>
      <c r="C496">
        <v>2018</v>
      </c>
      <c r="D496" t="s">
        <v>11</v>
      </c>
      <c r="E496" t="s">
        <v>115</v>
      </c>
      <c r="F496" t="s">
        <v>13</v>
      </c>
      <c r="G496" t="s">
        <v>158</v>
      </c>
      <c r="H496" s="220" t="s">
        <v>602</v>
      </c>
    </row>
    <row r="497" spans="1:8">
      <c r="A497">
        <v>1</v>
      </c>
      <c r="B497" t="s">
        <v>145</v>
      </c>
      <c r="C497">
        <v>2017</v>
      </c>
      <c r="D497" t="s">
        <v>11</v>
      </c>
      <c r="E497" t="s">
        <v>115</v>
      </c>
      <c r="F497" t="s">
        <v>13</v>
      </c>
      <c r="G497" t="s">
        <v>154</v>
      </c>
      <c r="H497" s="220" t="s">
        <v>603</v>
      </c>
    </row>
    <row r="498" spans="1:8">
      <c r="A498">
        <v>2</v>
      </c>
      <c r="B498" t="s">
        <v>146</v>
      </c>
      <c r="C498">
        <v>2017</v>
      </c>
      <c r="D498" t="s">
        <v>11</v>
      </c>
      <c r="E498" t="s">
        <v>115</v>
      </c>
      <c r="F498" t="s">
        <v>13</v>
      </c>
      <c r="G498" t="s">
        <v>155</v>
      </c>
      <c r="H498" s="220" t="s">
        <v>604</v>
      </c>
    </row>
    <row r="499" spans="1:8">
      <c r="A499">
        <v>3</v>
      </c>
      <c r="B499" t="s">
        <v>147</v>
      </c>
      <c r="C499">
        <v>2017</v>
      </c>
      <c r="D499" t="s">
        <v>11</v>
      </c>
      <c r="E499" t="s">
        <v>115</v>
      </c>
      <c r="F499" t="s">
        <v>13</v>
      </c>
      <c r="G499" t="s">
        <v>156</v>
      </c>
      <c r="H499" s="220" t="s">
        <v>605</v>
      </c>
    </row>
    <row r="500" spans="1:8">
      <c r="A500">
        <v>4</v>
      </c>
      <c r="B500" t="s">
        <v>148</v>
      </c>
      <c r="C500">
        <v>2017</v>
      </c>
      <c r="D500" t="s">
        <v>11</v>
      </c>
      <c r="E500" t="s">
        <v>115</v>
      </c>
      <c r="F500" t="s">
        <v>13</v>
      </c>
      <c r="G500" t="s">
        <v>157</v>
      </c>
      <c r="H500" s="220" t="s">
        <v>606</v>
      </c>
    </row>
    <row r="501" spans="1:8">
      <c r="A501">
        <v>0</v>
      </c>
      <c r="B501" t="s">
        <v>34</v>
      </c>
      <c r="C501">
        <v>2017</v>
      </c>
      <c r="D501" t="s">
        <v>11</v>
      </c>
      <c r="E501" t="s">
        <v>115</v>
      </c>
      <c r="F501" t="s">
        <v>13</v>
      </c>
      <c r="G501" t="s">
        <v>158</v>
      </c>
      <c r="H501" s="220" t="s">
        <v>607</v>
      </c>
    </row>
    <row r="502" spans="1:8">
      <c r="A502">
        <v>1</v>
      </c>
      <c r="B502" t="s">
        <v>145</v>
      </c>
      <c r="C502">
        <v>2016</v>
      </c>
      <c r="D502" t="s">
        <v>11</v>
      </c>
      <c r="E502" t="s">
        <v>115</v>
      </c>
      <c r="F502" t="s">
        <v>13</v>
      </c>
      <c r="G502" t="s">
        <v>154</v>
      </c>
      <c r="H502" s="220" t="s">
        <v>608</v>
      </c>
    </row>
    <row r="503" spans="1:8">
      <c r="A503">
        <v>2</v>
      </c>
      <c r="B503" t="s">
        <v>146</v>
      </c>
      <c r="C503">
        <v>2016</v>
      </c>
      <c r="D503" t="s">
        <v>11</v>
      </c>
      <c r="E503" t="s">
        <v>115</v>
      </c>
      <c r="F503" t="s">
        <v>13</v>
      </c>
      <c r="G503" t="s">
        <v>155</v>
      </c>
      <c r="H503" s="220" t="s">
        <v>609</v>
      </c>
    </row>
    <row r="504" spans="1:8">
      <c r="A504">
        <v>3</v>
      </c>
      <c r="B504" t="s">
        <v>147</v>
      </c>
      <c r="C504">
        <v>2016</v>
      </c>
      <c r="D504" t="s">
        <v>11</v>
      </c>
      <c r="E504" t="s">
        <v>115</v>
      </c>
      <c r="F504" t="s">
        <v>13</v>
      </c>
      <c r="G504" t="s">
        <v>156</v>
      </c>
      <c r="H504" s="220" t="s">
        <v>610</v>
      </c>
    </row>
    <row r="505" spans="1:8">
      <c r="A505">
        <v>4</v>
      </c>
      <c r="B505" t="s">
        <v>148</v>
      </c>
      <c r="C505">
        <v>2016</v>
      </c>
      <c r="D505" t="s">
        <v>11</v>
      </c>
      <c r="E505" t="s">
        <v>115</v>
      </c>
      <c r="F505" t="s">
        <v>13</v>
      </c>
      <c r="G505" t="s">
        <v>157</v>
      </c>
      <c r="H505" s="220" t="s">
        <v>611</v>
      </c>
    </row>
    <row r="506" spans="1:8">
      <c r="A506">
        <v>0</v>
      </c>
      <c r="B506" t="s">
        <v>34</v>
      </c>
      <c r="C506">
        <v>2016</v>
      </c>
      <c r="D506" t="s">
        <v>11</v>
      </c>
      <c r="E506" t="s">
        <v>115</v>
      </c>
      <c r="F506" t="s">
        <v>13</v>
      </c>
      <c r="G506" t="s">
        <v>158</v>
      </c>
      <c r="H506" s="220" t="s">
        <v>612</v>
      </c>
    </row>
    <row r="507" spans="1:8">
      <c r="A507">
        <v>1</v>
      </c>
      <c r="B507" t="s">
        <v>145</v>
      </c>
      <c r="C507">
        <v>2015</v>
      </c>
      <c r="D507" t="s">
        <v>11</v>
      </c>
      <c r="E507" t="s">
        <v>115</v>
      </c>
      <c r="F507" t="s">
        <v>13</v>
      </c>
      <c r="G507" t="s">
        <v>154</v>
      </c>
      <c r="H507" s="220" t="s">
        <v>613</v>
      </c>
    </row>
    <row r="508" spans="1:8">
      <c r="A508">
        <v>2</v>
      </c>
      <c r="B508" t="s">
        <v>146</v>
      </c>
      <c r="C508">
        <v>2015</v>
      </c>
      <c r="D508" t="s">
        <v>11</v>
      </c>
      <c r="E508" t="s">
        <v>115</v>
      </c>
      <c r="F508" t="s">
        <v>13</v>
      </c>
      <c r="G508" t="s">
        <v>155</v>
      </c>
      <c r="H508" s="220" t="s">
        <v>614</v>
      </c>
    </row>
    <row r="509" spans="1:8">
      <c r="A509">
        <v>3</v>
      </c>
      <c r="B509" t="s">
        <v>147</v>
      </c>
      <c r="C509">
        <v>2015</v>
      </c>
      <c r="D509" t="s">
        <v>11</v>
      </c>
      <c r="E509" t="s">
        <v>115</v>
      </c>
      <c r="F509" t="s">
        <v>13</v>
      </c>
      <c r="G509" t="s">
        <v>156</v>
      </c>
      <c r="H509" s="220" t="s">
        <v>615</v>
      </c>
    </row>
    <row r="510" spans="1:8">
      <c r="A510">
        <v>4</v>
      </c>
      <c r="B510" t="s">
        <v>148</v>
      </c>
      <c r="C510">
        <v>2015</v>
      </c>
      <c r="D510" t="s">
        <v>11</v>
      </c>
      <c r="E510" t="s">
        <v>115</v>
      </c>
      <c r="F510" t="s">
        <v>13</v>
      </c>
      <c r="G510" t="s">
        <v>157</v>
      </c>
      <c r="H510" s="220" t="s">
        <v>616</v>
      </c>
    </row>
    <row r="511" spans="1:8">
      <c r="A511">
        <v>0</v>
      </c>
      <c r="B511" t="s">
        <v>34</v>
      </c>
      <c r="C511">
        <v>2015</v>
      </c>
      <c r="D511" t="s">
        <v>11</v>
      </c>
      <c r="E511" t="s">
        <v>115</v>
      </c>
      <c r="F511" t="s">
        <v>13</v>
      </c>
      <c r="G511" t="s">
        <v>158</v>
      </c>
      <c r="H511" s="220" t="s">
        <v>617</v>
      </c>
    </row>
    <row r="512" spans="1:8">
      <c r="A512">
        <v>1</v>
      </c>
      <c r="B512" t="s">
        <v>145</v>
      </c>
      <c r="C512">
        <v>2014</v>
      </c>
      <c r="D512" t="s">
        <v>11</v>
      </c>
      <c r="E512" t="s">
        <v>115</v>
      </c>
      <c r="F512" t="s">
        <v>13</v>
      </c>
      <c r="G512" t="s">
        <v>154</v>
      </c>
      <c r="H512" s="220" t="s">
        <v>618</v>
      </c>
    </row>
    <row r="513" spans="1:8">
      <c r="A513">
        <v>2</v>
      </c>
      <c r="B513" t="s">
        <v>146</v>
      </c>
      <c r="C513">
        <v>2014</v>
      </c>
      <c r="D513" t="s">
        <v>11</v>
      </c>
      <c r="E513" t="s">
        <v>115</v>
      </c>
      <c r="F513" t="s">
        <v>13</v>
      </c>
      <c r="G513" t="s">
        <v>155</v>
      </c>
      <c r="H513" s="220" t="s">
        <v>619</v>
      </c>
    </row>
    <row r="514" spans="1:8">
      <c r="A514">
        <v>3</v>
      </c>
      <c r="B514" t="s">
        <v>147</v>
      </c>
      <c r="C514">
        <v>2014</v>
      </c>
      <c r="D514" t="s">
        <v>11</v>
      </c>
      <c r="E514" t="s">
        <v>115</v>
      </c>
      <c r="F514" t="s">
        <v>13</v>
      </c>
      <c r="G514" t="s">
        <v>156</v>
      </c>
      <c r="H514" s="220" t="s">
        <v>620</v>
      </c>
    </row>
    <row r="515" spans="1:8">
      <c r="A515">
        <v>4</v>
      </c>
      <c r="B515" t="s">
        <v>148</v>
      </c>
      <c r="C515">
        <v>2014</v>
      </c>
      <c r="D515" t="s">
        <v>11</v>
      </c>
      <c r="E515" t="s">
        <v>115</v>
      </c>
      <c r="F515" t="s">
        <v>13</v>
      </c>
      <c r="G515" t="s">
        <v>157</v>
      </c>
      <c r="H515" s="220" t="s">
        <v>621</v>
      </c>
    </row>
    <row r="516" spans="1:8">
      <c r="A516">
        <v>0</v>
      </c>
      <c r="B516" t="s">
        <v>34</v>
      </c>
      <c r="C516">
        <v>2014</v>
      </c>
      <c r="D516" t="s">
        <v>11</v>
      </c>
      <c r="E516" t="s">
        <v>115</v>
      </c>
      <c r="F516" t="s">
        <v>13</v>
      </c>
      <c r="G516" t="s">
        <v>158</v>
      </c>
      <c r="H516" s="220" t="s">
        <v>622</v>
      </c>
    </row>
    <row r="517" spans="1:8">
      <c r="A517">
        <v>1</v>
      </c>
      <c r="B517" t="s">
        <v>145</v>
      </c>
      <c r="C517">
        <v>2013</v>
      </c>
      <c r="D517" t="s">
        <v>11</v>
      </c>
      <c r="E517" t="s">
        <v>115</v>
      </c>
      <c r="F517" t="s">
        <v>13</v>
      </c>
      <c r="G517" t="s">
        <v>154</v>
      </c>
      <c r="H517" s="220" t="s">
        <v>623</v>
      </c>
    </row>
    <row r="518" spans="1:8">
      <c r="A518">
        <v>2</v>
      </c>
      <c r="B518" t="s">
        <v>146</v>
      </c>
      <c r="C518">
        <v>2013</v>
      </c>
      <c r="D518" t="s">
        <v>11</v>
      </c>
      <c r="E518" t="s">
        <v>115</v>
      </c>
      <c r="F518" t="s">
        <v>13</v>
      </c>
      <c r="G518" t="s">
        <v>155</v>
      </c>
      <c r="H518" s="220" t="s">
        <v>624</v>
      </c>
    </row>
    <row r="519" spans="1:8">
      <c r="A519">
        <v>3</v>
      </c>
      <c r="B519" t="s">
        <v>147</v>
      </c>
      <c r="C519">
        <v>2013</v>
      </c>
      <c r="D519" t="s">
        <v>11</v>
      </c>
      <c r="E519" t="s">
        <v>115</v>
      </c>
      <c r="F519" t="s">
        <v>13</v>
      </c>
      <c r="G519" t="s">
        <v>156</v>
      </c>
      <c r="H519" s="220" t="s">
        <v>625</v>
      </c>
    </row>
    <row r="520" spans="1:8">
      <c r="A520">
        <v>4</v>
      </c>
      <c r="B520" t="s">
        <v>148</v>
      </c>
      <c r="C520">
        <v>2013</v>
      </c>
      <c r="D520" t="s">
        <v>11</v>
      </c>
      <c r="E520" t="s">
        <v>115</v>
      </c>
      <c r="F520" t="s">
        <v>13</v>
      </c>
      <c r="G520" t="s">
        <v>157</v>
      </c>
      <c r="H520" s="220" t="s">
        <v>626</v>
      </c>
    </row>
    <row r="521" spans="1:8">
      <c r="A521">
        <v>0</v>
      </c>
      <c r="B521" t="s">
        <v>34</v>
      </c>
      <c r="C521">
        <v>2013</v>
      </c>
      <c r="D521" t="s">
        <v>11</v>
      </c>
      <c r="E521" t="s">
        <v>115</v>
      </c>
      <c r="F521" t="s">
        <v>13</v>
      </c>
      <c r="G521" t="s">
        <v>158</v>
      </c>
      <c r="H521" s="220" t="s">
        <v>627</v>
      </c>
    </row>
    <row r="522" spans="1:8">
      <c r="A522">
        <v>1</v>
      </c>
      <c r="B522" t="s">
        <v>145</v>
      </c>
      <c r="C522">
        <v>2012</v>
      </c>
      <c r="D522" t="s">
        <v>11</v>
      </c>
      <c r="E522" t="s">
        <v>115</v>
      </c>
      <c r="F522" t="s">
        <v>13</v>
      </c>
      <c r="G522" t="s">
        <v>154</v>
      </c>
      <c r="H522" s="220" t="s">
        <v>628</v>
      </c>
    </row>
    <row r="523" spans="1:8">
      <c r="A523">
        <v>2</v>
      </c>
      <c r="B523" t="s">
        <v>146</v>
      </c>
      <c r="C523">
        <v>2012</v>
      </c>
      <c r="D523" t="s">
        <v>11</v>
      </c>
      <c r="E523" t="s">
        <v>115</v>
      </c>
      <c r="F523" t="s">
        <v>13</v>
      </c>
      <c r="G523" t="s">
        <v>155</v>
      </c>
      <c r="H523" s="220" t="s">
        <v>629</v>
      </c>
    </row>
    <row r="524" spans="1:8">
      <c r="A524">
        <v>3</v>
      </c>
      <c r="B524" t="s">
        <v>147</v>
      </c>
      <c r="C524">
        <v>2012</v>
      </c>
      <c r="D524" t="s">
        <v>11</v>
      </c>
      <c r="E524" t="s">
        <v>115</v>
      </c>
      <c r="F524" t="s">
        <v>13</v>
      </c>
      <c r="G524" t="s">
        <v>156</v>
      </c>
      <c r="H524" s="220" t="s">
        <v>630</v>
      </c>
    </row>
    <row r="525" spans="1:8">
      <c r="A525">
        <v>4</v>
      </c>
      <c r="B525" t="s">
        <v>148</v>
      </c>
      <c r="C525">
        <v>2012</v>
      </c>
      <c r="D525" t="s">
        <v>11</v>
      </c>
      <c r="E525" t="s">
        <v>115</v>
      </c>
      <c r="F525" t="s">
        <v>13</v>
      </c>
      <c r="G525" t="s">
        <v>157</v>
      </c>
      <c r="H525" s="220" t="s">
        <v>631</v>
      </c>
    </row>
    <row r="526" spans="1:8">
      <c r="A526">
        <v>0</v>
      </c>
      <c r="B526" t="s">
        <v>34</v>
      </c>
      <c r="C526">
        <v>2012</v>
      </c>
      <c r="D526" t="s">
        <v>11</v>
      </c>
      <c r="E526" t="s">
        <v>115</v>
      </c>
      <c r="F526" t="s">
        <v>13</v>
      </c>
      <c r="G526" t="s">
        <v>158</v>
      </c>
      <c r="H526" s="220" t="s">
        <v>632</v>
      </c>
    </row>
    <row r="527" spans="1:8">
      <c r="A527">
        <v>1</v>
      </c>
      <c r="B527" t="s">
        <v>145</v>
      </c>
      <c r="C527">
        <v>2011</v>
      </c>
      <c r="D527" t="s">
        <v>11</v>
      </c>
      <c r="E527" t="s">
        <v>115</v>
      </c>
      <c r="F527" t="s">
        <v>13</v>
      </c>
      <c r="G527" t="s">
        <v>154</v>
      </c>
      <c r="H527" s="220" t="s">
        <v>633</v>
      </c>
    </row>
    <row r="528" spans="1:8">
      <c r="A528">
        <v>2</v>
      </c>
      <c r="B528" t="s">
        <v>146</v>
      </c>
      <c r="C528">
        <v>2011</v>
      </c>
      <c r="D528" t="s">
        <v>11</v>
      </c>
      <c r="E528" t="s">
        <v>115</v>
      </c>
      <c r="F528" t="s">
        <v>13</v>
      </c>
      <c r="G528" t="s">
        <v>155</v>
      </c>
      <c r="H528" s="220" t="s">
        <v>634</v>
      </c>
    </row>
    <row r="529" spans="1:8">
      <c r="A529">
        <v>3</v>
      </c>
      <c r="B529" t="s">
        <v>147</v>
      </c>
      <c r="C529">
        <v>2011</v>
      </c>
      <c r="D529" t="s">
        <v>11</v>
      </c>
      <c r="E529" t="s">
        <v>115</v>
      </c>
      <c r="F529" t="s">
        <v>13</v>
      </c>
      <c r="G529" t="s">
        <v>156</v>
      </c>
      <c r="H529" s="220" t="s">
        <v>635</v>
      </c>
    </row>
    <row r="530" spans="1:8">
      <c r="A530">
        <v>4</v>
      </c>
      <c r="B530" t="s">
        <v>148</v>
      </c>
      <c r="C530">
        <v>2011</v>
      </c>
      <c r="D530" t="s">
        <v>11</v>
      </c>
      <c r="E530" t="s">
        <v>115</v>
      </c>
      <c r="F530" t="s">
        <v>13</v>
      </c>
      <c r="G530" t="s">
        <v>157</v>
      </c>
      <c r="H530" s="220" t="s">
        <v>636</v>
      </c>
    </row>
    <row r="531" spans="1:8">
      <c r="A531">
        <v>0</v>
      </c>
      <c r="B531" t="s">
        <v>34</v>
      </c>
      <c r="C531">
        <v>2011</v>
      </c>
      <c r="D531" t="s">
        <v>11</v>
      </c>
      <c r="E531" t="s">
        <v>115</v>
      </c>
      <c r="F531" t="s">
        <v>13</v>
      </c>
      <c r="G531" t="s">
        <v>158</v>
      </c>
      <c r="H531" s="220" t="s">
        <v>637</v>
      </c>
    </row>
    <row r="532" spans="1:8">
      <c r="A532">
        <v>1</v>
      </c>
      <c r="B532" t="s">
        <v>145</v>
      </c>
      <c r="C532">
        <v>2010</v>
      </c>
      <c r="D532" t="s">
        <v>11</v>
      </c>
      <c r="E532" t="s">
        <v>115</v>
      </c>
      <c r="F532" t="s">
        <v>13</v>
      </c>
      <c r="G532" t="s">
        <v>154</v>
      </c>
      <c r="H532" s="220" t="s">
        <v>638</v>
      </c>
    </row>
    <row r="533" spans="1:8">
      <c r="A533">
        <v>2</v>
      </c>
      <c r="B533" t="s">
        <v>146</v>
      </c>
      <c r="C533">
        <v>2010</v>
      </c>
      <c r="D533" t="s">
        <v>11</v>
      </c>
      <c r="E533" t="s">
        <v>115</v>
      </c>
      <c r="F533" t="s">
        <v>13</v>
      </c>
      <c r="G533" t="s">
        <v>155</v>
      </c>
      <c r="H533" s="220" t="s">
        <v>639</v>
      </c>
    </row>
    <row r="534" spans="1:8">
      <c r="A534">
        <v>3</v>
      </c>
      <c r="B534" t="s">
        <v>147</v>
      </c>
      <c r="C534">
        <v>2010</v>
      </c>
      <c r="D534" t="s">
        <v>11</v>
      </c>
      <c r="E534" t="s">
        <v>115</v>
      </c>
      <c r="F534" t="s">
        <v>13</v>
      </c>
      <c r="G534" t="s">
        <v>156</v>
      </c>
      <c r="H534" s="220" t="s">
        <v>640</v>
      </c>
    </row>
    <row r="535" spans="1:8">
      <c r="A535">
        <v>4</v>
      </c>
      <c r="B535" t="s">
        <v>148</v>
      </c>
      <c r="C535">
        <v>2010</v>
      </c>
      <c r="D535" t="s">
        <v>11</v>
      </c>
      <c r="E535" t="s">
        <v>115</v>
      </c>
      <c r="F535" t="s">
        <v>13</v>
      </c>
      <c r="G535" t="s">
        <v>157</v>
      </c>
      <c r="H535" s="220" t="s">
        <v>641</v>
      </c>
    </row>
    <row r="536" spans="1:8">
      <c r="A536">
        <v>0</v>
      </c>
      <c r="B536" t="s">
        <v>34</v>
      </c>
      <c r="C536">
        <v>2010</v>
      </c>
      <c r="D536" t="s">
        <v>11</v>
      </c>
      <c r="E536" t="s">
        <v>115</v>
      </c>
      <c r="F536" t="s">
        <v>13</v>
      </c>
      <c r="G536" t="s">
        <v>158</v>
      </c>
      <c r="H536" s="220" t="s">
        <v>642</v>
      </c>
    </row>
    <row r="537" spans="1:8">
      <c r="A537">
        <v>1</v>
      </c>
      <c r="B537" t="s">
        <v>145</v>
      </c>
      <c r="C537">
        <v>2005</v>
      </c>
      <c r="D537" t="s">
        <v>11</v>
      </c>
      <c r="E537" t="s">
        <v>115</v>
      </c>
      <c r="F537" t="s">
        <v>13</v>
      </c>
      <c r="G537" t="s">
        <v>154</v>
      </c>
      <c r="H537" s="220" t="s">
        <v>643</v>
      </c>
    </row>
    <row r="538" spans="1:8">
      <c r="A538">
        <v>2</v>
      </c>
      <c r="B538" t="s">
        <v>146</v>
      </c>
      <c r="C538">
        <v>2005</v>
      </c>
      <c r="D538" t="s">
        <v>11</v>
      </c>
      <c r="E538" t="s">
        <v>115</v>
      </c>
      <c r="F538" t="s">
        <v>13</v>
      </c>
      <c r="G538" t="s">
        <v>155</v>
      </c>
      <c r="H538" s="220" t="s">
        <v>644</v>
      </c>
    </row>
    <row r="539" spans="1:8">
      <c r="A539">
        <v>3</v>
      </c>
      <c r="B539" t="s">
        <v>147</v>
      </c>
      <c r="C539">
        <v>2005</v>
      </c>
      <c r="D539" t="s">
        <v>11</v>
      </c>
      <c r="E539" t="s">
        <v>115</v>
      </c>
      <c r="F539" t="s">
        <v>13</v>
      </c>
      <c r="G539" t="s">
        <v>156</v>
      </c>
      <c r="H539" s="220" t="s">
        <v>645</v>
      </c>
    </row>
    <row r="540" spans="1:8">
      <c r="A540">
        <v>4</v>
      </c>
      <c r="B540" t="s">
        <v>148</v>
      </c>
      <c r="C540">
        <v>2005</v>
      </c>
      <c r="D540" t="s">
        <v>11</v>
      </c>
      <c r="E540" t="s">
        <v>115</v>
      </c>
      <c r="F540" t="s">
        <v>13</v>
      </c>
      <c r="G540" t="s">
        <v>157</v>
      </c>
      <c r="H540" s="220" t="s">
        <v>646</v>
      </c>
    </row>
    <row r="541" spans="1:8">
      <c r="A541">
        <v>0</v>
      </c>
      <c r="B541" t="s">
        <v>34</v>
      </c>
      <c r="C541">
        <v>2005</v>
      </c>
      <c r="D541" t="s">
        <v>11</v>
      </c>
      <c r="E541" t="s">
        <v>115</v>
      </c>
      <c r="F541" t="s">
        <v>13</v>
      </c>
      <c r="G541" t="s">
        <v>158</v>
      </c>
      <c r="H541" s="220" t="s">
        <v>647</v>
      </c>
    </row>
    <row r="542" spans="1:8">
      <c r="A542">
        <v>1</v>
      </c>
      <c r="B542" t="s">
        <v>145</v>
      </c>
      <c r="C542">
        <v>2020</v>
      </c>
      <c r="D542" t="s">
        <v>12</v>
      </c>
      <c r="E542" t="s">
        <v>115</v>
      </c>
      <c r="F542" t="s">
        <v>13</v>
      </c>
      <c r="G542" t="s">
        <v>154</v>
      </c>
      <c r="H542" s="220" t="s">
        <v>648</v>
      </c>
    </row>
    <row r="543" spans="1:8">
      <c r="A543">
        <v>2</v>
      </c>
      <c r="B543" t="s">
        <v>146</v>
      </c>
      <c r="C543">
        <v>2020</v>
      </c>
      <c r="D543" t="s">
        <v>12</v>
      </c>
      <c r="E543" t="s">
        <v>115</v>
      </c>
      <c r="F543" t="s">
        <v>13</v>
      </c>
      <c r="G543" t="s">
        <v>155</v>
      </c>
      <c r="H543" s="220" t="s">
        <v>649</v>
      </c>
    </row>
    <row r="544" spans="1:8">
      <c r="A544">
        <v>3</v>
      </c>
      <c r="B544" t="s">
        <v>147</v>
      </c>
      <c r="C544">
        <v>2020</v>
      </c>
      <c r="D544" t="s">
        <v>12</v>
      </c>
      <c r="E544" t="s">
        <v>115</v>
      </c>
      <c r="F544" t="s">
        <v>13</v>
      </c>
      <c r="G544" t="s">
        <v>156</v>
      </c>
      <c r="H544" s="220" t="s">
        <v>650</v>
      </c>
    </row>
    <row r="545" spans="1:8">
      <c r="A545">
        <v>4</v>
      </c>
      <c r="B545" t="s">
        <v>148</v>
      </c>
      <c r="C545">
        <v>2020</v>
      </c>
      <c r="D545" t="s">
        <v>12</v>
      </c>
      <c r="E545" t="s">
        <v>115</v>
      </c>
      <c r="F545" t="s">
        <v>13</v>
      </c>
      <c r="G545" t="s">
        <v>157</v>
      </c>
      <c r="H545" s="220" t="s">
        <v>651</v>
      </c>
    </row>
    <row r="546" spans="1:8">
      <c r="A546">
        <v>0</v>
      </c>
      <c r="B546" t="s">
        <v>34</v>
      </c>
      <c r="C546">
        <v>2020</v>
      </c>
      <c r="D546" t="s">
        <v>12</v>
      </c>
      <c r="E546" t="s">
        <v>115</v>
      </c>
      <c r="F546" t="s">
        <v>13</v>
      </c>
      <c r="G546" t="s">
        <v>158</v>
      </c>
      <c r="H546" s="220" t="s">
        <v>652</v>
      </c>
    </row>
    <row r="547" spans="1:8">
      <c r="A547">
        <v>1</v>
      </c>
      <c r="B547" t="s">
        <v>145</v>
      </c>
      <c r="C547">
        <v>2019</v>
      </c>
      <c r="D547" t="s">
        <v>12</v>
      </c>
      <c r="E547" t="s">
        <v>115</v>
      </c>
      <c r="F547" t="s">
        <v>13</v>
      </c>
      <c r="G547" t="s">
        <v>154</v>
      </c>
      <c r="H547" s="220" t="s">
        <v>653</v>
      </c>
    </row>
    <row r="548" spans="1:8">
      <c r="A548">
        <v>2</v>
      </c>
      <c r="B548" t="s">
        <v>146</v>
      </c>
      <c r="C548">
        <v>2019</v>
      </c>
      <c r="D548" t="s">
        <v>12</v>
      </c>
      <c r="E548" t="s">
        <v>115</v>
      </c>
      <c r="F548" t="s">
        <v>13</v>
      </c>
      <c r="G548" t="s">
        <v>155</v>
      </c>
      <c r="H548" s="220" t="s">
        <v>654</v>
      </c>
    </row>
    <row r="549" spans="1:8">
      <c r="A549">
        <v>3</v>
      </c>
      <c r="B549" t="s">
        <v>147</v>
      </c>
      <c r="C549">
        <v>2019</v>
      </c>
      <c r="D549" t="s">
        <v>12</v>
      </c>
      <c r="E549" t="s">
        <v>115</v>
      </c>
      <c r="F549" t="s">
        <v>13</v>
      </c>
      <c r="G549" t="s">
        <v>156</v>
      </c>
      <c r="H549" s="220" t="s">
        <v>655</v>
      </c>
    </row>
    <row r="550" spans="1:8">
      <c r="A550">
        <v>4</v>
      </c>
      <c r="B550" t="s">
        <v>148</v>
      </c>
      <c r="C550">
        <v>2019</v>
      </c>
      <c r="D550" t="s">
        <v>12</v>
      </c>
      <c r="E550" t="s">
        <v>115</v>
      </c>
      <c r="F550" t="s">
        <v>13</v>
      </c>
      <c r="G550" t="s">
        <v>157</v>
      </c>
      <c r="H550" s="220" t="s">
        <v>656</v>
      </c>
    </row>
    <row r="551" spans="1:8">
      <c r="A551">
        <v>0</v>
      </c>
      <c r="B551" t="s">
        <v>34</v>
      </c>
      <c r="C551">
        <v>2019</v>
      </c>
      <c r="D551" t="s">
        <v>12</v>
      </c>
      <c r="E551" t="s">
        <v>115</v>
      </c>
      <c r="F551" t="s">
        <v>13</v>
      </c>
      <c r="G551" t="s">
        <v>158</v>
      </c>
      <c r="H551" s="220" t="s">
        <v>657</v>
      </c>
    </row>
    <row r="552" spans="1:8">
      <c r="A552">
        <v>1</v>
      </c>
      <c r="B552" t="s">
        <v>145</v>
      </c>
      <c r="C552">
        <v>2018</v>
      </c>
      <c r="D552" t="s">
        <v>12</v>
      </c>
      <c r="E552" t="s">
        <v>115</v>
      </c>
      <c r="F552" t="s">
        <v>13</v>
      </c>
      <c r="G552" t="s">
        <v>154</v>
      </c>
      <c r="H552" s="220" t="s">
        <v>658</v>
      </c>
    </row>
    <row r="553" spans="1:8">
      <c r="A553">
        <v>2</v>
      </c>
      <c r="B553" t="s">
        <v>146</v>
      </c>
      <c r="C553">
        <v>2018</v>
      </c>
      <c r="D553" t="s">
        <v>12</v>
      </c>
      <c r="E553" t="s">
        <v>115</v>
      </c>
      <c r="F553" t="s">
        <v>13</v>
      </c>
      <c r="G553" t="s">
        <v>155</v>
      </c>
      <c r="H553" s="220" t="s">
        <v>659</v>
      </c>
    </row>
    <row r="554" spans="1:8">
      <c r="A554">
        <v>3</v>
      </c>
      <c r="B554" t="s">
        <v>147</v>
      </c>
      <c r="C554">
        <v>2018</v>
      </c>
      <c r="D554" t="s">
        <v>12</v>
      </c>
      <c r="E554" t="s">
        <v>115</v>
      </c>
      <c r="F554" t="s">
        <v>13</v>
      </c>
      <c r="G554" t="s">
        <v>156</v>
      </c>
      <c r="H554" s="220" t="s">
        <v>660</v>
      </c>
    </row>
    <row r="555" spans="1:8">
      <c r="A555">
        <v>4</v>
      </c>
      <c r="B555" t="s">
        <v>148</v>
      </c>
      <c r="C555">
        <v>2018</v>
      </c>
      <c r="D555" t="s">
        <v>12</v>
      </c>
      <c r="E555" t="s">
        <v>115</v>
      </c>
      <c r="F555" t="s">
        <v>13</v>
      </c>
      <c r="G555" t="s">
        <v>157</v>
      </c>
      <c r="H555" s="220" t="s">
        <v>661</v>
      </c>
    </row>
    <row r="556" spans="1:8">
      <c r="A556">
        <v>0</v>
      </c>
      <c r="B556" t="s">
        <v>34</v>
      </c>
      <c r="C556">
        <v>2018</v>
      </c>
      <c r="D556" t="s">
        <v>12</v>
      </c>
      <c r="E556" t="s">
        <v>115</v>
      </c>
      <c r="F556" t="s">
        <v>13</v>
      </c>
      <c r="G556" t="s">
        <v>158</v>
      </c>
      <c r="H556" s="220" t="s">
        <v>662</v>
      </c>
    </row>
    <row r="557" spans="1:8">
      <c r="A557">
        <v>1</v>
      </c>
      <c r="B557" t="s">
        <v>145</v>
      </c>
      <c r="C557">
        <v>2017</v>
      </c>
      <c r="D557" t="s">
        <v>12</v>
      </c>
      <c r="E557" t="s">
        <v>115</v>
      </c>
      <c r="F557" t="s">
        <v>13</v>
      </c>
      <c r="G557" t="s">
        <v>154</v>
      </c>
      <c r="H557" s="220" t="s">
        <v>663</v>
      </c>
    </row>
    <row r="558" spans="1:8">
      <c r="A558">
        <v>2</v>
      </c>
      <c r="B558" t="s">
        <v>146</v>
      </c>
      <c r="C558">
        <v>2017</v>
      </c>
      <c r="D558" t="s">
        <v>12</v>
      </c>
      <c r="E558" t="s">
        <v>115</v>
      </c>
      <c r="F558" t="s">
        <v>13</v>
      </c>
      <c r="G558" t="s">
        <v>155</v>
      </c>
      <c r="H558" s="220" t="s">
        <v>664</v>
      </c>
    </row>
    <row r="559" spans="1:8">
      <c r="A559">
        <v>3</v>
      </c>
      <c r="B559" t="s">
        <v>147</v>
      </c>
      <c r="C559">
        <v>2017</v>
      </c>
      <c r="D559" t="s">
        <v>12</v>
      </c>
      <c r="E559" t="s">
        <v>115</v>
      </c>
      <c r="F559" t="s">
        <v>13</v>
      </c>
      <c r="G559" t="s">
        <v>156</v>
      </c>
      <c r="H559" s="220" t="s">
        <v>665</v>
      </c>
    </row>
    <row r="560" spans="1:8">
      <c r="A560">
        <v>4</v>
      </c>
      <c r="B560" t="s">
        <v>148</v>
      </c>
      <c r="C560">
        <v>2017</v>
      </c>
      <c r="D560" t="s">
        <v>12</v>
      </c>
      <c r="E560" t="s">
        <v>115</v>
      </c>
      <c r="F560" t="s">
        <v>13</v>
      </c>
      <c r="G560" t="s">
        <v>157</v>
      </c>
      <c r="H560" s="220" t="s">
        <v>666</v>
      </c>
    </row>
    <row r="561" spans="1:8">
      <c r="A561">
        <v>0</v>
      </c>
      <c r="B561" t="s">
        <v>34</v>
      </c>
      <c r="C561">
        <v>2017</v>
      </c>
      <c r="D561" t="s">
        <v>12</v>
      </c>
      <c r="E561" t="s">
        <v>115</v>
      </c>
      <c r="F561" t="s">
        <v>13</v>
      </c>
      <c r="G561" t="s">
        <v>158</v>
      </c>
      <c r="H561" s="220" t="s">
        <v>667</v>
      </c>
    </row>
    <row r="562" spans="1:8">
      <c r="A562">
        <v>1</v>
      </c>
      <c r="B562" t="s">
        <v>145</v>
      </c>
      <c r="C562">
        <v>2016</v>
      </c>
      <c r="D562" t="s">
        <v>12</v>
      </c>
      <c r="E562" t="s">
        <v>115</v>
      </c>
      <c r="F562" t="s">
        <v>13</v>
      </c>
      <c r="G562" t="s">
        <v>154</v>
      </c>
      <c r="H562" s="220" t="s">
        <v>668</v>
      </c>
    </row>
    <row r="563" spans="1:8">
      <c r="A563">
        <v>2</v>
      </c>
      <c r="B563" t="s">
        <v>146</v>
      </c>
      <c r="C563">
        <v>2016</v>
      </c>
      <c r="D563" t="s">
        <v>12</v>
      </c>
      <c r="E563" t="s">
        <v>115</v>
      </c>
      <c r="F563" t="s">
        <v>13</v>
      </c>
      <c r="G563" t="s">
        <v>155</v>
      </c>
      <c r="H563" s="220" t="s">
        <v>669</v>
      </c>
    </row>
    <row r="564" spans="1:8">
      <c r="A564">
        <v>3</v>
      </c>
      <c r="B564" t="s">
        <v>147</v>
      </c>
      <c r="C564">
        <v>2016</v>
      </c>
      <c r="D564" t="s">
        <v>12</v>
      </c>
      <c r="E564" t="s">
        <v>115</v>
      </c>
      <c r="F564" t="s">
        <v>13</v>
      </c>
      <c r="G564" t="s">
        <v>156</v>
      </c>
      <c r="H564" s="220" t="s">
        <v>670</v>
      </c>
    </row>
    <row r="565" spans="1:8">
      <c r="A565">
        <v>4</v>
      </c>
      <c r="B565" t="s">
        <v>148</v>
      </c>
      <c r="C565">
        <v>2016</v>
      </c>
      <c r="D565" t="s">
        <v>12</v>
      </c>
      <c r="E565" t="s">
        <v>115</v>
      </c>
      <c r="F565" t="s">
        <v>13</v>
      </c>
      <c r="G565" t="s">
        <v>157</v>
      </c>
      <c r="H565" s="220" t="s">
        <v>671</v>
      </c>
    </row>
    <row r="566" spans="1:8">
      <c r="A566">
        <v>0</v>
      </c>
      <c r="B566" t="s">
        <v>34</v>
      </c>
      <c r="C566">
        <v>2016</v>
      </c>
      <c r="D566" t="s">
        <v>12</v>
      </c>
      <c r="E566" t="s">
        <v>115</v>
      </c>
      <c r="F566" t="s">
        <v>13</v>
      </c>
      <c r="G566" t="s">
        <v>158</v>
      </c>
      <c r="H566" s="220" t="s">
        <v>672</v>
      </c>
    </row>
    <row r="567" spans="1:8">
      <c r="A567">
        <v>1</v>
      </c>
      <c r="B567" t="s">
        <v>145</v>
      </c>
      <c r="C567">
        <v>2015</v>
      </c>
      <c r="D567" t="s">
        <v>12</v>
      </c>
      <c r="E567" t="s">
        <v>115</v>
      </c>
      <c r="F567" t="s">
        <v>13</v>
      </c>
      <c r="G567" t="s">
        <v>154</v>
      </c>
      <c r="H567" s="220" t="s">
        <v>673</v>
      </c>
    </row>
    <row r="568" spans="1:8">
      <c r="A568">
        <v>2</v>
      </c>
      <c r="B568" t="s">
        <v>146</v>
      </c>
      <c r="C568">
        <v>2015</v>
      </c>
      <c r="D568" t="s">
        <v>12</v>
      </c>
      <c r="E568" t="s">
        <v>115</v>
      </c>
      <c r="F568" t="s">
        <v>13</v>
      </c>
      <c r="G568" t="s">
        <v>155</v>
      </c>
      <c r="H568" s="220" t="s">
        <v>674</v>
      </c>
    </row>
    <row r="569" spans="1:8">
      <c r="A569">
        <v>3</v>
      </c>
      <c r="B569" t="s">
        <v>147</v>
      </c>
      <c r="C569">
        <v>2015</v>
      </c>
      <c r="D569" t="s">
        <v>12</v>
      </c>
      <c r="E569" t="s">
        <v>115</v>
      </c>
      <c r="F569" t="s">
        <v>13</v>
      </c>
      <c r="G569" t="s">
        <v>156</v>
      </c>
      <c r="H569" s="220" t="s">
        <v>675</v>
      </c>
    </row>
    <row r="570" spans="1:8">
      <c r="A570">
        <v>4</v>
      </c>
      <c r="B570" t="s">
        <v>148</v>
      </c>
      <c r="C570">
        <v>2015</v>
      </c>
      <c r="D570" t="s">
        <v>12</v>
      </c>
      <c r="E570" t="s">
        <v>115</v>
      </c>
      <c r="F570" t="s">
        <v>13</v>
      </c>
      <c r="G570" t="s">
        <v>157</v>
      </c>
      <c r="H570" s="220" t="s">
        <v>676</v>
      </c>
    </row>
    <row r="571" spans="1:8">
      <c r="A571">
        <v>0</v>
      </c>
      <c r="B571" t="s">
        <v>34</v>
      </c>
      <c r="C571">
        <v>2015</v>
      </c>
      <c r="D571" t="s">
        <v>12</v>
      </c>
      <c r="E571" t="s">
        <v>115</v>
      </c>
      <c r="F571" t="s">
        <v>13</v>
      </c>
      <c r="G571" t="s">
        <v>158</v>
      </c>
      <c r="H571" s="220" t="s">
        <v>677</v>
      </c>
    </row>
    <row r="572" spans="1:8">
      <c r="A572">
        <v>1</v>
      </c>
      <c r="B572" t="s">
        <v>145</v>
      </c>
      <c r="C572">
        <v>2014</v>
      </c>
      <c r="D572" t="s">
        <v>12</v>
      </c>
      <c r="E572" t="s">
        <v>115</v>
      </c>
      <c r="F572" t="s">
        <v>13</v>
      </c>
      <c r="G572" t="s">
        <v>154</v>
      </c>
      <c r="H572" s="220" t="s">
        <v>678</v>
      </c>
    </row>
    <row r="573" spans="1:8">
      <c r="A573">
        <v>2</v>
      </c>
      <c r="B573" t="s">
        <v>146</v>
      </c>
      <c r="C573">
        <v>2014</v>
      </c>
      <c r="D573" t="s">
        <v>12</v>
      </c>
      <c r="E573" t="s">
        <v>115</v>
      </c>
      <c r="F573" t="s">
        <v>13</v>
      </c>
      <c r="G573" t="s">
        <v>155</v>
      </c>
      <c r="H573" s="220" t="s">
        <v>679</v>
      </c>
    </row>
    <row r="574" spans="1:8">
      <c r="A574">
        <v>3</v>
      </c>
      <c r="B574" t="s">
        <v>147</v>
      </c>
      <c r="C574">
        <v>2014</v>
      </c>
      <c r="D574" t="s">
        <v>12</v>
      </c>
      <c r="E574" t="s">
        <v>115</v>
      </c>
      <c r="F574" t="s">
        <v>13</v>
      </c>
      <c r="G574" t="s">
        <v>156</v>
      </c>
      <c r="H574" s="220" t="s">
        <v>680</v>
      </c>
    </row>
    <row r="575" spans="1:8">
      <c r="A575">
        <v>4</v>
      </c>
      <c r="B575" t="s">
        <v>148</v>
      </c>
      <c r="C575">
        <v>2014</v>
      </c>
      <c r="D575" t="s">
        <v>12</v>
      </c>
      <c r="E575" t="s">
        <v>115</v>
      </c>
      <c r="F575" t="s">
        <v>13</v>
      </c>
      <c r="G575" t="s">
        <v>157</v>
      </c>
      <c r="H575" s="220" t="s">
        <v>681</v>
      </c>
    </row>
    <row r="576" spans="1:8">
      <c r="A576">
        <v>0</v>
      </c>
      <c r="B576" t="s">
        <v>34</v>
      </c>
      <c r="C576">
        <v>2014</v>
      </c>
      <c r="D576" t="s">
        <v>12</v>
      </c>
      <c r="E576" t="s">
        <v>115</v>
      </c>
      <c r="F576" t="s">
        <v>13</v>
      </c>
      <c r="G576" t="s">
        <v>158</v>
      </c>
      <c r="H576" s="220" t="s">
        <v>682</v>
      </c>
    </row>
    <row r="577" spans="1:8">
      <c r="A577">
        <v>1</v>
      </c>
      <c r="B577" t="s">
        <v>145</v>
      </c>
      <c r="C577">
        <v>2013</v>
      </c>
      <c r="D577" t="s">
        <v>12</v>
      </c>
      <c r="E577" t="s">
        <v>115</v>
      </c>
      <c r="F577" t="s">
        <v>13</v>
      </c>
      <c r="G577" t="s">
        <v>154</v>
      </c>
      <c r="H577" s="220" t="s">
        <v>683</v>
      </c>
    </row>
    <row r="578" spans="1:8">
      <c r="A578">
        <v>2</v>
      </c>
      <c r="B578" t="s">
        <v>146</v>
      </c>
      <c r="C578">
        <v>2013</v>
      </c>
      <c r="D578" t="s">
        <v>12</v>
      </c>
      <c r="E578" t="s">
        <v>115</v>
      </c>
      <c r="F578" t="s">
        <v>13</v>
      </c>
      <c r="G578" t="s">
        <v>155</v>
      </c>
      <c r="H578" s="220" t="s">
        <v>684</v>
      </c>
    </row>
    <row r="579" spans="1:8">
      <c r="A579">
        <v>3</v>
      </c>
      <c r="B579" t="s">
        <v>147</v>
      </c>
      <c r="C579">
        <v>2013</v>
      </c>
      <c r="D579" t="s">
        <v>12</v>
      </c>
      <c r="E579" t="s">
        <v>115</v>
      </c>
      <c r="F579" t="s">
        <v>13</v>
      </c>
      <c r="G579" t="s">
        <v>156</v>
      </c>
      <c r="H579" s="220" t="s">
        <v>685</v>
      </c>
    </row>
    <row r="580" spans="1:8">
      <c r="A580">
        <v>4</v>
      </c>
      <c r="B580" t="s">
        <v>148</v>
      </c>
      <c r="C580">
        <v>2013</v>
      </c>
      <c r="D580" t="s">
        <v>12</v>
      </c>
      <c r="E580" t="s">
        <v>115</v>
      </c>
      <c r="F580" t="s">
        <v>13</v>
      </c>
      <c r="G580" t="s">
        <v>157</v>
      </c>
      <c r="H580" s="220" t="s">
        <v>686</v>
      </c>
    </row>
    <row r="581" spans="1:8">
      <c r="A581">
        <v>0</v>
      </c>
      <c r="B581" t="s">
        <v>34</v>
      </c>
      <c r="C581">
        <v>2013</v>
      </c>
      <c r="D581" t="s">
        <v>12</v>
      </c>
      <c r="E581" t="s">
        <v>115</v>
      </c>
      <c r="F581" t="s">
        <v>13</v>
      </c>
      <c r="G581" t="s">
        <v>158</v>
      </c>
      <c r="H581" s="220" t="s">
        <v>687</v>
      </c>
    </row>
    <row r="582" spans="1:8">
      <c r="A582">
        <v>1</v>
      </c>
      <c r="B582" t="s">
        <v>145</v>
      </c>
      <c r="C582">
        <v>2012</v>
      </c>
      <c r="D582" t="s">
        <v>12</v>
      </c>
      <c r="E582" t="s">
        <v>115</v>
      </c>
      <c r="F582" t="s">
        <v>13</v>
      </c>
      <c r="G582" t="s">
        <v>154</v>
      </c>
      <c r="H582" s="220" t="s">
        <v>688</v>
      </c>
    </row>
    <row r="583" spans="1:8">
      <c r="A583">
        <v>2</v>
      </c>
      <c r="B583" t="s">
        <v>146</v>
      </c>
      <c r="C583">
        <v>2012</v>
      </c>
      <c r="D583" t="s">
        <v>12</v>
      </c>
      <c r="E583" t="s">
        <v>115</v>
      </c>
      <c r="F583" t="s">
        <v>13</v>
      </c>
      <c r="G583" t="s">
        <v>155</v>
      </c>
      <c r="H583" s="220" t="s">
        <v>689</v>
      </c>
    </row>
    <row r="584" spans="1:8">
      <c r="A584">
        <v>3</v>
      </c>
      <c r="B584" t="s">
        <v>147</v>
      </c>
      <c r="C584">
        <v>2012</v>
      </c>
      <c r="D584" t="s">
        <v>12</v>
      </c>
      <c r="E584" t="s">
        <v>115</v>
      </c>
      <c r="F584" t="s">
        <v>13</v>
      </c>
      <c r="G584" t="s">
        <v>156</v>
      </c>
      <c r="H584" s="220" t="s">
        <v>690</v>
      </c>
    </row>
    <row r="585" spans="1:8">
      <c r="A585">
        <v>4</v>
      </c>
      <c r="B585" t="s">
        <v>148</v>
      </c>
      <c r="C585">
        <v>2012</v>
      </c>
      <c r="D585" t="s">
        <v>12</v>
      </c>
      <c r="E585" t="s">
        <v>115</v>
      </c>
      <c r="F585" t="s">
        <v>13</v>
      </c>
      <c r="G585" t="s">
        <v>157</v>
      </c>
      <c r="H585" s="220" t="s">
        <v>691</v>
      </c>
    </row>
    <row r="586" spans="1:8">
      <c r="A586">
        <v>0</v>
      </c>
      <c r="B586" t="s">
        <v>34</v>
      </c>
      <c r="C586">
        <v>2012</v>
      </c>
      <c r="D586" t="s">
        <v>12</v>
      </c>
      <c r="E586" t="s">
        <v>115</v>
      </c>
      <c r="F586" t="s">
        <v>13</v>
      </c>
      <c r="G586" t="s">
        <v>158</v>
      </c>
      <c r="H586" s="220" t="s">
        <v>692</v>
      </c>
    </row>
    <row r="587" spans="1:8">
      <c r="A587">
        <v>1</v>
      </c>
      <c r="B587" t="s">
        <v>145</v>
      </c>
      <c r="C587">
        <v>2011</v>
      </c>
      <c r="D587" t="s">
        <v>12</v>
      </c>
      <c r="E587" t="s">
        <v>115</v>
      </c>
      <c r="F587" t="s">
        <v>13</v>
      </c>
      <c r="G587" t="s">
        <v>154</v>
      </c>
      <c r="H587" s="220" t="s">
        <v>693</v>
      </c>
    </row>
    <row r="588" spans="1:8">
      <c r="A588">
        <v>2</v>
      </c>
      <c r="B588" t="s">
        <v>146</v>
      </c>
      <c r="C588">
        <v>2011</v>
      </c>
      <c r="D588" t="s">
        <v>12</v>
      </c>
      <c r="E588" t="s">
        <v>115</v>
      </c>
      <c r="F588" t="s">
        <v>13</v>
      </c>
      <c r="G588" t="s">
        <v>155</v>
      </c>
      <c r="H588" s="220" t="s">
        <v>694</v>
      </c>
    </row>
    <row r="589" spans="1:8">
      <c r="A589">
        <v>3</v>
      </c>
      <c r="B589" t="s">
        <v>147</v>
      </c>
      <c r="C589">
        <v>2011</v>
      </c>
      <c r="D589" t="s">
        <v>12</v>
      </c>
      <c r="E589" t="s">
        <v>115</v>
      </c>
      <c r="F589" t="s">
        <v>13</v>
      </c>
      <c r="G589" t="s">
        <v>156</v>
      </c>
      <c r="H589" s="220" t="s">
        <v>695</v>
      </c>
    </row>
    <row r="590" spans="1:8">
      <c r="A590">
        <v>4</v>
      </c>
      <c r="B590" t="s">
        <v>148</v>
      </c>
      <c r="C590">
        <v>2011</v>
      </c>
      <c r="D590" t="s">
        <v>12</v>
      </c>
      <c r="E590" t="s">
        <v>115</v>
      </c>
      <c r="F590" t="s">
        <v>13</v>
      </c>
      <c r="G590" t="s">
        <v>157</v>
      </c>
      <c r="H590" s="220" t="s">
        <v>696</v>
      </c>
    </row>
    <row r="591" spans="1:8">
      <c r="A591">
        <v>0</v>
      </c>
      <c r="B591" t="s">
        <v>34</v>
      </c>
      <c r="C591">
        <v>2011</v>
      </c>
      <c r="D591" t="s">
        <v>12</v>
      </c>
      <c r="E591" t="s">
        <v>115</v>
      </c>
      <c r="F591" t="s">
        <v>13</v>
      </c>
      <c r="G591" t="s">
        <v>158</v>
      </c>
      <c r="H591" s="220" t="s">
        <v>697</v>
      </c>
    </row>
    <row r="592" spans="1:8">
      <c r="A592">
        <v>1</v>
      </c>
      <c r="B592" t="s">
        <v>145</v>
      </c>
      <c r="C592">
        <v>2010</v>
      </c>
      <c r="D592" t="s">
        <v>12</v>
      </c>
      <c r="E592" t="s">
        <v>115</v>
      </c>
      <c r="F592" t="s">
        <v>13</v>
      </c>
      <c r="G592" t="s">
        <v>154</v>
      </c>
      <c r="H592" s="220" t="s">
        <v>698</v>
      </c>
    </row>
    <row r="593" spans="1:8">
      <c r="A593">
        <v>2</v>
      </c>
      <c r="B593" t="s">
        <v>146</v>
      </c>
      <c r="C593">
        <v>2010</v>
      </c>
      <c r="D593" t="s">
        <v>12</v>
      </c>
      <c r="E593" t="s">
        <v>115</v>
      </c>
      <c r="F593" t="s">
        <v>13</v>
      </c>
      <c r="G593" t="s">
        <v>155</v>
      </c>
      <c r="H593" s="220" t="s">
        <v>699</v>
      </c>
    </row>
    <row r="594" spans="1:8">
      <c r="A594">
        <v>3</v>
      </c>
      <c r="B594" t="s">
        <v>147</v>
      </c>
      <c r="C594">
        <v>2010</v>
      </c>
      <c r="D594" t="s">
        <v>12</v>
      </c>
      <c r="E594" t="s">
        <v>115</v>
      </c>
      <c r="F594" t="s">
        <v>13</v>
      </c>
      <c r="G594" t="s">
        <v>156</v>
      </c>
      <c r="H594" s="220" t="s">
        <v>700</v>
      </c>
    </row>
    <row r="595" spans="1:8">
      <c r="A595">
        <v>4</v>
      </c>
      <c r="B595" t="s">
        <v>148</v>
      </c>
      <c r="C595">
        <v>2010</v>
      </c>
      <c r="D595" t="s">
        <v>12</v>
      </c>
      <c r="E595" t="s">
        <v>115</v>
      </c>
      <c r="F595" t="s">
        <v>13</v>
      </c>
      <c r="G595" t="s">
        <v>157</v>
      </c>
      <c r="H595" s="220" t="s">
        <v>701</v>
      </c>
    </row>
    <row r="596" spans="1:8">
      <c r="A596">
        <v>0</v>
      </c>
      <c r="B596" t="s">
        <v>34</v>
      </c>
      <c r="C596">
        <v>2010</v>
      </c>
      <c r="D596" t="s">
        <v>12</v>
      </c>
      <c r="E596" t="s">
        <v>115</v>
      </c>
      <c r="F596" t="s">
        <v>13</v>
      </c>
      <c r="G596" t="s">
        <v>158</v>
      </c>
      <c r="H596" s="220" t="s">
        <v>702</v>
      </c>
    </row>
    <row r="597" spans="1:8">
      <c r="A597">
        <v>1</v>
      </c>
      <c r="B597" t="s">
        <v>145</v>
      </c>
      <c r="C597">
        <v>2005</v>
      </c>
      <c r="D597" t="s">
        <v>12</v>
      </c>
      <c r="E597" t="s">
        <v>115</v>
      </c>
      <c r="F597" t="s">
        <v>13</v>
      </c>
      <c r="G597" t="s">
        <v>154</v>
      </c>
      <c r="H597" s="220" t="s">
        <v>703</v>
      </c>
    </row>
    <row r="598" spans="1:8">
      <c r="A598">
        <v>2</v>
      </c>
      <c r="B598" t="s">
        <v>146</v>
      </c>
      <c r="C598">
        <v>2005</v>
      </c>
      <c r="D598" t="s">
        <v>12</v>
      </c>
      <c r="E598" t="s">
        <v>115</v>
      </c>
      <c r="F598" t="s">
        <v>13</v>
      </c>
      <c r="G598" t="s">
        <v>155</v>
      </c>
      <c r="H598" s="220" t="s">
        <v>704</v>
      </c>
    </row>
    <row r="599" spans="1:8">
      <c r="A599">
        <v>3</v>
      </c>
      <c r="B599" t="s">
        <v>147</v>
      </c>
      <c r="C599">
        <v>2005</v>
      </c>
      <c r="D599" t="s">
        <v>12</v>
      </c>
      <c r="E599" t="s">
        <v>115</v>
      </c>
      <c r="F599" t="s">
        <v>13</v>
      </c>
      <c r="G599" t="s">
        <v>156</v>
      </c>
      <c r="H599" s="220" t="s">
        <v>705</v>
      </c>
    </row>
    <row r="600" spans="1:8">
      <c r="A600">
        <v>4</v>
      </c>
      <c r="B600" t="s">
        <v>148</v>
      </c>
      <c r="C600">
        <v>2005</v>
      </c>
      <c r="D600" t="s">
        <v>12</v>
      </c>
      <c r="E600" t="s">
        <v>115</v>
      </c>
      <c r="F600" t="s">
        <v>13</v>
      </c>
      <c r="G600" t="s">
        <v>157</v>
      </c>
      <c r="H600" s="220" t="s">
        <v>706</v>
      </c>
    </row>
    <row r="601" spans="1:8">
      <c r="A601">
        <v>0</v>
      </c>
      <c r="B601" t="s">
        <v>34</v>
      </c>
      <c r="C601">
        <v>2005</v>
      </c>
      <c r="D601" t="s">
        <v>12</v>
      </c>
      <c r="E601" t="s">
        <v>115</v>
      </c>
      <c r="F601" t="s">
        <v>13</v>
      </c>
      <c r="G601" t="s">
        <v>158</v>
      </c>
      <c r="H601" s="220" t="s">
        <v>707</v>
      </c>
    </row>
    <row r="602" spans="1:8">
      <c r="A602">
        <v>1</v>
      </c>
      <c r="B602" t="s">
        <v>145</v>
      </c>
      <c r="C602">
        <v>2020</v>
      </c>
      <c r="D602" t="s">
        <v>11</v>
      </c>
      <c r="E602" t="s">
        <v>9</v>
      </c>
      <c r="F602" t="s">
        <v>13</v>
      </c>
      <c r="G602" t="s">
        <v>154</v>
      </c>
      <c r="H602" s="220" t="s">
        <v>708</v>
      </c>
    </row>
    <row r="603" spans="1:8">
      <c r="A603">
        <v>2</v>
      </c>
      <c r="B603" t="s">
        <v>146</v>
      </c>
      <c r="C603">
        <v>2020</v>
      </c>
      <c r="D603" t="s">
        <v>11</v>
      </c>
      <c r="E603" t="s">
        <v>9</v>
      </c>
      <c r="F603" t="s">
        <v>13</v>
      </c>
      <c r="G603" t="s">
        <v>155</v>
      </c>
      <c r="H603" s="220" t="s">
        <v>709</v>
      </c>
    </row>
    <row r="604" spans="1:8">
      <c r="A604">
        <v>3</v>
      </c>
      <c r="B604" t="s">
        <v>147</v>
      </c>
      <c r="C604">
        <v>2020</v>
      </c>
      <c r="D604" t="s">
        <v>11</v>
      </c>
      <c r="E604" t="s">
        <v>9</v>
      </c>
      <c r="F604" t="s">
        <v>13</v>
      </c>
      <c r="G604" t="s">
        <v>156</v>
      </c>
      <c r="H604" s="220" t="s">
        <v>710</v>
      </c>
    </row>
    <row r="605" spans="1:8">
      <c r="A605">
        <v>4</v>
      </c>
      <c r="B605" t="s">
        <v>148</v>
      </c>
      <c r="C605">
        <v>2020</v>
      </c>
      <c r="D605" t="s">
        <v>11</v>
      </c>
      <c r="E605" t="s">
        <v>9</v>
      </c>
      <c r="F605" t="s">
        <v>13</v>
      </c>
      <c r="G605" t="s">
        <v>157</v>
      </c>
      <c r="H605" s="220" t="s">
        <v>711</v>
      </c>
    </row>
    <row r="606" spans="1:8">
      <c r="A606">
        <v>0</v>
      </c>
      <c r="B606" t="s">
        <v>34</v>
      </c>
      <c r="C606">
        <v>2020</v>
      </c>
      <c r="D606" t="s">
        <v>11</v>
      </c>
      <c r="E606" t="s">
        <v>9</v>
      </c>
      <c r="F606" t="s">
        <v>13</v>
      </c>
      <c r="G606" t="s">
        <v>158</v>
      </c>
      <c r="H606" s="220" t="s">
        <v>712</v>
      </c>
    </row>
    <row r="607" spans="1:8">
      <c r="A607">
        <v>1</v>
      </c>
      <c r="B607" t="s">
        <v>145</v>
      </c>
      <c r="C607">
        <v>2019</v>
      </c>
      <c r="D607" t="s">
        <v>11</v>
      </c>
      <c r="E607" t="s">
        <v>9</v>
      </c>
      <c r="F607" t="s">
        <v>13</v>
      </c>
      <c r="G607" t="s">
        <v>154</v>
      </c>
      <c r="H607" s="220" t="s">
        <v>713</v>
      </c>
    </row>
    <row r="608" spans="1:8">
      <c r="A608">
        <v>2</v>
      </c>
      <c r="B608" t="s">
        <v>146</v>
      </c>
      <c r="C608">
        <v>2019</v>
      </c>
      <c r="D608" t="s">
        <v>11</v>
      </c>
      <c r="E608" t="s">
        <v>9</v>
      </c>
      <c r="F608" t="s">
        <v>13</v>
      </c>
      <c r="G608" t="s">
        <v>155</v>
      </c>
      <c r="H608" s="220" t="s">
        <v>714</v>
      </c>
    </row>
    <row r="609" spans="1:8">
      <c r="A609">
        <v>3</v>
      </c>
      <c r="B609" t="s">
        <v>147</v>
      </c>
      <c r="C609">
        <v>2019</v>
      </c>
      <c r="D609" t="s">
        <v>11</v>
      </c>
      <c r="E609" t="s">
        <v>9</v>
      </c>
      <c r="F609" t="s">
        <v>13</v>
      </c>
      <c r="G609" t="s">
        <v>156</v>
      </c>
      <c r="H609" s="220" t="s">
        <v>715</v>
      </c>
    </row>
    <row r="610" spans="1:8">
      <c r="A610">
        <v>4</v>
      </c>
      <c r="B610" t="s">
        <v>148</v>
      </c>
      <c r="C610">
        <v>2019</v>
      </c>
      <c r="D610" t="s">
        <v>11</v>
      </c>
      <c r="E610" t="s">
        <v>9</v>
      </c>
      <c r="F610" t="s">
        <v>13</v>
      </c>
      <c r="G610" t="s">
        <v>157</v>
      </c>
      <c r="H610" s="220" t="s">
        <v>716</v>
      </c>
    </row>
    <row r="611" spans="1:8">
      <c r="A611">
        <v>0</v>
      </c>
      <c r="B611" t="s">
        <v>34</v>
      </c>
      <c r="C611">
        <v>2019</v>
      </c>
      <c r="D611" t="s">
        <v>11</v>
      </c>
      <c r="E611" t="s">
        <v>9</v>
      </c>
      <c r="F611" t="s">
        <v>13</v>
      </c>
      <c r="G611" t="s">
        <v>158</v>
      </c>
      <c r="H611" s="220" t="s">
        <v>717</v>
      </c>
    </row>
    <row r="612" spans="1:8">
      <c r="A612">
        <v>1</v>
      </c>
      <c r="B612" t="s">
        <v>145</v>
      </c>
      <c r="C612">
        <v>2018</v>
      </c>
      <c r="D612" t="s">
        <v>11</v>
      </c>
      <c r="E612" t="s">
        <v>9</v>
      </c>
      <c r="F612" t="s">
        <v>13</v>
      </c>
      <c r="G612" t="s">
        <v>154</v>
      </c>
      <c r="H612" s="220" t="s">
        <v>718</v>
      </c>
    </row>
    <row r="613" spans="1:8">
      <c r="A613">
        <v>2</v>
      </c>
      <c r="B613" t="s">
        <v>146</v>
      </c>
      <c r="C613">
        <v>2018</v>
      </c>
      <c r="D613" t="s">
        <v>11</v>
      </c>
      <c r="E613" t="s">
        <v>9</v>
      </c>
      <c r="F613" t="s">
        <v>13</v>
      </c>
      <c r="G613" t="s">
        <v>155</v>
      </c>
      <c r="H613" s="220" t="s">
        <v>719</v>
      </c>
    </row>
    <row r="614" spans="1:8">
      <c r="A614">
        <v>3</v>
      </c>
      <c r="B614" t="s">
        <v>147</v>
      </c>
      <c r="C614">
        <v>2018</v>
      </c>
      <c r="D614" t="s">
        <v>11</v>
      </c>
      <c r="E614" t="s">
        <v>9</v>
      </c>
      <c r="F614" t="s">
        <v>13</v>
      </c>
      <c r="G614" t="s">
        <v>156</v>
      </c>
      <c r="H614" s="220" t="s">
        <v>720</v>
      </c>
    </row>
    <row r="615" spans="1:8">
      <c r="A615">
        <v>4</v>
      </c>
      <c r="B615" t="s">
        <v>148</v>
      </c>
      <c r="C615">
        <v>2018</v>
      </c>
      <c r="D615" t="s">
        <v>11</v>
      </c>
      <c r="E615" t="s">
        <v>9</v>
      </c>
      <c r="F615" t="s">
        <v>13</v>
      </c>
      <c r="G615" t="s">
        <v>157</v>
      </c>
      <c r="H615" s="220" t="s">
        <v>721</v>
      </c>
    </row>
    <row r="616" spans="1:8">
      <c r="A616">
        <v>0</v>
      </c>
      <c r="B616" t="s">
        <v>34</v>
      </c>
      <c r="C616">
        <v>2018</v>
      </c>
      <c r="D616" t="s">
        <v>11</v>
      </c>
      <c r="E616" t="s">
        <v>9</v>
      </c>
      <c r="F616" t="s">
        <v>13</v>
      </c>
      <c r="G616" t="s">
        <v>158</v>
      </c>
      <c r="H616" s="220" t="s">
        <v>722</v>
      </c>
    </row>
    <row r="617" spans="1:8">
      <c r="A617">
        <v>1</v>
      </c>
      <c r="B617" t="s">
        <v>145</v>
      </c>
      <c r="C617">
        <v>2017</v>
      </c>
      <c r="D617" t="s">
        <v>11</v>
      </c>
      <c r="E617" t="s">
        <v>9</v>
      </c>
      <c r="F617" t="s">
        <v>13</v>
      </c>
      <c r="G617" t="s">
        <v>154</v>
      </c>
      <c r="H617" s="220" t="s">
        <v>723</v>
      </c>
    </row>
    <row r="618" spans="1:8">
      <c r="A618">
        <v>2</v>
      </c>
      <c r="B618" t="s">
        <v>146</v>
      </c>
      <c r="C618">
        <v>2017</v>
      </c>
      <c r="D618" t="s">
        <v>11</v>
      </c>
      <c r="E618" t="s">
        <v>9</v>
      </c>
      <c r="F618" t="s">
        <v>13</v>
      </c>
      <c r="G618" t="s">
        <v>155</v>
      </c>
      <c r="H618" s="220" t="s">
        <v>724</v>
      </c>
    </row>
    <row r="619" spans="1:8">
      <c r="A619">
        <v>3</v>
      </c>
      <c r="B619" t="s">
        <v>147</v>
      </c>
      <c r="C619">
        <v>2017</v>
      </c>
      <c r="D619" t="s">
        <v>11</v>
      </c>
      <c r="E619" t="s">
        <v>9</v>
      </c>
      <c r="F619" t="s">
        <v>13</v>
      </c>
      <c r="G619" t="s">
        <v>156</v>
      </c>
      <c r="H619" s="220" t="s">
        <v>725</v>
      </c>
    </row>
    <row r="620" spans="1:8">
      <c r="A620">
        <v>4</v>
      </c>
      <c r="B620" t="s">
        <v>148</v>
      </c>
      <c r="C620">
        <v>2017</v>
      </c>
      <c r="D620" t="s">
        <v>11</v>
      </c>
      <c r="E620" t="s">
        <v>9</v>
      </c>
      <c r="F620" t="s">
        <v>13</v>
      </c>
      <c r="G620" t="s">
        <v>157</v>
      </c>
      <c r="H620" s="220" t="s">
        <v>726</v>
      </c>
    </row>
    <row r="621" spans="1:8">
      <c r="A621">
        <v>0</v>
      </c>
      <c r="B621" t="s">
        <v>34</v>
      </c>
      <c r="C621">
        <v>2017</v>
      </c>
      <c r="D621" t="s">
        <v>11</v>
      </c>
      <c r="E621" t="s">
        <v>9</v>
      </c>
      <c r="F621" t="s">
        <v>13</v>
      </c>
      <c r="G621" t="s">
        <v>158</v>
      </c>
      <c r="H621" s="220" t="s">
        <v>597</v>
      </c>
    </row>
    <row r="622" spans="1:8">
      <c r="A622">
        <v>1</v>
      </c>
      <c r="B622" t="s">
        <v>145</v>
      </c>
      <c r="C622">
        <v>2016</v>
      </c>
      <c r="D622" t="s">
        <v>11</v>
      </c>
      <c r="E622" t="s">
        <v>9</v>
      </c>
      <c r="F622" t="s">
        <v>13</v>
      </c>
      <c r="G622" t="s">
        <v>154</v>
      </c>
      <c r="H622" s="220" t="s">
        <v>727</v>
      </c>
    </row>
    <row r="623" spans="1:8">
      <c r="A623">
        <v>2</v>
      </c>
      <c r="B623" t="s">
        <v>146</v>
      </c>
      <c r="C623">
        <v>2016</v>
      </c>
      <c r="D623" t="s">
        <v>11</v>
      </c>
      <c r="E623" t="s">
        <v>9</v>
      </c>
      <c r="F623" t="s">
        <v>13</v>
      </c>
      <c r="G623" t="s">
        <v>155</v>
      </c>
      <c r="H623" s="220" t="s">
        <v>728</v>
      </c>
    </row>
    <row r="624" spans="1:8">
      <c r="A624">
        <v>3</v>
      </c>
      <c r="B624" t="s">
        <v>147</v>
      </c>
      <c r="C624">
        <v>2016</v>
      </c>
      <c r="D624" t="s">
        <v>11</v>
      </c>
      <c r="E624" t="s">
        <v>9</v>
      </c>
      <c r="F624" t="s">
        <v>13</v>
      </c>
      <c r="G624" t="s">
        <v>156</v>
      </c>
      <c r="H624" s="220" t="s">
        <v>729</v>
      </c>
    </row>
    <row r="625" spans="1:8">
      <c r="A625">
        <v>4</v>
      </c>
      <c r="B625" t="s">
        <v>148</v>
      </c>
      <c r="C625">
        <v>2016</v>
      </c>
      <c r="D625" t="s">
        <v>11</v>
      </c>
      <c r="E625" t="s">
        <v>9</v>
      </c>
      <c r="F625" t="s">
        <v>13</v>
      </c>
      <c r="G625" t="s">
        <v>157</v>
      </c>
      <c r="H625" s="220" t="s">
        <v>730</v>
      </c>
    </row>
    <row r="626" spans="1:8">
      <c r="A626">
        <v>0</v>
      </c>
      <c r="B626" t="s">
        <v>34</v>
      </c>
      <c r="C626">
        <v>2016</v>
      </c>
      <c r="D626" t="s">
        <v>11</v>
      </c>
      <c r="E626" t="s">
        <v>9</v>
      </c>
      <c r="F626" t="s">
        <v>13</v>
      </c>
      <c r="G626" t="s">
        <v>158</v>
      </c>
      <c r="H626" s="220" t="s">
        <v>731</v>
      </c>
    </row>
    <row r="627" spans="1:8">
      <c r="A627">
        <v>1</v>
      </c>
      <c r="B627" t="s">
        <v>145</v>
      </c>
      <c r="C627">
        <v>2015</v>
      </c>
      <c r="D627" t="s">
        <v>11</v>
      </c>
      <c r="E627" t="s">
        <v>9</v>
      </c>
      <c r="F627" t="s">
        <v>13</v>
      </c>
      <c r="G627" t="s">
        <v>154</v>
      </c>
      <c r="H627" s="220" t="s">
        <v>732</v>
      </c>
    </row>
    <row r="628" spans="1:8">
      <c r="A628">
        <v>2</v>
      </c>
      <c r="B628" t="s">
        <v>146</v>
      </c>
      <c r="C628">
        <v>2015</v>
      </c>
      <c r="D628" t="s">
        <v>11</v>
      </c>
      <c r="E628" t="s">
        <v>9</v>
      </c>
      <c r="F628" t="s">
        <v>13</v>
      </c>
      <c r="G628" t="s">
        <v>155</v>
      </c>
      <c r="H628" s="220" t="s">
        <v>733</v>
      </c>
    </row>
    <row r="629" spans="1:8">
      <c r="A629">
        <v>3</v>
      </c>
      <c r="B629" t="s">
        <v>147</v>
      </c>
      <c r="C629">
        <v>2015</v>
      </c>
      <c r="D629" t="s">
        <v>11</v>
      </c>
      <c r="E629" t="s">
        <v>9</v>
      </c>
      <c r="F629" t="s">
        <v>13</v>
      </c>
      <c r="G629" t="s">
        <v>156</v>
      </c>
      <c r="H629" s="220" t="s">
        <v>734</v>
      </c>
    </row>
    <row r="630" spans="1:8">
      <c r="A630">
        <v>4</v>
      </c>
      <c r="B630" t="s">
        <v>148</v>
      </c>
      <c r="C630">
        <v>2015</v>
      </c>
      <c r="D630" t="s">
        <v>11</v>
      </c>
      <c r="E630" t="s">
        <v>9</v>
      </c>
      <c r="F630" t="s">
        <v>13</v>
      </c>
      <c r="G630" t="s">
        <v>157</v>
      </c>
      <c r="H630" s="220" t="s">
        <v>735</v>
      </c>
    </row>
    <row r="631" spans="1:8">
      <c r="A631">
        <v>0</v>
      </c>
      <c r="B631" t="s">
        <v>34</v>
      </c>
      <c r="C631">
        <v>2015</v>
      </c>
      <c r="D631" t="s">
        <v>11</v>
      </c>
      <c r="E631" t="s">
        <v>9</v>
      </c>
      <c r="F631" t="s">
        <v>13</v>
      </c>
      <c r="G631" t="s">
        <v>158</v>
      </c>
      <c r="H631" s="220" t="s">
        <v>736</v>
      </c>
    </row>
    <row r="632" spans="1:8">
      <c r="A632">
        <v>1</v>
      </c>
      <c r="B632" t="s">
        <v>145</v>
      </c>
      <c r="C632">
        <v>2014</v>
      </c>
      <c r="D632" t="s">
        <v>11</v>
      </c>
      <c r="E632" t="s">
        <v>9</v>
      </c>
      <c r="F632" t="s">
        <v>13</v>
      </c>
      <c r="G632" t="s">
        <v>154</v>
      </c>
      <c r="H632" s="220" t="s">
        <v>737</v>
      </c>
    </row>
    <row r="633" spans="1:8">
      <c r="A633">
        <v>2</v>
      </c>
      <c r="B633" t="s">
        <v>146</v>
      </c>
      <c r="C633">
        <v>2014</v>
      </c>
      <c r="D633" t="s">
        <v>11</v>
      </c>
      <c r="E633" t="s">
        <v>9</v>
      </c>
      <c r="F633" t="s">
        <v>13</v>
      </c>
      <c r="G633" t="s">
        <v>155</v>
      </c>
      <c r="H633" s="220" t="s">
        <v>738</v>
      </c>
    </row>
    <row r="634" spans="1:8">
      <c r="A634">
        <v>3</v>
      </c>
      <c r="B634" t="s">
        <v>147</v>
      </c>
      <c r="C634">
        <v>2014</v>
      </c>
      <c r="D634" t="s">
        <v>11</v>
      </c>
      <c r="E634" t="s">
        <v>9</v>
      </c>
      <c r="F634" t="s">
        <v>13</v>
      </c>
      <c r="G634" t="s">
        <v>156</v>
      </c>
      <c r="H634" s="220" t="s">
        <v>739</v>
      </c>
    </row>
    <row r="635" spans="1:8">
      <c r="A635">
        <v>4</v>
      </c>
      <c r="B635" t="s">
        <v>148</v>
      </c>
      <c r="C635">
        <v>2014</v>
      </c>
      <c r="D635" t="s">
        <v>11</v>
      </c>
      <c r="E635" t="s">
        <v>9</v>
      </c>
      <c r="F635" t="s">
        <v>13</v>
      </c>
      <c r="G635" t="s">
        <v>157</v>
      </c>
      <c r="H635" s="220" t="s">
        <v>740</v>
      </c>
    </row>
    <row r="636" spans="1:8">
      <c r="A636">
        <v>0</v>
      </c>
      <c r="B636" t="s">
        <v>34</v>
      </c>
      <c r="C636">
        <v>2014</v>
      </c>
      <c r="D636" t="s">
        <v>11</v>
      </c>
      <c r="E636" t="s">
        <v>9</v>
      </c>
      <c r="F636" t="s">
        <v>13</v>
      </c>
      <c r="G636" t="s">
        <v>158</v>
      </c>
      <c r="H636" s="220" t="s">
        <v>741</v>
      </c>
    </row>
    <row r="637" spans="1:8">
      <c r="A637">
        <v>1</v>
      </c>
      <c r="B637" t="s">
        <v>145</v>
      </c>
      <c r="C637">
        <v>2013</v>
      </c>
      <c r="D637" t="s">
        <v>11</v>
      </c>
      <c r="E637" t="s">
        <v>9</v>
      </c>
      <c r="F637" t="s">
        <v>13</v>
      </c>
      <c r="G637" t="s">
        <v>154</v>
      </c>
      <c r="H637" s="220" t="s">
        <v>742</v>
      </c>
    </row>
    <row r="638" spans="1:8">
      <c r="A638">
        <v>2</v>
      </c>
      <c r="B638" t="s">
        <v>146</v>
      </c>
      <c r="C638">
        <v>2013</v>
      </c>
      <c r="D638" t="s">
        <v>11</v>
      </c>
      <c r="E638" t="s">
        <v>9</v>
      </c>
      <c r="F638" t="s">
        <v>13</v>
      </c>
      <c r="G638" t="s">
        <v>155</v>
      </c>
      <c r="H638" s="220" t="s">
        <v>743</v>
      </c>
    </row>
    <row r="639" spans="1:8">
      <c r="A639">
        <v>3</v>
      </c>
      <c r="B639" t="s">
        <v>147</v>
      </c>
      <c r="C639">
        <v>2013</v>
      </c>
      <c r="D639" t="s">
        <v>11</v>
      </c>
      <c r="E639" t="s">
        <v>9</v>
      </c>
      <c r="F639" t="s">
        <v>13</v>
      </c>
      <c r="G639" t="s">
        <v>156</v>
      </c>
      <c r="H639" s="220" t="s">
        <v>744</v>
      </c>
    </row>
    <row r="640" spans="1:8">
      <c r="A640">
        <v>4</v>
      </c>
      <c r="B640" t="s">
        <v>148</v>
      </c>
      <c r="C640">
        <v>2013</v>
      </c>
      <c r="D640" t="s">
        <v>11</v>
      </c>
      <c r="E640" t="s">
        <v>9</v>
      </c>
      <c r="F640" t="s">
        <v>13</v>
      </c>
      <c r="G640" t="s">
        <v>157</v>
      </c>
      <c r="H640" s="220" t="s">
        <v>745</v>
      </c>
    </row>
    <row r="641" spans="1:8">
      <c r="A641">
        <v>0</v>
      </c>
      <c r="B641" t="s">
        <v>34</v>
      </c>
      <c r="C641">
        <v>2013</v>
      </c>
      <c r="D641" t="s">
        <v>11</v>
      </c>
      <c r="E641" t="s">
        <v>9</v>
      </c>
      <c r="F641" t="s">
        <v>13</v>
      </c>
      <c r="G641" t="s">
        <v>158</v>
      </c>
      <c r="H641" s="220" t="s">
        <v>746</v>
      </c>
    </row>
    <row r="642" spans="1:8">
      <c r="A642">
        <v>1</v>
      </c>
      <c r="B642" t="s">
        <v>145</v>
      </c>
      <c r="C642">
        <v>2012</v>
      </c>
      <c r="D642" t="s">
        <v>11</v>
      </c>
      <c r="E642" t="s">
        <v>9</v>
      </c>
      <c r="F642" t="s">
        <v>13</v>
      </c>
      <c r="G642" t="s">
        <v>154</v>
      </c>
      <c r="H642" s="220" t="s">
        <v>747</v>
      </c>
    </row>
    <row r="643" spans="1:8">
      <c r="A643">
        <v>2</v>
      </c>
      <c r="B643" t="s">
        <v>146</v>
      </c>
      <c r="C643">
        <v>2012</v>
      </c>
      <c r="D643" t="s">
        <v>11</v>
      </c>
      <c r="E643" t="s">
        <v>9</v>
      </c>
      <c r="F643" t="s">
        <v>13</v>
      </c>
      <c r="G643" t="s">
        <v>155</v>
      </c>
      <c r="H643" s="220" t="s">
        <v>748</v>
      </c>
    </row>
    <row r="644" spans="1:8">
      <c r="A644">
        <v>3</v>
      </c>
      <c r="B644" t="s">
        <v>147</v>
      </c>
      <c r="C644">
        <v>2012</v>
      </c>
      <c r="D644" t="s">
        <v>11</v>
      </c>
      <c r="E644" t="s">
        <v>9</v>
      </c>
      <c r="F644" t="s">
        <v>13</v>
      </c>
      <c r="G644" t="s">
        <v>156</v>
      </c>
      <c r="H644" s="220" t="s">
        <v>749</v>
      </c>
    </row>
    <row r="645" spans="1:8">
      <c r="A645">
        <v>4</v>
      </c>
      <c r="B645" t="s">
        <v>148</v>
      </c>
      <c r="C645">
        <v>2012</v>
      </c>
      <c r="D645" t="s">
        <v>11</v>
      </c>
      <c r="E645" t="s">
        <v>9</v>
      </c>
      <c r="F645" t="s">
        <v>13</v>
      </c>
      <c r="G645" t="s">
        <v>157</v>
      </c>
      <c r="H645" s="220" t="s">
        <v>750</v>
      </c>
    </row>
    <row r="646" spans="1:8">
      <c r="A646">
        <v>0</v>
      </c>
      <c r="B646" t="s">
        <v>34</v>
      </c>
      <c r="C646">
        <v>2012</v>
      </c>
      <c r="D646" t="s">
        <v>11</v>
      </c>
      <c r="E646" t="s">
        <v>9</v>
      </c>
      <c r="F646" t="s">
        <v>13</v>
      </c>
      <c r="G646" t="s">
        <v>158</v>
      </c>
      <c r="H646" s="220" t="s">
        <v>751</v>
      </c>
    </row>
    <row r="647" spans="1:8">
      <c r="A647">
        <v>1</v>
      </c>
      <c r="B647" t="s">
        <v>145</v>
      </c>
      <c r="C647">
        <v>2011</v>
      </c>
      <c r="D647" t="s">
        <v>11</v>
      </c>
      <c r="E647" t="s">
        <v>9</v>
      </c>
      <c r="F647" t="s">
        <v>13</v>
      </c>
      <c r="G647" t="s">
        <v>154</v>
      </c>
      <c r="H647" s="220" t="s">
        <v>752</v>
      </c>
    </row>
    <row r="648" spans="1:8">
      <c r="A648">
        <v>2</v>
      </c>
      <c r="B648" t="s">
        <v>146</v>
      </c>
      <c r="C648">
        <v>2011</v>
      </c>
      <c r="D648" t="s">
        <v>11</v>
      </c>
      <c r="E648" t="s">
        <v>9</v>
      </c>
      <c r="F648" t="s">
        <v>13</v>
      </c>
      <c r="G648" t="s">
        <v>155</v>
      </c>
      <c r="H648" s="220" t="s">
        <v>753</v>
      </c>
    </row>
    <row r="649" spans="1:8">
      <c r="A649">
        <v>3</v>
      </c>
      <c r="B649" t="s">
        <v>147</v>
      </c>
      <c r="C649">
        <v>2011</v>
      </c>
      <c r="D649" t="s">
        <v>11</v>
      </c>
      <c r="E649" t="s">
        <v>9</v>
      </c>
      <c r="F649" t="s">
        <v>13</v>
      </c>
      <c r="G649" t="s">
        <v>156</v>
      </c>
      <c r="H649" s="220" t="s">
        <v>754</v>
      </c>
    </row>
    <row r="650" spans="1:8">
      <c r="A650">
        <v>4</v>
      </c>
      <c r="B650" t="s">
        <v>148</v>
      </c>
      <c r="C650">
        <v>2011</v>
      </c>
      <c r="D650" t="s">
        <v>11</v>
      </c>
      <c r="E650" t="s">
        <v>9</v>
      </c>
      <c r="F650" t="s">
        <v>13</v>
      </c>
      <c r="G650" t="s">
        <v>157</v>
      </c>
      <c r="H650" s="220" t="s">
        <v>755</v>
      </c>
    </row>
    <row r="651" spans="1:8">
      <c r="A651">
        <v>0</v>
      </c>
      <c r="B651" t="s">
        <v>34</v>
      </c>
      <c r="C651">
        <v>2011</v>
      </c>
      <c r="D651" t="s">
        <v>11</v>
      </c>
      <c r="E651" t="s">
        <v>9</v>
      </c>
      <c r="F651" t="s">
        <v>13</v>
      </c>
      <c r="G651" t="s">
        <v>158</v>
      </c>
      <c r="H651" s="220" t="s">
        <v>756</v>
      </c>
    </row>
    <row r="652" spans="1:8">
      <c r="A652">
        <v>1</v>
      </c>
      <c r="B652" t="s">
        <v>145</v>
      </c>
      <c r="C652">
        <v>2010</v>
      </c>
      <c r="D652" t="s">
        <v>11</v>
      </c>
      <c r="E652" t="s">
        <v>9</v>
      </c>
      <c r="F652" t="s">
        <v>13</v>
      </c>
      <c r="G652" t="s">
        <v>154</v>
      </c>
      <c r="H652" s="220" t="s">
        <v>757</v>
      </c>
    </row>
    <row r="653" spans="1:8">
      <c r="A653">
        <v>2</v>
      </c>
      <c r="B653" t="s">
        <v>146</v>
      </c>
      <c r="C653">
        <v>2010</v>
      </c>
      <c r="D653" t="s">
        <v>11</v>
      </c>
      <c r="E653" t="s">
        <v>9</v>
      </c>
      <c r="F653" t="s">
        <v>13</v>
      </c>
      <c r="G653" t="s">
        <v>155</v>
      </c>
      <c r="H653" s="220" t="s">
        <v>758</v>
      </c>
    </row>
    <row r="654" spans="1:8">
      <c r="A654">
        <v>3</v>
      </c>
      <c r="B654" t="s">
        <v>147</v>
      </c>
      <c r="C654">
        <v>2010</v>
      </c>
      <c r="D654" t="s">
        <v>11</v>
      </c>
      <c r="E654" t="s">
        <v>9</v>
      </c>
      <c r="F654" t="s">
        <v>13</v>
      </c>
      <c r="G654" t="s">
        <v>156</v>
      </c>
      <c r="H654" s="220" t="s">
        <v>759</v>
      </c>
    </row>
    <row r="655" spans="1:8">
      <c r="A655">
        <v>4</v>
      </c>
      <c r="B655" t="s">
        <v>148</v>
      </c>
      <c r="C655">
        <v>2010</v>
      </c>
      <c r="D655" t="s">
        <v>11</v>
      </c>
      <c r="E655" t="s">
        <v>9</v>
      </c>
      <c r="F655" t="s">
        <v>13</v>
      </c>
      <c r="G655" t="s">
        <v>157</v>
      </c>
      <c r="H655" s="220" t="s">
        <v>760</v>
      </c>
    </row>
    <row r="656" spans="1:8">
      <c r="A656">
        <v>0</v>
      </c>
      <c r="B656" t="s">
        <v>34</v>
      </c>
      <c r="C656">
        <v>2010</v>
      </c>
      <c r="D656" t="s">
        <v>11</v>
      </c>
      <c r="E656" t="s">
        <v>9</v>
      </c>
      <c r="F656" t="s">
        <v>13</v>
      </c>
      <c r="G656" t="s">
        <v>158</v>
      </c>
      <c r="H656" s="220" t="s">
        <v>761</v>
      </c>
    </row>
    <row r="657" spans="1:8">
      <c r="A657">
        <v>1</v>
      </c>
      <c r="B657" t="s">
        <v>145</v>
      </c>
      <c r="C657">
        <v>2005</v>
      </c>
      <c r="D657" t="s">
        <v>11</v>
      </c>
      <c r="E657" t="s">
        <v>9</v>
      </c>
      <c r="F657" t="s">
        <v>13</v>
      </c>
      <c r="G657" t="s">
        <v>154</v>
      </c>
      <c r="H657" s="220" t="s">
        <v>762</v>
      </c>
    </row>
    <row r="658" spans="1:8">
      <c r="A658">
        <v>2</v>
      </c>
      <c r="B658" t="s">
        <v>146</v>
      </c>
      <c r="C658">
        <v>2005</v>
      </c>
      <c r="D658" t="s">
        <v>11</v>
      </c>
      <c r="E658" t="s">
        <v>9</v>
      </c>
      <c r="F658" t="s">
        <v>13</v>
      </c>
      <c r="G658" t="s">
        <v>155</v>
      </c>
      <c r="H658" s="220" t="s">
        <v>763</v>
      </c>
    </row>
    <row r="659" spans="1:8">
      <c r="A659">
        <v>3</v>
      </c>
      <c r="B659" t="s">
        <v>147</v>
      </c>
      <c r="C659">
        <v>2005</v>
      </c>
      <c r="D659" t="s">
        <v>11</v>
      </c>
      <c r="E659" t="s">
        <v>9</v>
      </c>
      <c r="F659" t="s">
        <v>13</v>
      </c>
      <c r="G659" t="s">
        <v>156</v>
      </c>
      <c r="H659" s="220" t="s">
        <v>764</v>
      </c>
    </row>
    <row r="660" spans="1:8">
      <c r="A660">
        <v>4</v>
      </c>
      <c r="B660" t="s">
        <v>148</v>
      </c>
      <c r="C660">
        <v>2005</v>
      </c>
      <c r="D660" t="s">
        <v>11</v>
      </c>
      <c r="E660" t="s">
        <v>9</v>
      </c>
      <c r="F660" t="s">
        <v>13</v>
      </c>
      <c r="G660" t="s">
        <v>157</v>
      </c>
      <c r="H660" s="220" t="s">
        <v>765</v>
      </c>
    </row>
    <row r="661" spans="1:8">
      <c r="A661">
        <v>0</v>
      </c>
      <c r="B661" t="s">
        <v>34</v>
      </c>
      <c r="C661">
        <v>2005</v>
      </c>
      <c r="D661" t="s">
        <v>11</v>
      </c>
      <c r="E661" t="s">
        <v>9</v>
      </c>
      <c r="F661" t="s">
        <v>13</v>
      </c>
      <c r="G661" t="s">
        <v>158</v>
      </c>
      <c r="H661" s="220" t="s">
        <v>766</v>
      </c>
    </row>
    <row r="662" spans="1:8">
      <c r="A662">
        <v>1</v>
      </c>
      <c r="B662" t="s">
        <v>145</v>
      </c>
      <c r="C662">
        <v>2020</v>
      </c>
      <c r="D662" t="s">
        <v>12</v>
      </c>
      <c r="E662" t="s">
        <v>9</v>
      </c>
      <c r="F662" t="s">
        <v>13</v>
      </c>
      <c r="G662" t="s">
        <v>154</v>
      </c>
      <c r="H662" s="220" t="s">
        <v>767</v>
      </c>
    </row>
    <row r="663" spans="1:8">
      <c r="A663">
        <v>2</v>
      </c>
      <c r="B663" t="s">
        <v>146</v>
      </c>
      <c r="C663">
        <v>2020</v>
      </c>
      <c r="D663" t="s">
        <v>12</v>
      </c>
      <c r="E663" t="s">
        <v>9</v>
      </c>
      <c r="F663" t="s">
        <v>13</v>
      </c>
      <c r="G663" t="s">
        <v>155</v>
      </c>
      <c r="H663" s="220" t="s">
        <v>768</v>
      </c>
    </row>
    <row r="664" spans="1:8">
      <c r="A664">
        <v>3</v>
      </c>
      <c r="B664" t="s">
        <v>147</v>
      </c>
      <c r="C664">
        <v>2020</v>
      </c>
      <c r="D664" t="s">
        <v>12</v>
      </c>
      <c r="E664" t="s">
        <v>9</v>
      </c>
      <c r="F664" t="s">
        <v>13</v>
      </c>
      <c r="G664" t="s">
        <v>156</v>
      </c>
      <c r="H664" s="220" t="s">
        <v>769</v>
      </c>
    </row>
    <row r="665" spans="1:8">
      <c r="A665">
        <v>4</v>
      </c>
      <c r="B665" t="s">
        <v>148</v>
      </c>
      <c r="C665">
        <v>2020</v>
      </c>
      <c r="D665" t="s">
        <v>12</v>
      </c>
      <c r="E665" t="s">
        <v>9</v>
      </c>
      <c r="F665" t="s">
        <v>13</v>
      </c>
      <c r="G665" t="s">
        <v>157</v>
      </c>
      <c r="H665" s="220" t="s">
        <v>770</v>
      </c>
    </row>
    <row r="666" spans="1:8">
      <c r="A666">
        <v>0</v>
      </c>
      <c r="B666" t="s">
        <v>34</v>
      </c>
      <c r="C666">
        <v>2020</v>
      </c>
      <c r="D666" t="s">
        <v>12</v>
      </c>
      <c r="E666" t="s">
        <v>9</v>
      </c>
      <c r="F666" t="s">
        <v>13</v>
      </c>
      <c r="G666" t="s">
        <v>158</v>
      </c>
      <c r="H666" s="220" t="s">
        <v>771</v>
      </c>
    </row>
    <row r="667" spans="1:8">
      <c r="A667">
        <v>1</v>
      </c>
      <c r="B667" t="s">
        <v>145</v>
      </c>
      <c r="C667">
        <v>2019</v>
      </c>
      <c r="D667" t="s">
        <v>12</v>
      </c>
      <c r="E667" t="s">
        <v>9</v>
      </c>
      <c r="F667" t="s">
        <v>13</v>
      </c>
      <c r="G667" t="s">
        <v>154</v>
      </c>
      <c r="H667" s="220" t="s">
        <v>772</v>
      </c>
    </row>
    <row r="668" spans="1:8">
      <c r="A668">
        <v>2</v>
      </c>
      <c r="B668" t="s">
        <v>146</v>
      </c>
      <c r="C668">
        <v>2019</v>
      </c>
      <c r="D668" t="s">
        <v>12</v>
      </c>
      <c r="E668" t="s">
        <v>9</v>
      </c>
      <c r="F668" t="s">
        <v>13</v>
      </c>
      <c r="G668" t="s">
        <v>155</v>
      </c>
      <c r="H668" s="220" t="s">
        <v>773</v>
      </c>
    </row>
    <row r="669" spans="1:8">
      <c r="A669">
        <v>3</v>
      </c>
      <c r="B669" t="s">
        <v>147</v>
      </c>
      <c r="C669">
        <v>2019</v>
      </c>
      <c r="D669" t="s">
        <v>12</v>
      </c>
      <c r="E669" t="s">
        <v>9</v>
      </c>
      <c r="F669" t="s">
        <v>13</v>
      </c>
      <c r="G669" t="s">
        <v>156</v>
      </c>
      <c r="H669" s="220" t="s">
        <v>774</v>
      </c>
    </row>
    <row r="670" spans="1:8">
      <c r="A670">
        <v>4</v>
      </c>
      <c r="B670" t="s">
        <v>148</v>
      </c>
      <c r="C670">
        <v>2019</v>
      </c>
      <c r="D670" t="s">
        <v>12</v>
      </c>
      <c r="E670" t="s">
        <v>9</v>
      </c>
      <c r="F670" t="s">
        <v>13</v>
      </c>
      <c r="G670" t="s">
        <v>157</v>
      </c>
      <c r="H670" s="220" t="s">
        <v>775</v>
      </c>
    </row>
    <row r="671" spans="1:8">
      <c r="A671">
        <v>0</v>
      </c>
      <c r="B671" t="s">
        <v>34</v>
      </c>
      <c r="C671">
        <v>2019</v>
      </c>
      <c r="D671" t="s">
        <v>12</v>
      </c>
      <c r="E671" t="s">
        <v>9</v>
      </c>
      <c r="F671" t="s">
        <v>13</v>
      </c>
      <c r="G671" t="s">
        <v>158</v>
      </c>
      <c r="H671" s="220" t="s">
        <v>776</v>
      </c>
    </row>
    <row r="672" spans="1:8">
      <c r="A672">
        <v>1</v>
      </c>
      <c r="B672" t="s">
        <v>145</v>
      </c>
      <c r="C672">
        <v>2018</v>
      </c>
      <c r="D672" t="s">
        <v>12</v>
      </c>
      <c r="E672" t="s">
        <v>9</v>
      </c>
      <c r="F672" t="s">
        <v>13</v>
      </c>
      <c r="G672" t="s">
        <v>154</v>
      </c>
      <c r="H672" s="220" t="s">
        <v>777</v>
      </c>
    </row>
    <row r="673" spans="1:8">
      <c r="A673">
        <v>2</v>
      </c>
      <c r="B673" t="s">
        <v>146</v>
      </c>
      <c r="C673">
        <v>2018</v>
      </c>
      <c r="D673" t="s">
        <v>12</v>
      </c>
      <c r="E673" t="s">
        <v>9</v>
      </c>
      <c r="F673" t="s">
        <v>13</v>
      </c>
      <c r="G673" t="s">
        <v>155</v>
      </c>
      <c r="H673" s="220" t="s">
        <v>778</v>
      </c>
    </row>
    <row r="674" spans="1:8">
      <c r="A674">
        <v>3</v>
      </c>
      <c r="B674" t="s">
        <v>147</v>
      </c>
      <c r="C674">
        <v>2018</v>
      </c>
      <c r="D674" t="s">
        <v>12</v>
      </c>
      <c r="E674" t="s">
        <v>9</v>
      </c>
      <c r="F674" t="s">
        <v>13</v>
      </c>
      <c r="G674" t="s">
        <v>156</v>
      </c>
      <c r="H674" s="220" t="s">
        <v>779</v>
      </c>
    </row>
    <row r="675" spans="1:8">
      <c r="A675">
        <v>4</v>
      </c>
      <c r="B675" t="s">
        <v>148</v>
      </c>
      <c r="C675">
        <v>2018</v>
      </c>
      <c r="D675" t="s">
        <v>12</v>
      </c>
      <c r="E675" t="s">
        <v>9</v>
      </c>
      <c r="F675" t="s">
        <v>13</v>
      </c>
      <c r="G675" t="s">
        <v>157</v>
      </c>
      <c r="H675" s="220" t="s">
        <v>780</v>
      </c>
    </row>
    <row r="676" spans="1:8">
      <c r="A676">
        <v>0</v>
      </c>
      <c r="B676" t="s">
        <v>34</v>
      </c>
      <c r="C676">
        <v>2018</v>
      </c>
      <c r="D676" t="s">
        <v>12</v>
      </c>
      <c r="E676" t="s">
        <v>9</v>
      </c>
      <c r="F676" t="s">
        <v>13</v>
      </c>
      <c r="G676" t="s">
        <v>158</v>
      </c>
      <c r="H676" s="220" t="s">
        <v>781</v>
      </c>
    </row>
    <row r="677" spans="1:8">
      <c r="A677">
        <v>1</v>
      </c>
      <c r="B677" t="s">
        <v>145</v>
      </c>
      <c r="C677">
        <v>2017</v>
      </c>
      <c r="D677" t="s">
        <v>12</v>
      </c>
      <c r="E677" t="s">
        <v>9</v>
      </c>
      <c r="F677" t="s">
        <v>13</v>
      </c>
      <c r="G677" t="s">
        <v>154</v>
      </c>
      <c r="H677" s="220" t="s">
        <v>782</v>
      </c>
    </row>
    <row r="678" spans="1:8">
      <c r="A678">
        <v>2</v>
      </c>
      <c r="B678" t="s">
        <v>146</v>
      </c>
      <c r="C678">
        <v>2017</v>
      </c>
      <c r="D678" t="s">
        <v>12</v>
      </c>
      <c r="E678" t="s">
        <v>9</v>
      </c>
      <c r="F678" t="s">
        <v>13</v>
      </c>
      <c r="G678" t="s">
        <v>155</v>
      </c>
      <c r="H678" s="220" t="s">
        <v>783</v>
      </c>
    </row>
    <row r="679" spans="1:8">
      <c r="A679">
        <v>3</v>
      </c>
      <c r="B679" t="s">
        <v>147</v>
      </c>
      <c r="C679">
        <v>2017</v>
      </c>
      <c r="D679" t="s">
        <v>12</v>
      </c>
      <c r="E679" t="s">
        <v>9</v>
      </c>
      <c r="F679" t="s">
        <v>13</v>
      </c>
      <c r="G679" t="s">
        <v>156</v>
      </c>
      <c r="H679" s="220" t="s">
        <v>784</v>
      </c>
    </row>
    <row r="680" spans="1:8">
      <c r="A680">
        <v>4</v>
      </c>
      <c r="B680" t="s">
        <v>148</v>
      </c>
      <c r="C680">
        <v>2017</v>
      </c>
      <c r="D680" t="s">
        <v>12</v>
      </c>
      <c r="E680" t="s">
        <v>9</v>
      </c>
      <c r="F680" t="s">
        <v>13</v>
      </c>
      <c r="G680" t="s">
        <v>157</v>
      </c>
      <c r="H680" s="220" t="s">
        <v>785</v>
      </c>
    </row>
    <row r="681" spans="1:8">
      <c r="A681">
        <v>0</v>
      </c>
      <c r="B681" t="s">
        <v>34</v>
      </c>
      <c r="C681">
        <v>2017</v>
      </c>
      <c r="D681" t="s">
        <v>12</v>
      </c>
      <c r="E681" t="s">
        <v>9</v>
      </c>
      <c r="F681" t="s">
        <v>13</v>
      </c>
      <c r="G681" t="s">
        <v>158</v>
      </c>
      <c r="H681" s="220" t="s">
        <v>657</v>
      </c>
    </row>
    <row r="682" spans="1:8">
      <c r="A682">
        <v>1</v>
      </c>
      <c r="B682" t="s">
        <v>145</v>
      </c>
      <c r="C682">
        <v>2016</v>
      </c>
      <c r="D682" t="s">
        <v>12</v>
      </c>
      <c r="E682" t="s">
        <v>9</v>
      </c>
      <c r="F682" t="s">
        <v>13</v>
      </c>
      <c r="G682" t="s">
        <v>154</v>
      </c>
      <c r="H682" s="220" t="s">
        <v>786</v>
      </c>
    </row>
    <row r="683" spans="1:8">
      <c r="A683">
        <v>2</v>
      </c>
      <c r="B683" t="s">
        <v>146</v>
      </c>
      <c r="C683">
        <v>2016</v>
      </c>
      <c r="D683" t="s">
        <v>12</v>
      </c>
      <c r="E683" t="s">
        <v>9</v>
      </c>
      <c r="F683" t="s">
        <v>13</v>
      </c>
      <c r="G683" t="s">
        <v>155</v>
      </c>
      <c r="H683" s="220" t="s">
        <v>787</v>
      </c>
    </row>
    <row r="684" spans="1:8">
      <c r="A684">
        <v>3</v>
      </c>
      <c r="B684" t="s">
        <v>147</v>
      </c>
      <c r="C684">
        <v>2016</v>
      </c>
      <c r="D684" t="s">
        <v>12</v>
      </c>
      <c r="E684" t="s">
        <v>9</v>
      </c>
      <c r="F684" t="s">
        <v>13</v>
      </c>
      <c r="G684" t="s">
        <v>156</v>
      </c>
      <c r="H684" s="220" t="s">
        <v>788</v>
      </c>
    </row>
    <row r="685" spans="1:8">
      <c r="A685">
        <v>4</v>
      </c>
      <c r="B685" t="s">
        <v>148</v>
      </c>
      <c r="C685">
        <v>2016</v>
      </c>
      <c r="D685" t="s">
        <v>12</v>
      </c>
      <c r="E685" t="s">
        <v>9</v>
      </c>
      <c r="F685" t="s">
        <v>13</v>
      </c>
      <c r="G685" t="s">
        <v>157</v>
      </c>
      <c r="H685" s="220" t="s">
        <v>789</v>
      </c>
    </row>
    <row r="686" spans="1:8">
      <c r="A686">
        <v>0</v>
      </c>
      <c r="B686" t="s">
        <v>34</v>
      </c>
      <c r="C686">
        <v>2016</v>
      </c>
      <c r="D686" t="s">
        <v>12</v>
      </c>
      <c r="E686" t="s">
        <v>9</v>
      </c>
      <c r="F686" t="s">
        <v>13</v>
      </c>
      <c r="G686" t="s">
        <v>158</v>
      </c>
      <c r="H686" s="220" t="s">
        <v>790</v>
      </c>
    </row>
    <row r="687" spans="1:8">
      <c r="A687">
        <v>1</v>
      </c>
      <c r="B687" t="s">
        <v>145</v>
      </c>
      <c r="C687">
        <v>2015</v>
      </c>
      <c r="D687" t="s">
        <v>12</v>
      </c>
      <c r="E687" t="s">
        <v>9</v>
      </c>
      <c r="F687" t="s">
        <v>13</v>
      </c>
      <c r="G687" t="s">
        <v>154</v>
      </c>
      <c r="H687" s="220" t="s">
        <v>791</v>
      </c>
    </row>
    <row r="688" spans="1:8">
      <c r="A688">
        <v>2</v>
      </c>
      <c r="B688" t="s">
        <v>146</v>
      </c>
      <c r="C688">
        <v>2015</v>
      </c>
      <c r="D688" t="s">
        <v>12</v>
      </c>
      <c r="E688" t="s">
        <v>9</v>
      </c>
      <c r="F688" t="s">
        <v>13</v>
      </c>
      <c r="G688" t="s">
        <v>155</v>
      </c>
      <c r="H688" s="220" t="s">
        <v>792</v>
      </c>
    </row>
    <row r="689" spans="1:8">
      <c r="A689">
        <v>3</v>
      </c>
      <c r="B689" t="s">
        <v>147</v>
      </c>
      <c r="C689">
        <v>2015</v>
      </c>
      <c r="D689" t="s">
        <v>12</v>
      </c>
      <c r="E689" t="s">
        <v>9</v>
      </c>
      <c r="F689" t="s">
        <v>13</v>
      </c>
      <c r="G689" t="s">
        <v>156</v>
      </c>
      <c r="H689" s="220" t="s">
        <v>793</v>
      </c>
    </row>
    <row r="690" spans="1:8">
      <c r="A690">
        <v>4</v>
      </c>
      <c r="B690" t="s">
        <v>148</v>
      </c>
      <c r="C690">
        <v>2015</v>
      </c>
      <c r="D690" t="s">
        <v>12</v>
      </c>
      <c r="E690" t="s">
        <v>9</v>
      </c>
      <c r="F690" t="s">
        <v>13</v>
      </c>
      <c r="G690" t="s">
        <v>157</v>
      </c>
      <c r="H690" s="220" t="s">
        <v>794</v>
      </c>
    </row>
    <row r="691" spans="1:8">
      <c r="A691">
        <v>0</v>
      </c>
      <c r="B691" t="s">
        <v>34</v>
      </c>
      <c r="C691">
        <v>2015</v>
      </c>
      <c r="D691" t="s">
        <v>12</v>
      </c>
      <c r="E691" t="s">
        <v>9</v>
      </c>
      <c r="F691" t="s">
        <v>13</v>
      </c>
      <c r="G691" t="s">
        <v>158</v>
      </c>
      <c r="H691" s="220" t="s">
        <v>795</v>
      </c>
    </row>
    <row r="692" spans="1:8">
      <c r="A692">
        <v>1</v>
      </c>
      <c r="B692" t="s">
        <v>145</v>
      </c>
      <c r="C692">
        <v>2014</v>
      </c>
      <c r="D692" t="s">
        <v>12</v>
      </c>
      <c r="E692" t="s">
        <v>9</v>
      </c>
      <c r="F692" t="s">
        <v>13</v>
      </c>
      <c r="G692" t="s">
        <v>154</v>
      </c>
      <c r="H692" s="220" t="s">
        <v>796</v>
      </c>
    </row>
    <row r="693" spans="1:8">
      <c r="A693">
        <v>2</v>
      </c>
      <c r="B693" t="s">
        <v>146</v>
      </c>
      <c r="C693">
        <v>2014</v>
      </c>
      <c r="D693" t="s">
        <v>12</v>
      </c>
      <c r="E693" t="s">
        <v>9</v>
      </c>
      <c r="F693" t="s">
        <v>13</v>
      </c>
      <c r="G693" t="s">
        <v>155</v>
      </c>
      <c r="H693" s="220" t="s">
        <v>797</v>
      </c>
    </row>
    <row r="694" spans="1:8">
      <c r="A694">
        <v>3</v>
      </c>
      <c r="B694" t="s">
        <v>147</v>
      </c>
      <c r="C694">
        <v>2014</v>
      </c>
      <c r="D694" t="s">
        <v>12</v>
      </c>
      <c r="E694" t="s">
        <v>9</v>
      </c>
      <c r="F694" t="s">
        <v>13</v>
      </c>
      <c r="G694" t="s">
        <v>156</v>
      </c>
      <c r="H694" s="220" t="s">
        <v>798</v>
      </c>
    </row>
    <row r="695" spans="1:8">
      <c r="A695">
        <v>4</v>
      </c>
      <c r="B695" t="s">
        <v>148</v>
      </c>
      <c r="C695">
        <v>2014</v>
      </c>
      <c r="D695" t="s">
        <v>12</v>
      </c>
      <c r="E695" t="s">
        <v>9</v>
      </c>
      <c r="F695" t="s">
        <v>13</v>
      </c>
      <c r="G695" t="s">
        <v>157</v>
      </c>
      <c r="H695" s="220" t="s">
        <v>799</v>
      </c>
    </row>
    <row r="696" spans="1:8">
      <c r="A696">
        <v>0</v>
      </c>
      <c r="B696" t="s">
        <v>34</v>
      </c>
      <c r="C696">
        <v>2014</v>
      </c>
      <c r="D696" t="s">
        <v>12</v>
      </c>
      <c r="E696" t="s">
        <v>9</v>
      </c>
      <c r="F696" t="s">
        <v>13</v>
      </c>
      <c r="G696" t="s">
        <v>158</v>
      </c>
      <c r="H696" s="220" t="s">
        <v>800</v>
      </c>
    </row>
    <row r="697" spans="1:8">
      <c r="A697">
        <v>1</v>
      </c>
      <c r="B697" t="s">
        <v>145</v>
      </c>
      <c r="C697">
        <v>2013</v>
      </c>
      <c r="D697" t="s">
        <v>12</v>
      </c>
      <c r="E697" t="s">
        <v>9</v>
      </c>
      <c r="F697" t="s">
        <v>13</v>
      </c>
      <c r="G697" t="s">
        <v>154</v>
      </c>
      <c r="H697" s="220" t="s">
        <v>801</v>
      </c>
    </row>
    <row r="698" spans="1:8">
      <c r="A698">
        <v>2</v>
      </c>
      <c r="B698" t="s">
        <v>146</v>
      </c>
      <c r="C698">
        <v>2013</v>
      </c>
      <c r="D698" t="s">
        <v>12</v>
      </c>
      <c r="E698" t="s">
        <v>9</v>
      </c>
      <c r="F698" t="s">
        <v>13</v>
      </c>
      <c r="G698" t="s">
        <v>155</v>
      </c>
      <c r="H698" s="220" t="s">
        <v>802</v>
      </c>
    </row>
    <row r="699" spans="1:8">
      <c r="A699">
        <v>3</v>
      </c>
      <c r="B699" t="s">
        <v>147</v>
      </c>
      <c r="C699">
        <v>2013</v>
      </c>
      <c r="D699" t="s">
        <v>12</v>
      </c>
      <c r="E699" t="s">
        <v>9</v>
      </c>
      <c r="F699" t="s">
        <v>13</v>
      </c>
      <c r="G699" t="s">
        <v>156</v>
      </c>
      <c r="H699" s="220" t="s">
        <v>803</v>
      </c>
    </row>
    <row r="700" spans="1:8">
      <c r="A700">
        <v>4</v>
      </c>
      <c r="B700" t="s">
        <v>148</v>
      </c>
      <c r="C700">
        <v>2013</v>
      </c>
      <c r="D700" t="s">
        <v>12</v>
      </c>
      <c r="E700" t="s">
        <v>9</v>
      </c>
      <c r="F700" t="s">
        <v>13</v>
      </c>
      <c r="G700" t="s">
        <v>157</v>
      </c>
      <c r="H700" s="220" t="s">
        <v>804</v>
      </c>
    </row>
    <row r="701" spans="1:8">
      <c r="A701">
        <v>0</v>
      </c>
      <c r="B701" t="s">
        <v>34</v>
      </c>
      <c r="C701">
        <v>2013</v>
      </c>
      <c r="D701" t="s">
        <v>12</v>
      </c>
      <c r="E701" t="s">
        <v>9</v>
      </c>
      <c r="F701" t="s">
        <v>13</v>
      </c>
      <c r="G701" t="s">
        <v>158</v>
      </c>
      <c r="H701" s="220" t="s">
        <v>805</v>
      </c>
    </row>
    <row r="702" spans="1:8">
      <c r="A702">
        <v>1</v>
      </c>
      <c r="B702" t="s">
        <v>145</v>
      </c>
      <c r="C702">
        <v>2012</v>
      </c>
      <c r="D702" t="s">
        <v>12</v>
      </c>
      <c r="E702" t="s">
        <v>9</v>
      </c>
      <c r="F702" t="s">
        <v>13</v>
      </c>
      <c r="G702" t="s">
        <v>154</v>
      </c>
      <c r="H702" s="220" t="s">
        <v>806</v>
      </c>
    </row>
    <row r="703" spans="1:8">
      <c r="A703">
        <v>2</v>
      </c>
      <c r="B703" t="s">
        <v>146</v>
      </c>
      <c r="C703">
        <v>2012</v>
      </c>
      <c r="D703" t="s">
        <v>12</v>
      </c>
      <c r="E703" t="s">
        <v>9</v>
      </c>
      <c r="F703" t="s">
        <v>13</v>
      </c>
      <c r="G703" t="s">
        <v>155</v>
      </c>
      <c r="H703" s="220" t="s">
        <v>807</v>
      </c>
    </row>
    <row r="704" spans="1:8">
      <c r="A704">
        <v>3</v>
      </c>
      <c r="B704" t="s">
        <v>147</v>
      </c>
      <c r="C704">
        <v>2012</v>
      </c>
      <c r="D704" t="s">
        <v>12</v>
      </c>
      <c r="E704" t="s">
        <v>9</v>
      </c>
      <c r="F704" t="s">
        <v>13</v>
      </c>
      <c r="G704" t="s">
        <v>156</v>
      </c>
      <c r="H704" s="220" t="s">
        <v>808</v>
      </c>
    </row>
    <row r="705" spans="1:8">
      <c r="A705">
        <v>4</v>
      </c>
      <c r="B705" t="s">
        <v>148</v>
      </c>
      <c r="C705">
        <v>2012</v>
      </c>
      <c r="D705" t="s">
        <v>12</v>
      </c>
      <c r="E705" t="s">
        <v>9</v>
      </c>
      <c r="F705" t="s">
        <v>13</v>
      </c>
      <c r="G705" t="s">
        <v>157</v>
      </c>
      <c r="H705" s="220" t="s">
        <v>809</v>
      </c>
    </row>
    <row r="706" spans="1:8">
      <c r="A706">
        <v>0</v>
      </c>
      <c r="B706" t="s">
        <v>34</v>
      </c>
      <c r="C706">
        <v>2012</v>
      </c>
      <c r="D706" t="s">
        <v>12</v>
      </c>
      <c r="E706" t="s">
        <v>9</v>
      </c>
      <c r="F706" t="s">
        <v>13</v>
      </c>
      <c r="G706" t="s">
        <v>158</v>
      </c>
      <c r="H706" s="220" t="s">
        <v>810</v>
      </c>
    </row>
    <row r="707" spans="1:8">
      <c r="A707">
        <v>1</v>
      </c>
      <c r="B707" t="s">
        <v>145</v>
      </c>
      <c r="C707">
        <v>2011</v>
      </c>
      <c r="D707" t="s">
        <v>12</v>
      </c>
      <c r="E707" t="s">
        <v>9</v>
      </c>
      <c r="F707" t="s">
        <v>13</v>
      </c>
      <c r="G707" t="s">
        <v>154</v>
      </c>
      <c r="H707" s="220" t="s">
        <v>811</v>
      </c>
    </row>
    <row r="708" spans="1:8">
      <c r="A708">
        <v>2</v>
      </c>
      <c r="B708" t="s">
        <v>146</v>
      </c>
      <c r="C708">
        <v>2011</v>
      </c>
      <c r="D708" t="s">
        <v>12</v>
      </c>
      <c r="E708" t="s">
        <v>9</v>
      </c>
      <c r="F708" t="s">
        <v>13</v>
      </c>
      <c r="G708" t="s">
        <v>155</v>
      </c>
      <c r="H708" s="220" t="s">
        <v>812</v>
      </c>
    </row>
    <row r="709" spans="1:8">
      <c r="A709">
        <v>3</v>
      </c>
      <c r="B709" t="s">
        <v>147</v>
      </c>
      <c r="C709">
        <v>2011</v>
      </c>
      <c r="D709" t="s">
        <v>12</v>
      </c>
      <c r="E709" t="s">
        <v>9</v>
      </c>
      <c r="F709" t="s">
        <v>13</v>
      </c>
      <c r="G709" t="s">
        <v>156</v>
      </c>
      <c r="H709" s="220" t="s">
        <v>813</v>
      </c>
    </row>
    <row r="710" spans="1:8">
      <c r="A710">
        <v>4</v>
      </c>
      <c r="B710" t="s">
        <v>148</v>
      </c>
      <c r="C710">
        <v>2011</v>
      </c>
      <c r="D710" t="s">
        <v>12</v>
      </c>
      <c r="E710" t="s">
        <v>9</v>
      </c>
      <c r="F710" t="s">
        <v>13</v>
      </c>
      <c r="G710" t="s">
        <v>157</v>
      </c>
      <c r="H710" s="220" t="s">
        <v>814</v>
      </c>
    </row>
    <row r="711" spans="1:8">
      <c r="A711">
        <v>0</v>
      </c>
      <c r="B711" t="s">
        <v>34</v>
      </c>
      <c r="C711">
        <v>2011</v>
      </c>
      <c r="D711" t="s">
        <v>12</v>
      </c>
      <c r="E711" t="s">
        <v>9</v>
      </c>
      <c r="F711" t="s">
        <v>13</v>
      </c>
      <c r="G711" t="s">
        <v>158</v>
      </c>
      <c r="H711" s="220" t="s">
        <v>815</v>
      </c>
    </row>
    <row r="712" spans="1:8">
      <c r="A712">
        <v>1</v>
      </c>
      <c r="B712" t="s">
        <v>145</v>
      </c>
      <c r="C712">
        <v>2010</v>
      </c>
      <c r="D712" t="s">
        <v>12</v>
      </c>
      <c r="E712" t="s">
        <v>9</v>
      </c>
      <c r="F712" t="s">
        <v>13</v>
      </c>
      <c r="G712" t="s">
        <v>154</v>
      </c>
      <c r="H712" s="220" t="s">
        <v>816</v>
      </c>
    </row>
    <row r="713" spans="1:8">
      <c r="A713">
        <v>2</v>
      </c>
      <c r="B713" t="s">
        <v>146</v>
      </c>
      <c r="C713">
        <v>2010</v>
      </c>
      <c r="D713" t="s">
        <v>12</v>
      </c>
      <c r="E713" t="s">
        <v>9</v>
      </c>
      <c r="F713" t="s">
        <v>13</v>
      </c>
      <c r="G713" t="s">
        <v>155</v>
      </c>
      <c r="H713" s="220" t="s">
        <v>817</v>
      </c>
    </row>
    <row r="714" spans="1:8">
      <c r="A714">
        <v>3</v>
      </c>
      <c r="B714" t="s">
        <v>147</v>
      </c>
      <c r="C714">
        <v>2010</v>
      </c>
      <c r="D714" t="s">
        <v>12</v>
      </c>
      <c r="E714" t="s">
        <v>9</v>
      </c>
      <c r="F714" t="s">
        <v>13</v>
      </c>
      <c r="G714" t="s">
        <v>156</v>
      </c>
      <c r="H714" s="220" t="s">
        <v>818</v>
      </c>
    </row>
    <row r="715" spans="1:8">
      <c r="A715">
        <v>4</v>
      </c>
      <c r="B715" t="s">
        <v>148</v>
      </c>
      <c r="C715">
        <v>2010</v>
      </c>
      <c r="D715" t="s">
        <v>12</v>
      </c>
      <c r="E715" t="s">
        <v>9</v>
      </c>
      <c r="F715" t="s">
        <v>13</v>
      </c>
      <c r="G715" t="s">
        <v>157</v>
      </c>
      <c r="H715" s="220" t="s">
        <v>819</v>
      </c>
    </row>
    <row r="716" spans="1:8">
      <c r="A716">
        <v>0</v>
      </c>
      <c r="B716" t="s">
        <v>34</v>
      </c>
      <c r="C716">
        <v>2010</v>
      </c>
      <c r="D716" t="s">
        <v>12</v>
      </c>
      <c r="E716" t="s">
        <v>9</v>
      </c>
      <c r="F716" t="s">
        <v>13</v>
      </c>
      <c r="G716" t="s">
        <v>158</v>
      </c>
      <c r="H716" s="220" t="s">
        <v>820</v>
      </c>
    </row>
    <row r="717" spans="1:8">
      <c r="A717">
        <v>1</v>
      </c>
      <c r="B717" t="s">
        <v>145</v>
      </c>
      <c r="C717">
        <v>2005</v>
      </c>
      <c r="D717" t="s">
        <v>12</v>
      </c>
      <c r="E717" t="s">
        <v>9</v>
      </c>
      <c r="F717" t="s">
        <v>13</v>
      </c>
      <c r="G717" t="s">
        <v>154</v>
      </c>
      <c r="H717" s="220" t="s">
        <v>821</v>
      </c>
    </row>
    <row r="718" spans="1:8">
      <c r="A718">
        <v>2</v>
      </c>
      <c r="B718" t="s">
        <v>146</v>
      </c>
      <c r="C718">
        <v>2005</v>
      </c>
      <c r="D718" t="s">
        <v>12</v>
      </c>
      <c r="E718" t="s">
        <v>9</v>
      </c>
      <c r="F718" t="s">
        <v>13</v>
      </c>
      <c r="G718" t="s">
        <v>155</v>
      </c>
      <c r="H718" s="220" t="s">
        <v>822</v>
      </c>
    </row>
    <row r="719" spans="1:8">
      <c r="A719">
        <v>3</v>
      </c>
      <c r="B719" t="s">
        <v>147</v>
      </c>
      <c r="C719">
        <v>2005</v>
      </c>
      <c r="D719" t="s">
        <v>12</v>
      </c>
      <c r="E719" t="s">
        <v>9</v>
      </c>
      <c r="F719" t="s">
        <v>13</v>
      </c>
      <c r="G719" t="s">
        <v>156</v>
      </c>
      <c r="H719" s="220" t="s">
        <v>823</v>
      </c>
    </row>
    <row r="720" spans="1:8">
      <c r="A720">
        <v>4</v>
      </c>
      <c r="B720" t="s">
        <v>148</v>
      </c>
      <c r="C720">
        <v>2005</v>
      </c>
      <c r="D720" t="s">
        <v>12</v>
      </c>
      <c r="E720" t="s">
        <v>9</v>
      </c>
      <c r="F720" t="s">
        <v>13</v>
      </c>
      <c r="G720" t="s">
        <v>157</v>
      </c>
      <c r="H720" s="220" t="s">
        <v>824</v>
      </c>
    </row>
    <row r="721" spans="1:8">
      <c r="A721">
        <v>0</v>
      </c>
      <c r="B721" t="s">
        <v>34</v>
      </c>
      <c r="C721">
        <v>2005</v>
      </c>
      <c r="D721" t="s">
        <v>12</v>
      </c>
      <c r="E721" t="s">
        <v>9</v>
      </c>
      <c r="F721" t="s">
        <v>13</v>
      </c>
      <c r="G721" t="s">
        <v>158</v>
      </c>
      <c r="H721" s="220" t="s">
        <v>825</v>
      </c>
    </row>
    <row r="722" spans="1:8">
      <c r="A722">
        <v>1</v>
      </c>
      <c r="B722" t="s">
        <v>145</v>
      </c>
      <c r="C722">
        <v>2020</v>
      </c>
      <c r="D722" t="s">
        <v>11</v>
      </c>
      <c r="E722" t="s">
        <v>10</v>
      </c>
      <c r="F722" t="s">
        <v>13</v>
      </c>
      <c r="G722" t="s">
        <v>154</v>
      </c>
      <c r="H722" s="220" t="s">
        <v>826</v>
      </c>
    </row>
    <row r="723" spans="1:8">
      <c r="A723">
        <v>2</v>
      </c>
      <c r="B723" t="s">
        <v>146</v>
      </c>
      <c r="C723">
        <v>2020</v>
      </c>
      <c r="D723" t="s">
        <v>11</v>
      </c>
      <c r="E723" t="s">
        <v>10</v>
      </c>
      <c r="F723" t="s">
        <v>13</v>
      </c>
      <c r="G723" t="s">
        <v>155</v>
      </c>
      <c r="H723" s="220" t="s">
        <v>827</v>
      </c>
    </row>
    <row r="724" spans="1:8">
      <c r="A724">
        <v>3</v>
      </c>
      <c r="B724" t="s">
        <v>147</v>
      </c>
      <c r="C724">
        <v>2020</v>
      </c>
      <c r="D724" t="s">
        <v>11</v>
      </c>
      <c r="E724" t="s">
        <v>10</v>
      </c>
      <c r="F724" t="s">
        <v>13</v>
      </c>
      <c r="G724" t="s">
        <v>156</v>
      </c>
      <c r="H724" s="220" t="s">
        <v>828</v>
      </c>
    </row>
    <row r="725" spans="1:8">
      <c r="A725">
        <v>4</v>
      </c>
      <c r="B725" t="s">
        <v>148</v>
      </c>
      <c r="C725">
        <v>2020</v>
      </c>
      <c r="D725" t="s">
        <v>11</v>
      </c>
      <c r="E725" t="s">
        <v>10</v>
      </c>
      <c r="F725" t="s">
        <v>13</v>
      </c>
      <c r="G725" t="s">
        <v>157</v>
      </c>
      <c r="H725" s="220" t="s">
        <v>829</v>
      </c>
    </row>
    <row r="726" spans="1:8">
      <c r="A726">
        <v>0</v>
      </c>
      <c r="B726" t="s">
        <v>34</v>
      </c>
      <c r="C726">
        <v>2020</v>
      </c>
      <c r="D726" t="s">
        <v>11</v>
      </c>
      <c r="E726" t="s">
        <v>10</v>
      </c>
      <c r="F726" t="s">
        <v>13</v>
      </c>
      <c r="G726" t="s">
        <v>158</v>
      </c>
      <c r="H726" s="220" t="s">
        <v>830</v>
      </c>
    </row>
    <row r="727" spans="1:8">
      <c r="A727">
        <v>1</v>
      </c>
      <c r="B727" t="s">
        <v>145</v>
      </c>
      <c r="C727">
        <v>2019</v>
      </c>
      <c r="D727" t="s">
        <v>11</v>
      </c>
      <c r="E727" t="s">
        <v>10</v>
      </c>
      <c r="F727" t="s">
        <v>13</v>
      </c>
      <c r="G727" t="s">
        <v>154</v>
      </c>
      <c r="H727" s="220" t="s">
        <v>831</v>
      </c>
    </row>
    <row r="728" spans="1:8">
      <c r="A728">
        <v>2</v>
      </c>
      <c r="B728" t="s">
        <v>146</v>
      </c>
      <c r="C728">
        <v>2019</v>
      </c>
      <c r="D728" t="s">
        <v>11</v>
      </c>
      <c r="E728" t="s">
        <v>10</v>
      </c>
      <c r="F728" t="s">
        <v>13</v>
      </c>
      <c r="G728" t="s">
        <v>155</v>
      </c>
      <c r="H728" s="220" t="s">
        <v>832</v>
      </c>
    </row>
    <row r="729" spans="1:8">
      <c r="A729">
        <v>3</v>
      </c>
      <c r="B729" t="s">
        <v>147</v>
      </c>
      <c r="C729">
        <v>2019</v>
      </c>
      <c r="D729" t="s">
        <v>11</v>
      </c>
      <c r="E729" t="s">
        <v>10</v>
      </c>
      <c r="F729" t="s">
        <v>13</v>
      </c>
      <c r="G729" t="s">
        <v>156</v>
      </c>
      <c r="H729" s="220" t="s">
        <v>833</v>
      </c>
    </row>
    <row r="730" spans="1:8">
      <c r="A730">
        <v>4</v>
      </c>
      <c r="B730" t="s">
        <v>148</v>
      </c>
      <c r="C730">
        <v>2019</v>
      </c>
      <c r="D730" t="s">
        <v>11</v>
      </c>
      <c r="E730" t="s">
        <v>10</v>
      </c>
      <c r="F730" t="s">
        <v>13</v>
      </c>
      <c r="G730" t="s">
        <v>157</v>
      </c>
      <c r="H730" s="220" t="s">
        <v>834</v>
      </c>
    </row>
    <row r="731" spans="1:8">
      <c r="A731">
        <v>0</v>
      </c>
      <c r="B731" t="s">
        <v>34</v>
      </c>
      <c r="C731">
        <v>2019</v>
      </c>
      <c r="D731" t="s">
        <v>11</v>
      </c>
      <c r="E731" t="s">
        <v>10</v>
      </c>
      <c r="F731" t="s">
        <v>13</v>
      </c>
      <c r="G731" t="s">
        <v>158</v>
      </c>
      <c r="H731" s="220" t="s">
        <v>835</v>
      </c>
    </row>
    <row r="732" spans="1:8">
      <c r="A732">
        <v>1</v>
      </c>
      <c r="B732" t="s">
        <v>145</v>
      </c>
      <c r="C732">
        <v>2018</v>
      </c>
      <c r="D732" t="s">
        <v>11</v>
      </c>
      <c r="E732" t="s">
        <v>10</v>
      </c>
      <c r="F732" t="s">
        <v>13</v>
      </c>
      <c r="G732" t="s">
        <v>154</v>
      </c>
      <c r="H732" s="220" t="s">
        <v>836</v>
      </c>
    </row>
    <row r="733" spans="1:8">
      <c r="A733">
        <v>2</v>
      </c>
      <c r="B733" t="s">
        <v>146</v>
      </c>
      <c r="C733">
        <v>2018</v>
      </c>
      <c r="D733" t="s">
        <v>11</v>
      </c>
      <c r="E733" t="s">
        <v>10</v>
      </c>
      <c r="F733" t="s">
        <v>13</v>
      </c>
      <c r="G733" t="s">
        <v>155</v>
      </c>
      <c r="H733" s="220" t="s">
        <v>837</v>
      </c>
    </row>
    <row r="734" spans="1:8">
      <c r="A734">
        <v>3</v>
      </c>
      <c r="B734" t="s">
        <v>147</v>
      </c>
      <c r="C734">
        <v>2018</v>
      </c>
      <c r="D734" t="s">
        <v>11</v>
      </c>
      <c r="E734" t="s">
        <v>10</v>
      </c>
      <c r="F734" t="s">
        <v>13</v>
      </c>
      <c r="G734" t="s">
        <v>156</v>
      </c>
      <c r="H734" s="220" t="s">
        <v>838</v>
      </c>
    </row>
    <row r="735" spans="1:8">
      <c r="A735">
        <v>4</v>
      </c>
      <c r="B735" t="s">
        <v>148</v>
      </c>
      <c r="C735">
        <v>2018</v>
      </c>
      <c r="D735" t="s">
        <v>11</v>
      </c>
      <c r="E735" t="s">
        <v>10</v>
      </c>
      <c r="F735" t="s">
        <v>13</v>
      </c>
      <c r="G735" t="s">
        <v>157</v>
      </c>
      <c r="H735" s="220" t="s">
        <v>839</v>
      </c>
    </row>
    <row r="736" spans="1:8">
      <c r="A736">
        <v>0</v>
      </c>
      <c r="B736" t="s">
        <v>34</v>
      </c>
      <c r="C736">
        <v>2018</v>
      </c>
      <c r="D736" t="s">
        <v>11</v>
      </c>
      <c r="E736" t="s">
        <v>10</v>
      </c>
      <c r="F736" t="s">
        <v>13</v>
      </c>
      <c r="G736" t="s">
        <v>158</v>
      </c>
      <c r="H736" s="220" t="s">
        <v>840</v>
      </c>
    </row>
    <row r="737" spans="1:8">
      <c r="A737">
        <v>1</v>
      </c>
      <c r="B737" t="s">
        <v>145</v>
      </c>
      <c r="C737">
        <v>2017</v>
      </c>
      <c r="D737" t="s">
        <v>11</v>
      </c>
      <c r="E737" t="s">
        <v>10</v>
      </c>
      <c r="F737" t="s">
        <v>13</v>
      </c>
      <c r="G737" t="s">
        <v>154</v>
      </c>
      <c r="H737" s="220" t="s">
        <v>841</v>
      </c>
    </row>
    <row r="738" spans="1:8">
      <c r="A738">
        <v>2</v>
      </c>
      <c r="B738" t="s">
        <v>146</v>
      </c>
      <c r="C738">
        <v>2017</v>
      </c>
      <c r="D738" t="s">
        <v>11</v>
      </c>
      <c r="E738" t="s">
        <v>10</v>
      </c>
      <c r="F738" t="s">
        <v>13</v>
      </c>
      <c r="G738" t="s">
        <v>155</v>
      </c>
      <c r="H738" s="220" t="s">
        <v>842</v>
      </c>
    </row>
    <row r="739" spans="1:8">
      <c r="A739">
        <v>3</v>
      </c>
      <c r="B739" t="s">
        <v>147</v>
      </c>
      <c r="C739">
        <v>2017</v>
      </c>
      <c r="D739" t="s">
        <v>11</v>
      </c>
      <c r="E739" t="s">
        <v>10</v>
      </c>
      <c r="F739" t="s">
        <v>13</v>
      </c>
      <c r="G739" t="s">
        <v>156</v>
      </c>
      <c r="H739" s="220" t="s">
        <v>843</v>
      </c>
    </row>
    <row r="740" spans="1:8">
      <c r="A740">
        <v>4</v>
      </c>
      <c r="B740" t="s">
        <v>148</v>
      </c>
      <c r="C740">
        <v>2017</v>
      </c>
      <c r="D740" t="s">
        <v>11</v>
      </c>
      <c r="E740" t="s">
        <v>10</v>
      </c>
      <c r="F740" t="s">
        <v>13</v>
      </c>
      <c r="G740" t="s">
        <v>157</v>
      </c>
      <c r="H740" s="220" t="s">
        <v>844</v>
      </c>
    </row>
    <row r="741" spans="1:8">
      <c r="A741">
        <v>0</v>
      </c>
      <c r="B741" t="s">
        <v>34</v>
      </c>
      <c r="C741">
        <v>2017</v>
      </c>
      <c r="D741" t="s">
        <v>11</v>
      </c>
      <c r="E741" t="s">
        <v>10</v>
      </c>
      <c r="F741" t="s">
        <v>13</v>
      </c>
      <c r="G741" t="s">
        <v>158</v>
      </c>
      <c r="H741" s="220" t="s">
        <v>845</v>
      </c>
    </row>
    <row r="742" spans="1:8">
      <c r="A742">
        <v>1</v>
      </c>
      <c r="B742" t="s">
        <v>145</v>
      </c>
      <c r="C742">
        <v>2016</v>
      </c>
      <c r="D742" t="s">
        <v>11</v>
      </c>
      <c r="E742" t="s">
        <v>10</v>
      </c>
      <c r="F742" t="s">
        <v>13</v>
      </c>
      <c r="G742" t="s">
        <v>154</v>
      </c>
      <c r="H742" s="220" t="s">
        <v>846</v>
      </c>
    </row>
    <row r="743" spans="1:8">
      <c r="A743">
        <v>2</v>
      </c>
      <c r="B743" t="s">
        <v>146</v>
      </c>
      <c r="C743">
        <v>2016</v>
      </c>
      <c r="D743" t="s">
        <v>11</v>
      </c>
      <c r="E743" t="s">
        <v>10</v>
      </c>
      <c r="F743" t="s">
        <v>13</v>
      </c>
      <c r="G743" t="s">
        <v>155</v>
      </c>
      <c r="H743" s="220" t="s">
        <v>847</v>
      </c>
    </row>
    <row r="744" spans="1:8">
      <c r="A744">
        <v>3</v>
      </c>
      <c r="B744" t="s">
        <v>147</v>
      </c>
      <c r="C744">
        <v>2016</v>
      </c>
      <c r="D744" t="s">
        <v>11</v>
      </c>
      <c r="E744" t="s">
        <v>10</v>
      </c>
      <c r="F744" t="s">
        <v>13</v>
      </c>
      <c r="G744" t="s">
        <v>156</v>
      </c>
      <c r="H744" s="220" t="s">
        <v>848</v>
      </c>
    </row>
    <row r="745" spans="1:8">
      <c r="A745">
        <v>4</v>
      </c>
      <c r="B745" t="s">
        <v>148</v>
      </c>
      <c r="C745">
        <v>2016</v>
      </c>
      <c r="D745" t="s">
        <v>11</v>
      </c>
      <c r="E745" t="s">
        <v>10</v>
      </c>
      <c r="F745" t="s">
        <v>13</v>
      </c>
      <c r="G745" t="s">
        <v>157</v>
      </c>
      <c r="H745" s="220" t="s">
        <v>849</v>
      </c>
    </row>
    <row r="746" spans="1:8">
      <c r="A746">
        <v>0</v>
      </c>
      <c r="B746" t="s">
        <v>34</v>
      </c>
      <c r="C746">
        <v>2016</v>
      </c>
      <c r="D746" t="s">
        <v>11</v>
      </c>
      <c r="E746" t="s">
        <v>10</v>
      </c>
      <c r="F746" t="s">
        <v>13</v>
      </c>
      <c r="G746" t="s">
        <v>158</v>
      </c>
      <c r="H746" s="220" t="s">
        <v>850</v>
      </c>
    </row>
    <row r="747" spans="1:8">
      <c r="A747">
        <v>1</v>
      </c>
      <c r="B747" t="s">
        <v>145</v>
      </c>
      <c r="C747">
        <v>2015</v>
      </c>
      <c r="D747" t="s">
        <v>11</v>
      </c>
      <c r="E747" t="s">
        <v>10</v>
      </c>
      <c r="F747" t="s">
        <v>13</v>
      </c>
      <c r="G747" t="s">
        <v>154</v>
      </c>
      <c r="H747" s="220" t="s">
        <v>851</v>
      </c>
    </row>
    <row r="748" spans="1:8">
      <c r="A748">
        <v>2</v>
      </c>
      <c r="B748" t="s">
        <v>146</v>
      </c>
      <c r="C748">
        <v>2015</v>
      </c>
      <c r="D748" t="s">
        <v>11</v>
      </c>
      <c r="E748" t="s">
        <v>10</v>
      </c>
      <c r="F748" t="s">
        <v>13</v>
      </c>
      <c r="G748" t="s">
        <v>155</v>
      </c>
      <c r="H748" s="220" t="s">
        <v>852</v>
      </c>
    </row>
    <row r="749" spans="1:8">
      <c r="A749">
        <v>3</v>
      </c>
      <c r="B749" t="s">
        <v>147</v>
      </c>
      <c r="C749">
        <v>2015</v>
      </c>
      <c r="D749" t="s">
        <v>11</v>
      </c>
      <c r="E749" t="s">
        <v>10</v>
      </c>
      <c r="F749" t="s">
        <v>13</v>
      </c>
      <c r="G749" t="s">
        <v>156</v>
      </c>
      <c r="H749" s="220" t="s">
        <v>853</v>
      </c>
    </row>
    <row r="750" spans="1:8">
      <c r="A750">
        <v>4</v>
      </c>
      <c r="B750" t="s">
        <v>148</v>
      </c>
      <c r="C750">
        <v>2015</v>
      </c>
      <c r="D750" t="s">
        <v>11</v>
      </c>
      <c r="E750" t="s">
        <v>10</v>
      </c>
      <c r="F750" t="s">
        <v>13</v>
      </c>
      <c r="G750" t="s">
        <v>157</v>
      </c>
      <c r="H750" s="220" t="s">
        <v>854</v>
      </c>
    </row>
    <row r="751" spans="1:8">
      <c r="A751">
        <v>0</v>
      </c>
      <c r="B751" t="s">
        <v>34</v>
      </c>
      <c r="C751">
        <v>2015</v>
      </c>
      <c r="D751" t="s">
        <v>11</v>
      </c>
      <c r="E751" t="s">
        <v>10</v>
      </c>
      <c r="F751" t="s">
        <v>13</v>
      </c>
      <c r="G751" t="s">
        <v>158</v>
      </c>
      <c r="H751" s="220" t="s">
        <v>855</v>
      </c>
    </row>
    <row r="752" spans="1:8">
      <c r="A752">
        <v>1</v>
      </c>
      <c r="B752" t="s">
        <v>145</v>
      </c>
      <c r="C752">
        <v>2014</v>
      </c>
      <c r="D752" t="s">
        <v>11</v>
      </c>
      <c r="E752" t="s">
        <v>10</v>
      </c>
      <c r="F752" t="s">
        <v>13</v>
      </c>
      <c r="G752" t="s">
        <v>154</v>
      </c>
      <c r="H752" s="220" t="s">
        <v>856</v>
      </c>
    </row>
    <row r="753" spans="1:8">
      <c r="A753">
        <v>2</v>
      </c>
      <c r="B753" t="s">
        <v>146</v>
      </c>
      <c r="C753">
        <v>2014</v>
      </c>
      <c r="D753" t="s">
        <v>11</v>
      </c>
      <c r="E753" t="s">
        <v>10</v>
      </c>
      <c r="F753" t="s">
        <v>13</v>
      </c>
      <c r="G753" t="s">
        <v>155</v>
      </c>
      <c r="H753" s="220" t="s">
        <v>857</v>
      </c>
    </row>
    <row r="754" spans="1:8">
      <c r="A754">
        <v>3</v>
      </c>
      <c r="B754" t="s">
        <v>147</v>
      </c>
      <c r="C754">
        <v>2014</v>
      </c>
      <c r="D754" t="s">
        <v>11</v>
      </c>
      <c r="E754" t="s">
        <v>10</v>
      </c>
      <c r="F754" t="s">
        <v>13</v>
      </c>
      <c r="G754" t="s">
        <v>156</v>
      </c>
      <c r="H754" s="220" t="s">
        <v>858</v>
      </c>
    </row>
    <row r="755" spans="1:8">
      <c r="A755">
        <v>4</v>
      </c>
      <c r="B755" t="s">
        <v>148</v>
      </c>
      <c r="C755">
        <v>2014</v>
      </c>
      <c r="D755" t="s">
        <v>11</v>
      </c>
      <c r="E755" t="s">
        <v>10</v>
      </c>
      <c r="F755" t="s">
        <v>13</v>
      </c>
      <c r="G755" t="s">
        <v>157</v>
      </c>
      <c r="H755" s="220" t="s">
        <v>859</v>
      </c>
    </row>
    <row r="756" spans="1:8">
      <c r="A756">
        <v>0</v>
      </c>
      <c r="B756" t="s">
        <v>34</v>
      </c>
      <c r="C756">
        <v>2014</v>
      </c>
      <c r="D756" t="s">
        <v>11</v>
      </c>
      <c r="E756" t="s">
        <v>10</v>
      </c>
      <c r="F756" t="s">
        <v>13</v>
      </c>
      <c r="G756" t="s">
        <v>158</v>
      </c>
      <c r="H756" s="220" t="s">
        <v>860</v>
      </c>
    </row>
    <row r="757" spans="1:8">
      <c r="A757">
        <v>1</v>
      </c>
      <c r="B757" t="s">
        <v>145</v>
      </c>
      <c r="C757">
        <v>2013</v>
      </c>
      <c r="D757" t="s">
        <v>11</v>
      </c>
      <c r="E757" t="s">
        <v>10</v>
      </c>
      <c r="F757" t="s">
        <v>13</v>
      </c>
      <c r="G757" t="s">
        <v>154</v>
      </c>
      <c r="H757" s="220" t="s">
        <v>861</v>
      </c>
    </row>
    <row r="758" spans="1:8">
      <c r="A758">
        <v>2</v>
      </c>
      <c r="B758" t="s">
        <v>146</v>
      </c>
      <c r="C758">
        <v>2013</v>
      </c>
      <c r="D758" t="s">
        <v>11</v>
      </c>
      <c r="E758" t="s">
        <v>10</v>
      </c>
      <c r="F758" t="s">
        <v>13</v>
      </c>
      <c r="G758" t="s">
        <v>155</v>
      </c>
      <c r="H758" s="220" t="s">
        <v>862</v>
      </c>
    </row>
    <row r="759" spans="1:8">
      <c r="A759">
        <v>3</v>
      </c>
      <c r="B759" t="s">
        <v>147</v>
      </c>
      <c r="C759">
        <v>2013</v>
      </c>
      <c r="D759" t="s">
        <v>11</v>
      </c>
      <c r="E759" t="s">
        <v>10</v>
      </c>
      <c r="F759" t="s">
        <v>13</v>
      </c>
      <c r="G759" t="s">
        <v>156</v>
      </c>
      <c r="H759" s="220" t="s">
        <v>863</v>
      </c>
    </row>
    <row r="760" spans="1:8">
      <c r="A760">
        <v>4</v>
      </c>
      <c r="B760" t="s">
        <v>148</v>
      </c>
      <c r="C760">
        <v>2013</v>
      </c>
      <c r="D760" t="s">
        <v>11</v>
      </c>
      <c r="E760" t="s">
        <v>10</v>
      </c>
      <c r="F760" t="s">
        <v>13</v>
      </c>
      <c r="G760" t="s">
        <v>157</v>
      </c>
      <c r="H760" s="220" t="s">
        <v>864</v>
      </c>
    </row>
    <row r="761" spans="1:8">
      <c r="A761">
        <v>0</v>
      </c>
      <c r="B761" t="s">
        <v>34</v>
      </c>
      <c r="C761">
        <v>2013</v>
      </c>
      <c r="D761" t="s">
        <v>11</v>
      </c>
      <c r="E761" t="s">
        <v>10</v>
      </c>
      <c r="F761" t="s">
        <v>13</v>
      </c>
      <c r="G761" t="s">
        <v>158</v>
      </c>
      <c r="H761" s="220" t="s">
        <v>865</v>
      </c>
    </row>
    <row r="762" spans="1:8">
      <c r="A762">
        <v>1</v>
      </c>
      <c r="B762" t="s">
        <v>145</v>
      </c>
      <c r="C762">
        <v>2012</v>
      </c>
      <c r="D762" t="s">
        <v>11</v>
      </c>
      <c r="E762" t="s">
        <v>10</v>
      </c>
      <c r="F762" t="s">
        <v>13</v>
      </c>
      <c r="G762" t="s">
        <v>154</v>
      </c>
      <c r="H762" s="220" t="s">
        <v>866</v>
      </c>
    </row>
    <row r="763" spans="1:8">
      <c r="A763">
        <v>2</v>
      </c>
      <c r="B763" t="s">
        <v>146</v>
      </c>
      <c r="C763">
        <v>2012</v>
      </c>
      <c r="D763" t="s">
        <v>11</v>
      </c>
      <c r="E763" t="s">
        <v>10</v>
      </c>
      <c r="F763" t="s">
        <v>13</v>
      </c>
      <c r="G763" t="s">
        <v>155</v>
      </c>
      <c r="H763" s="220" t="s">
        <v>867</v>
      </c>
    </row>
    <row r="764" spans="1:8">
      <c r="A764">
        <v>3</v>
      </c>
      <c r="B764" t="s">
        <v>147</v>
      </c>
      <c r="C764">
        <v>2012</v>
      </c>
      <c r="D764" t="s">
        <v>11</v>
      </c>
      <c r="E764" t="s">
        <v>10</v>
      </c>
      <c r="F764" t="s">
        <v>13</v>
      </c>
      <c r="G764" t="s">
        <v>156</v>
      </c>
      <c r="H764" s="220" t="s">
        <v>868</v>
      </c>
    </row>
    <row r="765" spans="1:8">
      <c r="A765">
        <v>4</v>
      </c>
      <c r="B765" t="s">
        <v>148</v>
      </c>
      <c r="C765">
        <v>2012</v>
      </c>
      <c r="D765" t="s">
        <v>11</v>
      </c>
      <c r="E765" t="s">
        <v>10</v>
      </c>
      <c r="F765" t="s">
        <v>13</v>
      </c>
      <c r="G765" t="s">
        <v>157</v>
      </c>
      <c r="H765" s="220" t="s">
        <v>869</v>
      </c>
    </row>
    <row r="766" spans="1:8">
      <c r="A766">
        <v>0</v>
      </c>
      <c r="B766" t="s">
        <v>34</v>
      </c>
      <c r="C766">
        <v>2012</v>
      </c>
      <c r="D766" t="s">
        <v>11</v>
      </c>
      <c r="E766" t="s">
        <v>10</v>
      </c>
      <c r="F766" t="s">
        <v>13</v>
      </c>
      <c r="G766" t="s">
        <v>158</v>
      </c>
      <c r="H766" s="220" t="s">
        <v>870</v>
      </c>
    </row>
    <row r="767" spans="1:8">
      <c r="A767">
        <v>1</v>
      </c>
      <c r="B767" t="s">
        <v>145</v>
      </c>
      <c r="C767">
        <v>2011</v>
      </c>
      <c r="D767" t="s">
        <v>11</v>
      </c>
      <c r="E767" t="s">
        <v>10</v>
      </c>
      <c r="F767" t="s">
        <v>13</v>
      </c>
      <c r="G767" t="s">
        <v>154</v>
      </c>
      <c r="H767" s="220" t="s">
        <v>871</v>
      </c>
    </row>
    <row r="768" spans="1:8">
      <c r="A768">
        <v>2</v>
      </c>
      <c r="B768" t="s">
        <v>146</v>
      </c>
      <c r="C768">
        <v>2011</v>
      </c>
      <c r="D768" t="s">
        <v>11</v>
      </c>
      <c r="E768" t="s">
        <v>10</v>
      </c>
      <c r="F768" t="s">
        <v>13</v>
      </c>
      <c r="G768" t="s">
        <v>155</v>
      </c>
      <c r="H768" s="220" t="s">
        <v>872</v>
      </c>
    </row>
    <row r="769" spans="1:8">
      <c r="A769">
        <v>3</v>
      </c>
      <c r="B769" t="s">
        <v>147</v>
      </c>
      <c r="C769">
        <v>2011</v>
      </c>
      <c r="D769" t="s">
        <v>11</v>
      </c>
      <c r="E769" t="s">
        <v>10</v>
      </c>
      <c r="F769" t="s">
        <v>13</v>
      </c>
      <c r="G769" t="s">
        <v>156</v>
      </c>
      <c r="H769" s="220" t="s">
        <v>873</v>
      </c>
    </row>
    <row r="770" spans="1:8">
      <c r="A770">
        <v>4</v>
      </c>
      <c r="B770" t="s">
        <v>148</v>
      </c>
      <c r="C770">
        <v>2011</v>
      </c>
      <c r="D770" t="s">
        <v>11</v>
      </c>
      <c r="E770" t="s">
        <v>10</v>
      </c>
      <c r="F770" t="s">
        <v>13</v>
      </c>
      <c r="G770" t="s">
        <v>157</v>
      </c>
      <c r="H770" s="220" t="s">
        <v>874</v>
      </c>
    </row>
    <row r="771" spans="1:8">
      <c r="A771">
        <v>0</v>
      </c>
      <c r="B771" t="s">
        <v>34</v>
      </c>
      <c r="C771">
        <v>2011</v>
      </c>
      <c r="D771" t="s">
        <v>11</v>
      </c>
      <c r="E771" t="s">
        <v>10</v>
      </c>
      <c r="F771" t="s">
        <v>13</v>
      </c>
      <c r="G771" t="s">
        <v>158</v>
      </c>
      <c r="H771" s="220" t="s">
        <v>875</v>
      </c>
    </row>
    <row r="772" spans="1:8">
      <c r="A772">
        <v>1</v>
      </c>
      <c r="B772" t="s">
        <v>145</v>
      </c>
      <c r="C772">
        <v>2010</v>
      </c>
      <c r="D772" t="s">
        <v>11</v>
      </c>
      <c r="E772" t="s">
        <v>10</v>
      </c>
      <c r="F772" t="s">
        <v>13</v>
      </c>
      <c r="G772" t="s">
        <v>154</v>
      </c>
      <c r="H772" s="220" t="s">
        <v>876</v>
      </c>
    </row>
    <row r="773" spans="1:8">
      <c r="A773">
        <v>2</v>
      </c>
      <c r="B773" t="s">
        <v>146</v>
      </c>
      <c r="C773">
        <v>2010</v>
      </c>
      <c r="D773" t="s">
        <v>11</v>
      </c>
      <c r="E773" t="s">
        <v>10</v>
      </c>
      <c r="F773" t="s">
        <v>13</v>
      </c>
      <c r="G773" t="s">
        <v>155</v>
      </c>
      <c r="H773" s="220" t="s">
        <v>877</v>
      </c>
    </row>
    <row r="774" spans="1:8">
      <c r="A774">
        <v>3</v>
      </c>
      <c r="B774" t="s">
        <v>147</v>
      </c>
      <c r="C774">
        <v>2010</v>
      </c>
      <c r="D774" t="s">
        <v>11</v>
      </c>
      <c r="E774" t="s">
        <v>10</v>
      </c>
      <c r="F774" t="s">
        <v>13</v>
      </c>
      <c r="G774" t="s">
        <v>156</v>
      </c>
      <c r="H774" s="220" t="s">
        <v>878</v>
      </c>
    </row>
    <row r="775" spans="1:8">
      <c r="A775">
        <v>4</v>
      </c>
      <c r="B775" t="s">
        <v>148</v>
      </c>
      <c r="C775">
        <v>2010</v>
      </c>
      <c r="D775" t="s">
        <v>11</v>
      </c>
      <c r="E775" t="s">
        <v>10</v>
      </c>
      <c r="F775" t="s">
        <v>13</v>
      </c>
      <c r="G775" t="s">
        <v>157</v>
      </c>
      <c r="H775" s="220" t="s">
        <v>879</v>
      </c>
    </row>
    <row r="776" spans="1:8">
      <c r="A776">
        <v>0</v>
      </c>
      <c r="B776" t="s">
        <v>34</v>
      </c>
      <c r="C776">
        <v>2010</v>
      </c>
      <c r="D776" t="s">
        <v>11</v>
      </c>
      <c r="E776" t="s">
        <v>10</v>
      </c>
      <c r="F776" t="s">
        <v>13</v>
      </c>
      <c r="G776" t="s">
        <v>158</v>
      </c>
      <c r="H776" s="220" t="s">
        <v>880</v>
      </c>
    </row>
    <row r="777" spans="1:8">
      <c r="A777">
        <v>1</v>
      </c>
      <c r="B777" t="s">
        <v>145</v>
      </c>
      <c r="C777">
        <v>2005</v>
      </c>
      <c r="D777" t="s">
        <v>11</v>
      </c>
      <c r="E777" t="s">
        <v>10</v>
      </c>
      <c r="F777" t="s">
        <v>13</v>
      </c>
      <c r="G777" t="s">
        <v>154</v>
      </c>
      <c r="H777" s="220" t="s">
        <v>881</v>
      </c>
    </row>
    <row r="778" spans="1:8">
      <c r="A778">
        <v>2</v>
      </c>
      <c r="B778" t="s">
        <v>146</v>
      </c>
      <c r="C778">
        <v>2005</v>
      </c>
      <c r="D778" t="s">
        <v>11</v>
      </c>
      <c r="E778" t="s">
        <v>10</v>
      </c>
      <c r="F778" t="s">
        <v>13</v>
      </c>
      <c r="G778" t="s">
        <v>155</v>
      </c>
      <c r="H778" s="220" t="s">
        <v>882</v>
      </c>
    </row>
    <row r="779" spans="1:8">
      <c r="A779">
        <v>3</v>
      </c>
      <c r="B779" t="s">
        <v>147</v>
      </c>
      <c r="C779">
        <v>2005</v>
      </c>
      <c r="D779" t="s">
        <v>11</v>
      </c>
      <c r="E779" t="s">
        <v>10</v>
      </c>
      <c r="F779" t="s">
        <v>13</v>
      </c>
      <c r="G779" t="s">
        <v>156</v>
      </c>
      <c r="H779" s="220" t="s">
        <v>883</v>
      </c>
    </row>
    <row r="780" spans="1:8">
      <c r="A780">
        <v>4</v>
      </c>
      <c r="B780" t="s">
        <v>148</v>
      </c>
      <c r="C780">
        <v>2005</v>
      </c>
      <c r="D780" t="s">
        <v>11</v>
      </c>
      <c r="E780" t="s">
        <v>10</v>
      </c>
      <c r="F780" t="s">
        <v>13</v>
      </c>
      <c r="G780" t="s">
        <v>157</v>
      </c>
      <c r="H780" s="220" t="s">
        <v>884</v>
      </c>
    </row>
    <row r="781" spans="1:8">
      <c r="A781">
        <v>0</v>
      </c>
      <c r="B781" t="s">
        <v>34</v>
      </c>
      <c r="C781">
        <v>2005</v>
      </c>
      <c r="D781" t="s">
        <v>11</v>
      </c>
      <c r="E781" t="s">
        <v>10</v>
      </c>
      <c r="F781" t="s">
        <v>13</v>
      </c>
      <c r="G781" t="s">
        <v>158</v>
      </c>
      <c r="H781" s="220" t="s">
        <v>885</v>
      </c>
    </row>
    <row r="782" spans="1:8">
      <c r="A782">
        <v>1</v>
      </c>
      <c r="B782" t="s">
        <v>145</v>
      </c>
      <c r="C782">
        <v>2020</v>
      </c>
      <c r="D782" t="s">
        <v>12</v>
      </c>
      <c r="E782" t="s">
        <v>10</v>
      </c>
      <c r="F782" t="s">
        <v>13</v>
      </c>
      <c r="G782" t="s">
        <v>154</v>
      </c>
      <c r="H782" s="220" t="s">
        <v>886</v>
      </c>
    </row>
    <row r="783" spans="1:8">
      <c r="A783">
        <v>2</v>
      </c>
      <c r="B783" t="s">
        <v>146</v>
      </c>
      <c r="C783">
        <v>2020</v>
      </c>
      <c r="D783" t="s">
        <v>12</v>
      </c>
      <c r="E783" t="s">
        <v>10</v>
      </c>
      <c r="F783" t="s">
        <v>13</v>
      </c>
      <c r="G783" t="s">
        <v>155</v>
      </c>
      <c r="H783" s="220" t="s">
        <v>887</v>
      </c>
    </row>
    <row r="784" spans="1:8">
      <c r="A784">
        <v>3</v>
      </c>
      <c r="B784" t="s">
        <v>147</v>
      </c>
      <c r="C784">
        <v>2020</v>
      </c>
      <c r="D784" t="s">
        <v>12</v>
      </c>
      <c r="E784" t="s">
        <v>10</v>
      </c>
      <c r="F784" t="s">
        <v>13</v>
      </c>
      <c r="G784" t="s">
        <v>156</v>
      </c>
      <c r="H784" s="220" t="s">
        <v>888</v>
      </c>
    </row>
    <row r="785" spans="1:8">
      <c r="A785">
        <v>4</v>
      </c>
      <c r="B785" t="s">
        <v>148</v>
      </c>
      <c r="C785">
        <v>2020</v>
      </c>
      <c r="D785" t="s">
        <v>12</v>
      </c>
      <c r="E785" t="s">
        <v>10</v>
      </c>
      <c r="F785" t="s">
        <v>13</v>
      </c>
      <c r="G785" t="s">
        <v>157</v>
      </c>
      <c r="H785" s="220" t="s">
        <v>889</v>
      </c>
    </row>
    <row r="786" spans="1:8">
      <c r="A786">
        <v>0</v>
      </c>
      <c r="B786" t="s">
        <v>34</v>
      </c>
      <c r="C786">
        <v>2020</v>
      </c>
      <c r="D786" t="s">
        <v>12</v>
      </c>
      <c r="E786" t="s">
        <v>10</v>
      </c>
      <c r="F786" t="s">
        <v>13</v>
      </c>
      <c r="G786" t="s">
        <v>158</v>
      </c>
      <c r="H786" s="220" t="s">
        <v>890</v>
      </c>
    </row>
    <row r="787" spans="1:8">
      <c r="A787">
        <v>1</v>
      </c>
      <c r="B787" t="s">
        <v>145</v>
      </c>
      <c r="C787">
        <v>2019</v>
      </c>
      <c r="D787" t="s">
        <v>12</v>
      </c>
      <c r="E787" t="s">
        <v>10</v>
      </c>
      <c r="F787" t="s">
        <v>13</v>
      </c>
      <c r="G787" t="s">
        <v>154</v>
      </c>
      <c r="H787" s="220" t="s">
        <v>891</v>
      </c>
    </row>
    <row r="788" spans="1:8">
      <c r="A788">
        <v>2</v>
      </c>
      <c r="B788" t="s">
        <v>146</v>
      </c>
      <c r="C788">
        <v>2019</v>
      </c>
      <c r="D788" t="s">
        <v>12</v>
      </c>
      <c r="E788" t="s">
        <v>10</v>
      </c>
      <c r="F788" t="s">
        <v>13</v>
      </c>
      <c r="G788" t="s">
        <v>155</v>
      </c>
      <c r="H788" s="220" t="s">
        <v>892</v>
      </c>
    </row>
    <row r="789" spans="1:8">
      <c r="A789">
        <v>3</v>
      </c>
      <c r="B789" t="s">
        <v>147</v>
      </c>
      <c r="C789">
        <v>2019</v>
      </c>
      <c r="D789" t="s">
        <v>12</v>
      </c>
      <c r="E789" t="s">
        <v>10</v>
      </c>
      <c r="F789" t="s">
        <v>13</v>
      </c>
      <c r="G789" t="s">
        <v>156</v>
      </c>
      <c r="H789" s="220" t="s">
        <v>893</v>
      </c>
    </row>
    <row r="790" spans="1:8">
      <c r="A790">
        <v>4</v>
      </c>
      <c r="B790" t="s">
        <v>148</v>
      </c>
      <c r="C790">
        <v>2019</v>
      </c>
      <c r="D790" t="s">
        <v>12</v>
      </c>
      <c r="E790" t="s">
        <v>10</v>
      </c>
      <c r="F790" t="s">
        <v>13</v>
      </c>
      <c r="G790" t="s">
        <v>157</v>
      </c>
      <c r="H790" s="220" t="s">
        <v>894</v>
      </c>
    </row>
    <row r="791" spans="1:8">
      <c r="A791">
        <v>0</v>
      </c>
      <c r="B791" t="s">
        <v>34</v>
      </c>
      <c r="C791">
        <v>2019</v>
      </c>
      <c r="D791" t="s">
        <v>12</v>
      </c>
      <c r="E791" t="s">
        <v>10</v>
      </c>
      <c r="F791" t="s">
        <v>13</v>
      </c>
      <c r="G791" t="s">
        <v>158</v>
      </c>
      <c r="H791" s="220" t="s">
        <v>895</v>
      </c>
    </row>
    <row r="792" spans="1:8">
      <c r="A792">
        <v>1</v>
      </c>
      <c r="B792" t="s">
        <v>145</v>
      </c>
      <c r="C792">
        <v>2018</v>
      </c>
      <c r="D792" t="s">
        <v>12</v>
      </c>
      <c r="E792" t="s">
        <v>10</v>
      </c>
      <c r="F792" t="s">
        <v>13</v>
      </c>
      <c r="G792" t="s">
        <v>154</v>
      </c>
      <c r="H792" s="220" t="s">
        <v>896</v>
      </c>
    </row>
    <row r="793" spans="1:8">
      <c r="A793">
        <v>2</v>
      </c>
      <c r="B793" t="s">
        <v>146</v>
      </c>
      <c r="C793">
        <v>2018</v>
      </c>
      <c r="D793" t="s">
        <v>12</v>
      </c>
      <c r="E793" t="s">
        <v>10</v>
      </c>
      <c r="F793" t="s">
        <v>13</v>
      </c>
      <c r="G793" t="s">
        <v>155</v>
      </c>
      <c r="H793" s="220" t="s">
        <v>897</v>
      </c>
    </row>
    <row r="794" spans="1:8">
      <c r="A794">
        <v>3</v>
      </c>
      <c r="B794" t="s">
        <v>147</v>
      </c>
      <c r="C794">
        <v>2018</v>
      </c>
      <c r="D794" t="s">
        <v>12</v>
      </c>
      <c r="E794" t="s">
        <v>10</v>
      </c>
      <c r="F794" t="s">
        <v>13</v>
      </c>
      <c r="G794" t="s">
        <v>156</v>
      </c>
      <c r="H794" s="220" t="s">
        <v>898</v>
      </c>
    </row>
    <row r="795" spans="1:8">
      <c r="A795">
        <v>4</v>
      </c>
      <c r="B795" t="s">
        <v>148</v>
      </c>
      <c r="C795">
        <v>2018</v>
      </c>
      <c r="D795" t="s">
        <v>12</v>
      </c>
      <c r="E795" t="s">
        <v>10</v>
      </c>
      <c r="F795" t="s">
        <v>13</v>
      </c>
      <c r="G795" t="s">
        <v>157</v>
      </c>
      <c r="H795" s="220" t="s">
        <v>899</v>
      </c>
    </row>
    <row r="796" spans="1:8">
      <c r="A796">
        <v>0</v>
      </c>
      <c r="B796" t="s">
        <v>34</v>
      </c>
      <c r="C796">
        <v>2018</v>
      </c>
      <c r="D796" t="s">
        <v>12</v>
      </c>
      <c r="E796" t="s">
        <v>10</v>
      </c>
      <c r="F796" t="s">
        <v>13</v>
      </c>
      <c r="G796" t="s">
        <v>158</v>
      </c>
      <c r="H796" s="220" t="s">
        <v>900</v>
      </c>
    </row>
    <row r="797" spans="1:8">
      <c r="A797">
        <v>1</v>
      </c>
      <c r="B797" t="s">
        <v>145</v>
      </c>
      <c r="C797">
        <v>2017</v>
      </c>
      <c r="D797" t="s">
        <v>12</v>
      </c>
      <c r="E797" t="s">
        <v>10</v>
      </c>
      <c r="F797" t="s">
        <v>13</v>
      </c>
      <c r="G797" t="s">
        <v>154</v>
      </c>
      <c r="H797" s="220" t="s">
        <v>901</v>
      </c>
    </row>
    <row r="798" spans="1:8">
      <c r="A798">
        <v>2</v>
      </c>
      <c r="B798" t="s">
        <v>146</v>
      </c>
      <c r="C798">
        <v>2017</v>
      </c>
      <c r="D798" t="s">
        <v>12</v>
      </c>
      <c r="E798" t="s">
        <v>10</v>
      </c>
      <c r="F798" t="s">
        <v>13</v>
      </c>
      <c r="G798" t="s">
        <v>155</v>
      </c>
      <c r="H798" s="220" t="s">
        <v>902</v>
      </c>
    </row>
    <row r="799" spans="1:8">
      <c r="A799">
        <v>3</v>
      </c>
      <c r="B799" t="s">
        <v>147</v>
      </c>
      <c r="C799">
        <v>2017</v>
      </c>
      <c r="D799" t="s">
        <v>12</v>
      </c>
      <c r="E799" t="s">
        <v>10</v>
      </c>
      <c r="F799" t="s">
        <v>13</v>
      </c>
      <c r="G799" t="s">
        <v>156</v>
      </c>
      <c r="H799" s="220" t="s">
        <v>903</v>
      </c>
    </row>
    <row r="800" spans="1:8">
      <c r="A800">
        <v>4</v>
      </c>
      <c r="B800" t="s">
        <v>148</v>
      </c>
      <c r="C800">
        <v>2017</v>
      </c>
      <c r="D800" t="s">
        <v>12</v>
      </c>
      <c r="E800" t="s">
        <v>10</v>
      </c>
      <c r="F800" t="s">
        <v>13</v>
      </c>
      <c r="G800" t="s">
        <v>157</v>
      </c>
      <c r="H800" s="220" t="s">
        <v>904</v>
      </c>
    </row>
    <row r="801" spans="1:8">
      <c r="A801">
        <v>0</v>
      </c>
      <c r="B801" t="s">
        <v>34</v>
      </c>
      <c r="C801">
        <v>2017</v>
      </c>
      <c r="D801" t="s">
        <v>12</v>
      </c>
      <c r="E801" t="s">
        <v>10</v>
      </c>
      <c r="F801" t="s">
        <v>13</v>
      </c>
      <c r="G801" t="s">
        <v>158</v>
      </c>
      <c r="H801" s="220" t="s">
        <v>905</v>
      </c>
    </row>
    <row r="802" spans="1:8">
      <c r="A802">
        <v>1</v>
      </c>
      <c r="B802" t="s">
        <v>145</v>
      </c>
      <c r="C802">
        <v>2016</v>
      </c>
      <c r="D802" t="s">
        <v>12</v>
      </c>
      <c r="E802" t="s">
        <v>10</v>
      </c>
      <c r="F802" t="s">
        <v>13</v>
      </c>
      <c r="G802" t="s">
        <v>154</v>
      </c>
      <c r="H802" s="220" t="s">
        <v>906</v>
      </c>
    </row>
    <row r="803" spans="1:8">
      <c r="A803">
        <v>2</v>
      </c>
      <c r="B803" t="s">
        <v>146</v>
      </c>
      <c r="C803">
        <v>2016</v>
      </c>
      <c r="D803" t="s">
        <v>12</v>
      </c>
      <c r="E803" t="s">
        <v>10</v>
      </c>
      <c r="F803" t="s">
        <v>13</v>
      </c>
      <c r="G803" t="s">
        <v>155</v>
      </c>
      <c r="H803" s="220" t="s">
        <v>907</v>
      </c>
    </row>
    <row r="804" spans="1:8">
      <c r="A804">
        <v>3</v>
      </c>
      <c r="B804" t="s">
        <v>147</v>
      </c>
      <c r="C804">
        <v>2016</v>
      </c>
      <c r="D804" t="s">
        <v>12</v>
      </c>
      <c r="E804" t="s">
        <v>10</v>
      </c>
      <c r="F804" t="s">
        <v>13</v>
      </c>
      <c r="G804" t="s">
        <v>156</v>
      </c>
      <c r="H804" s="220" t="s">
        <v>908</v>
      </c>
    </row>
    <row r="805" spans="1:8">
      <c r="A805">
        <v>4</v>
      </c>
      <c r="B805" t="s">
        <v>148</v>
      </c>
      <c r="C805">
        <v>2016</v>
      </c>
      <c r="D805" t="s">
        <v>12</v>
      </c>
      <c r="E805" t="s">
        <v>10</v>
      </c>
      <c r="F805" t="s">
        <v>13</v>
      </c>
      <c r="G805" t="s">
        <v>157</v>
      </c>
      <c r="H805" s="220" t="s">
        <v>909</v>
      </c>
    </row>
    <row r="806" spans="1:8">
      <c r="A806">
        <v>0</v>
      </c>
      <c r="B806" t="s">
        <v>34</v>
      </c>
      <c r="C806">
        <v>2016</v>
      </c>
      <c r="D806" t="s">
        <v>12</v>
      </c>
      <c r="E806" t="s">
        <v>10</v>
      </c>
      <c r="F806" t="s">
        <v>13</v>
      </c>
      <c r="G806" t="s">
        <v>158</v>
      </c>
      <c r="H806" s="220" t="s">
        <v>910</v>
      </c>
    </row>
    <row r="807" spans="1:8">
      <c r="A807">
        <v>1</v>
      </c>
      <c r="B807" t="s">
        <v>145</v>
      </c>
      <c r="C807">
        <v>2015</v>
      </c>
      <c r="D807" t="s">
        <v>12</v>
      </c>
      <c r="E807" t="s">
        <v>10</v>
      </c>
      <c r="F807" t="s">
        <v>13</v>
      </c>
      <c r="G807" t="s">
        <v>154</v>
      </c>
      <c r="H807" s="220" t="s">
        <v>911</v>
      </c>
    </row>
    <row r="808" spans="1:8">
      <c r="A808">
        <v>2</v>
      </c>
      <c r="B808" t="s">
        <v>146</v>
      </c>
      <c r="C808">
        <v>2015</v>
      </c>
      <c r="D808" t="s">
        <v>12</v>
      </c>
      <c r="E808" t="s">
        <v>10</v>
      </c>
      <c r="F808" t="s">
        <v>13</v>
      </c>
      <c r="G808" t="s">
        <v>155</v>
      </c>
      <c r="H808" s="220" t="s">
        <v>912</v>
      </c>
    </row>
    <row r="809" spans="1:8">
      <c r="A809">
        <v>3</v>
      </c>
      <c r="B809" t="s">
        <v>147</v>
      </c>
      <c r="C809">
        <v>2015</v>
      </c>
      <c r="D809" t="s">
        <v>12</v>
      </c>
      <c r="E809" t="s">
        <v>10</v>
      </c>
      <c r="F809" t="s">
        <v>13</v>
      </c>
      <c r="G809" t="s">
        <v>156</v>
      </c>
      <c r="H809" s="220" t="s">
        <v>913</v>
      </c>
    </row>
    <row r="810" spans="1:8">
      <c r="A810">
        <v>4</v>
      </c>
      <c r="B810" t="s">
        <v>148</v>
      </c>
      <c r="C810">
        <v>2015</v>
      </c>
      <c r="D810" t="s">
        <v>12</v>
      </c>
      <c r="E810" t="s">
        <v>10</v>
      </c>
      <c r="F810" t="s">
        <v>13</v>
      </c>
      <c r="G810" t="s">
        <v>157</v>
      </c>
      <c r="H810" s="220" t="s">
        <v>914</v>
      </c>
    </row>
    <row r="811" spans="1:8">
      <c r="A811">
        <v>0</v>
      </c>
      <c r="B811" t="s">
        <v>34</v>
      </c>
      <c r="C811">
        <v>2015</v>
      </c>
      <c r="D811" t="s">
        <v>12</v>
      </c>
      <c r="E811" t="s">
        <v>10</v>
      </c>
      <c r="F811" t="s">
        <v>13</v>
      </c>
      <c r="G811" t="s">
        <v>158</v>
      </c>
      <c r="H811" s="220" t="s">
        <v>915</v>
      </c>
    </row>
    <row r="812" spans="1:8">
      <c r="A812">
        <v>1</v>
      </c>
      <c r="B812" t="s">
        <v>145</v>
      </c>
      <c r="C812">
        <v>2014</v>
      </c>
      <c r="D812" t="s">
        <v>12</v>
      </c>
      <c r="E812" t="s">
        <v>10</v>
      </c>
      <c r="F812" t="s">
        <v>13</v>
      </c>
      <c r="G812" t="s">
        <v>154</v>
      </c>
      <c r="H812" s="220" t="s">
        <v>916</v>
      </c>
    </row>
    <row r="813" spans="1:8">
      <c r="A813">
        <v>2</v>
      </c>
      <c r="B813" t="s">
        <v>146</v>
      </c>
      <c r="C813">
        <v>2014</v>
      </c>
      <c r="D813" t="s">
        <v>12</v>
      </c>
      <c r="E813" t="s">
        <v>10</v>
      </c>
      <c r="F813" t="s">
        <v>13</v>
      </c>
      <c r="G813" t="s">
        <v>155</v>
      </c>
      <c r="H813" s="220" t="s">
        <v>917</v>
      </c>
    </row>
    <row r="814" spans="1:8">
      <c r="A814">
        <v>3</v>
      </c>
      <c r="B814" t="s">
        <v>147</v>
      </c>
      <c r="C814">
        <v>2014</v>
      </c>
      <c r="D814" t="s">
        <v>12</v>
      </c>
      <c r="E814" t="s">
        <v>10</v>
      </c>
      <c r="F814" t="s">
        <v>13</v>
      </c>
      <c r="G814" t="s">
        <v>156</v>
      </c>
      <c r="H814" s="220" t="s">
        <v>918</v>
      </c>
    </row>
    <row r="815" spans="1:8">
      <c r="A815">
        <v>4</v>
      </c>
      <c r="B815" t="s">
        <v>148</v>
      </c>
      <c r="C815">
        <v>2014</v>
      </c>
      <c r="D815" t="s">
        <v>12</v>
      </c>
      <c r="E815" t="s">
        <v>10</v>
      </c>
      <c r="F815" t="s">
        <v>13</v>
      </c>
      <c r="G815" t="s">
        <v>157</v>
      </c>
      <c r="H815" s="220" t="s">
        <v>919</v>
      </c>
    </row>
    <row r="816" spans="1:8">
      <c r="A816">
        <v>0</v>
      </c>
      <c r="B816" t="s">
        <v>34</v>
      </c>
      <c r="C816">
        <v>2014</v>
      </c>
      <c r="D816" t="s">
        <v>12</v>
      </c>
      <c r="E816" t="s">
        <v>10</v>
      </c>
      <c r="F816" t="s">
        <v>13</v>
      </c>
      <c r="G816" t="s">
        <v>158</v>
      </c>
      <c r="H816" s="220" t="s">
        <v>920</v>
      </c>
    </row>
    <row r="817" spans="1:8">
      <c r="A817">
        <v>1</v>
      </c>
      <c r="B817" t="s">
        <v>145</v>
      </c>
      <c r="C817">
        <v>2013</v>
      </c>
      <c r="D817" t="s">
        <v>12</v>
      </c>
      <c r="E817" t="s">
        <v>10</v>
      </c>
      <c r="F817" t="s">
        <v>13</v>
      </c>
      <c r="G817" t="s">
        <v>154</v>
      </c>
      <c r="H817" s="220" t="s">
        <v>921</v>
      </c>
    </row>
    <row r="818" spans="1:8">
      <c r="A818">
        <v>2</v>
      </c>
      <c r="B818" t="s">
        <v>146</v>
      </c>
      <c r="C818">
        <v>2013</v>
      </c>
      <c r="D818" t="s">
        <v>12</v>
      </c>
      <c r="E818" t="s">
        <v>10</v>
      </c>
      <c r="F818" t="s">
        <v>13</v>
      </c>
      <c r="G818" t="s">
        <v>155</v>
      </c>
      <c r="H818" s="220" t="s">
        <v>922</v>
      </c>
    </row>
    <row r="819" spans="1:8">
      <c r="A819">
        <v>3</v>
      </c>
      <c r="B819" t="s">
        <v>147</v>
      </c>
      <c r="C819">
        <v>2013</v>
      </c>
      <c r="D819" t="s">
        <v>12</v>
      </c>
      <c r="E819" t="s">
        <v>10</v>
      </c>
      <c r="F819" t="s">
        <v>13</v>
      </c>
      <c r="G819" t="s">
        <v>156</v>
      </c>
      <c r="H819" s="220" t="s">
        <v>923</v>
      </c>
    </row>
    <row r="820" spans="1:8">
      <c r="A820">
        <v>4</v>
      </c>
      <c r="B820" t="s">
        <v>148</v>
      </c>
      <c r="C820">
        <v>2013</v>
      </c>
      <c r="D820" t="s">
        <v>12</v>
      </c>
      <c r="E820" t="s">
        <v>10</v>
      </c>
      <c r="F820" t="s">
        <v>13</v>
      </c>
      <c r="G820" t="s">
        <v>157</v>
      </c>
      <c r="H820" s="220" t="s">
        <v>924</v>
      </c>
    </row>
    <row r="821" spans="1:8">
      <c r="A821">
        <v>0</v>
      </c>
      <c r="B821" t="s">
        <v>34</v>
      </c>
      <c r="C821">
        <v>2013</v>
      </c>
      <c r="D821" t="s">
        <v>12</v>
      </c>
      <c r="E821" t="s">
        <v>10</v>
      </c>
      <c r="F821" t="s">
        <v>13</v>
      </c>
      <c r="G821" t="s">
        <v>158</v>
      </c>
      <c r="H821" s="220" t="s">
        <v>925</v>
      </c>
    </row>
    <row r="822" spans="1:8">
      <c r="A822">
        <v>1</v>
      </c>
      <c r="B822" t="s">
        <v>145</v>
      </c>
      <c r="C822">
        <v>2012</v>
      </c>
      <c r="D822" t="s">
        <v>12</v>
      </c>
      <c r="E822" t="s">
        <v>10</v>
      </c>
      <c r="F822" t="s">
        <v>13</v>
      </c>
      <c r="G822" t="s">
        <v>154</v>
      </c>
      <c r="H822" s="220" t="s">
        <v>926</v>
      </c>
    </row>
    <row r="823" spans="1:8">
      <c r="A823">
        <v>2</v>
      </c>
      <c r="B823" t="s">
        <v>146</v>
      </c>
      <c r="C823">
        <v>2012</v>
      </c>
      <c r="D823" t="s">
        <v>12</v>
      </c>
      <c r="E823" t="s">
        <v>10</v>
      </c>
      <c r="F823" t="s">
        <v>13</v>
      </c>
      <c r="G823" t="s">
        <v>155</v>
      </c>
      <c r="H823" s="220" t="s">
        <v>927</v>
      </c>
    </row>
    <row r="824" spans="1:8">
      <c r="A824">
        <v>3</v>
      </c>
      <c r="B824" t="s">
        <v>147</v>
      </c>
      <c r="C824">
        <v>2012</v>
      </c>
      <c r="D824" t="s">
        <v>12</v>
      </c>
      <c r="E824" t="s">
        <v>10</v>
      </c>
      <c r="F824" t="s">
        <v>13</v>
      </c>
      <c r="G824" t="s">
        <v>156</v>
      </c>
      <c r="H824" s="220" t="s">
        <v>928</v>
      </c>
    </row>
    <row r="825" spans="1:8">
      <c r="A825">
        <v>4</v>
      </c>
      <c r="B825" t="s">
        <v>148</v>
      </c>
      <c r="C825">
        <v>2012</v>
      </c>
      <c r="D825" t="s">
        <v>12</v>
      </c>
      <c r="E825" t="s">
        <v>10</v>
      </c>
      <c r="F825" t="s">
        <v>13</v>
      </c>
      <c r="G825" t="s">
        <v>157</v>
      </c>
      <c r="H825" s="220" t="s">
        <v>929</v>
      </c>
    </row>
    <row r="826" spans="1:8">
      <c r="A826">
        <v>0</v>
      </c>
      <c r="B826" t="s">
        <v>34</v>
      </c>
      <c r="C826">
        <v>2012</v>
      </c>
      <c r="D826" t="s">
        <v>12</v>
      </c>
      <c r="E826" t="s">
        <v>10</v>
      </c>
      <c r="F826" t="s">
        <v>13</v>
      </c>
      <c r="G826" t="s">
        <v>158</v>
      </c>
      <c r="H826" s="220" t="s">
        <v>930</v>
      </c>
    </row>
    <row r="827" spans="1:8">
      <c r="A827">
        <v>1</v>
      </c>
      <c r="B827" t="s">
        <v>145</v>
      </c>
      <c r="C827">
        <v>2011</v>
      </c>
      <c r="D827" t="s">
        <v>12</v>
      </c>
      <c r="E827" t="s">
        <v>10</v>
      </c>
      <c r="F827" t="s">
        <v>13</v>
      </c>
      <c r="G827" t="s">
        <v>154</v>
      </c>
      <c r="H827" s="220" t="s">
        <v>931</v>
      </c>
    </row>
    <row r="828" spans="1:8">
      <c r="A828">
        <v>2</v>
      </c>
      <c r="B828" t="s">
        <v>146</v>
      </c>
      <c r="C828">
        <v>2011</v>
      </c>
      <c r="D828" t="s">
        <v>12</v>
      </c>
      <c r="E828" t="s">
        <v>10</v>
      </c>
      <c r="F828" t="s">
        <v>13</v>
      </c>
      <c r="G828" t="s">
        <v>155</v>
      </c>
      <c r="H828" s="220" t="s">
        <v>932</v>
      </c>
    </row>
    <row r="829" spans="1:8">
      <c r="A829">
        <v>3</v>
      </c>
      <c r="B829" t="s">
        <v>147</v>
      </c>
      <c r="C829">
        <v>2011</v>
      </c>
      <c r="D829" t="s">
        <v>12</v>
      </c>
      <c r="E829" t="s">
        <v>10</v>
      </c>
      <c r="F829" t="s">
        <v>13</v>
      </c>
      <c r="G829" t="s">
        <v>156</v>
      </c>
      <c r="H829" s="220" t="s">
        <v>933</v>
      </c>
    </row>
    <row r="830" spans="1:8">
      <c r="A830">
        <v>4</v>
      </c>
      <c r="B830" t="s">
        <v>148</v>
      </c>
      <c r="C830">
        <v>2011</v>
      </c>
      <c r="D830" t="s">
        <v>12</v>
      </c>
      <c r="E830" t="s">
        <v>10</v>
      </c>
      <c r="F830" t="s">
        <v>13</v>
      </c>
      <c r="G830" t="s">
        <v>157</v>
      </c>
      <c r="H830" s="220" t="s">
        <v>934</v>
      </c>
    </row>
    <row r="831" spans="1:8">
      <c r="A831">
        <v>0</v>
      </c>
      <c r="B831" t="s">
        <v>34</v>
      </c>
      <c r="C831">
        <v>2011</v>
      </c>
      <c r="D831" t="s">
        <v>12</v>
      </c>
      <c r="E831" t="s">
        <v>10</v>
      </c>
      <c r="F831" t="s">
        <v>13</v>
      </c>
      <c r="G831" t="s">
        <v>158</v>
      </c>
      <c r="H831" s="220" t="s">
        <v>935</v>
      </c>
    </row>
    <row r="832" spans="1:8">
      <c r="A832">
        <v>1</v>
      </c>
      <c r="B832" t="s">
        <v>145</v>
      </c>
      <c r="C832">
        <v>2010</v>
      </c>
      <c r="D832" t="s">
        <v>12</v>
      </c>
      <c r="E832" t="s">
        <v>10</v>
      </c>
      <c r="F832" t="s">
        <v>13</v>
      </c>
      <c r="G832" t="s">
        <v>154</v>
      </c>
      <c r="H832" s="220" t="s">
        <v>936</v>
      </c>
    </row>
    <row r="833" spans="1:8">
      <c r="A833">
        <v>2</v>
      </c>
      <c r="B833" t="s">
        <v>146</v>
      </c>
      <c r="C833">
        <v>2010</v>
      </c>
      <c r="D833" t="s">
        <v>12</v>
      </c>
      <c r="E833" t="s">
        <v>10</v>
      </c>
      <c r="F833" t="s">
        <v>13</v>
      </c>
      <c r="G833" t="s">
        <v>155</v>
      </c>
      <c r="H833" s="220" t="s">
        <v>937</v>
      </c>
    </row>
    <row r="834" spans="1:8">
      <c r="A834">
        <v>3</v>
      </c>
      <c r="B834" t="s">
        <v>147</v>
      </c>
      <c r="C834">
        <v>2010</v>
      </c>
      <c r="D834" t="s">
        <v>12</v>
      </c>
      <c r="E834" t="s">
        <v>10</v>
      </c>
      <c r="F834" t="s">
        <v>13</v>
      </c>
      <c r="G834" t="s">
        <v>156</v>
      </c>
      <c r="H834" s="220" t="s">
        <v>938</v>
      </c>
    </row>
    <row r="835" spans="1:8">
      <c r="A835">
        <v>4</v>
      </c>
      <c r="B835" t="s">
        <v>148</v>
      </c>
      <c r="C835">
        <v>2010</v>
      </c>
      <c r="D835" t="s">
        <v>12</v>
      </c>
      <c r="E835" t="s">
        <v>10</v>
      </c>
      <c r="F835" t="s">
        <v>13</v>
      </c>
      <c r="G835" t="s">
        <v>157</v>
      </c>
      <c r="H835" s="220" t="s">
        <v>939</v>
      </c>
    </row>
    <row r="836" spans="1:8">
      <c r="A836">
        <v>0</v>
      </c>
      <c r="B836" t="s">
        <v>34</v>
      </c>
      <c r="C836">
        <v>2010</v>
      </c>
      <c r="D836" t="s">
        <v>12</v>
      </c>
      <c r="E836" t="s">
        <v>10</v>
      </c>
      <c r="F836" t="s">
        <v>13</v>
      </c>
      <c r="G836" t="s">
        <v>158</v>
      </c>
      <c r="H836" s="220" t="s">
        <v>940</v>
      </c>
    </row>
    <row r="837" spans="1:8">
      <c r="A837">
        <v>1</v>
      </c>
      <c r="B837" t="s">
        <v>145</v>
      </c>
      <c r="C837">
        <v>2005</v>
      </c>
      <c r="D837" t="s">
        <v>12</v>
      </c>
      <c r="E837" t="s">
        <v>10</v>
      </c>
      <c r="F837" t="s">
        <v>13</v>
      </c>
      <c r="G837" t="s">
        <v>154</v>
      </c>
      <c r="H837" s="220" t="s">
        <v>941</v>
      </c>
    </row>
    <row r="838" spans="1:8">
      <c r="A838">
        <v>2</v>
      </c>
      <c r="B838" t="s">
        <v>146</v>
      </c>
      <c r="C838">
        <v>2005</v>
      </c>
      <c r="D838" t="s">
        <v>12</v>
      </c>
      <c r="E838" t="s">
        <v>10</v>
      </c>
      <c r="F838" t="s">
        <v>13</v>
      </c>
      <c r="G838" t="s">
        <v>155</v>
      </c>
      <c r="H838" s="220" t="s">
        <v>942</v>
      </c>
    </row>
    <row r="839" spans="1:8">
      <c r="A839">
        <v>3</v>
      </c>
      <c r="B839" t="s">
        <v>147</v>
      </c>
      <c r="C839">
        <v>2005</v>
      </c>
      <c r="D839" t="s">
        <v>12</v>
      </c>
      <c r="E839" t="s">
        <v>10</v>
      </c>
      <c r="F839" t="s">
        <v>13</v>
      </c>
      <c r="G839" t="s">
        <v>156</v>
      </c>
      <c r="H839" s="220" t="s">
        <v>943</v>
      </c>
    </row>
    <row r="840" spans="1:8">
      <c r="A840">
        <v>4</v>
      </c>
      <c r="B840" t="s">
        <v>148</v>
      </c>
      <c r="C840">
        <v>2005</v>
      </c>
      <c r="D840" t="s">
        <v>12</v>
      </c>
      <c r="E840" t="s">
        <v>10</v>
      </c>
      <c r="F840" t="s">
        <v>13</v>
      </c>
      <c r="G840" t="s">
        <v>157</v>
      </c>
      <c r="H840" s="220" t="s">
        <v>944</v>
      </c>
    </row>
    <row r="841" spans="1:8">
      <c r="A841">
        <v>0</v>
      </c>
      <c r="B841" t="s">
        <v>34</v>
      </c>
      <c r="C841">
        <v>2005</v>
      </c>
      <c r="D841" t="s">
        <v>12</v>
      </c>
      <c r="E841" t="s">
        <v>10</v>
      </c>
      <c r="F841" t="s">
        <v>13</v>
      </c>
      <c r="G841" t="s">
        <v>158</v>
      </c>
      <c r="H841" s="220" t="s">
        <v>945</v>
      </c>
    </row>
    <row r="842" spans="1:8">
      <c r="A842">
        <v>1</v>
      </c>
      <c r="B842" t="s">
        <v>145</v>
      </c>
      <c r="C842">
        <v>2020</v>
      </c>
      <c r="D842" t="s">
        <v>11</v>
      </c>
      <c r="E842" t="s">
        <v>4</v>
      </c>
      <c r="F842" t="s">
        <v>38</v>
      </c>
      <c r="G842" t="s">
        <v>154</v>
      </c>
      <c r="H842" s="220" t="s">
        <v>946</v>
      </c>
    </row>
    <row r="843" spans="1:8">
      <c r="A843">
        <v>2</v>
      </c>
      <c r="B843" t="s">
        <v>146</v>
      </c>
      <c r="C843">
        <v>2020</v>
      </c>
      <c r="D843" t="s">
        <v>11</v>
      </c>
      <c r="E843" t="s">
        <v>4</v>
      </c>
      <c r="F843" t="s">
        <v>38</v>
      </c>
      <c r="G843" t="s">
        <v>155</v>
      </c>
      <c r="H843" s="220" t="s">
        <v>947</v>
      </c>
    </row>
    <row r="844" spans="1:8">
      <c r="A844">
        <v>3</v>
      </c>
      <c r="B844" t="s">
        <v>147</v>
      </c>
      <c r="C844">
        <v>2020</v>
      </c>
      <c r="D844" t="s">
        <v>11</v>
      </c>
      <c r="E844" t="s">
        <v>4</v>
      </c>
      <c r="F844" t="s">
        <v>38</v>
      </c>
      <c r="G844" t="s">
        <v>156</v>
      </c>
      <c r="H844" s="220" t="s">
        <v>948</v>
      </c>
    </row>
    <row r="845" spans="1:8">
      <c r="A845">
        <v>4</v>
      </c>
      <c r="B845" t="s">
        <v>148</v>
      </c>
      <c r="C845">
        <v>2020</v>
      </c>
      <c r="D845" t="s">
        <v>11</v>
      </c>
      <c r="E845" t="s">
        <v>4</v>
      </c>
      <c r="F845" t="s">
        <v>38</v>
      </c>
      <c r="G845" t="s">
        <v>157</v>
      </c>
      <c r="H845" s="220" t="s">
        <v>949</v>
      </c>
    </row>
    <row r="846" spans="1:8">
      <c r="A846">
        <v>0</v>
      </c>
      <c r="B846" t="s">
        <v>34</v>
      </c>
      <c r="C846">
        <v>2020</v>
      </c>
      <c r="D846" t="s">
        <v>11</v>
      </c>
      <c r="E846" t="s">
        <v>4</v>
      </c>
      <c r="F846" t="s">
        <v>38</v>
      </c>
      <c r="G846" t="s">
        <v>158</v>
      </c>
      <c r="H846" s="220" t="s">
        <v>950</v>
      </c>
    </row>
    <row r="847" spans="1:8">
      <c r="A847">
        <v>1</v>
      </c>
      <c r="B847" t="s">
        <v>145</v>
      </c>
      <c r="C847">
        <v>2019</v>
      </c>
      <c r="D847" t="s">
        <v>11</v>
      </c>
      <c r="E847" t="s">
        <v>4</v>
      </c>
      <c r="F847" t="s">
        <v>38</v>
      </c>
      <c r="G847" t="s">
        <v>154</v>
      </c>
      <c r="H847" s="220" t="s">
        <v>951</v>
      </c>
    </row>
    <row r="848" spans="1:8">
      <c r="A848">
        <v>2</v>
      </c>
      <c r="B848" t="s">
        <v>146</v>
      </c>
      <c r="C848">
        <v>2019</v>
      </c>
      <c r="D848" t="s">
        <v>11</v>
      </c>
      <c r="E848" t="s">
        <v>4</v>
      </c>
      <c r="F848" t="s">
        <v>38</v>
      </c>
      <c r="G848" t="s">
        <v>155</v>
      </c>
      <c r="H848" s="220" t="s">
        <v>952</v>
      </c>
    </row>
    <row r="849" spans="1:8">
      <c r="A849">
        <v>3</v>
      </c>
      <c r="B849" t="s">
        <v>147</v>
      </c>
      <c r="C849">
        <v>2019</v>
      </c>
      <c r="D849" t="s">
        <v>11</v>
      </c>
      <c r="E849" t="s">
        <v>4</v>
      </c>
      <c r="F849" t="s">
        <v>38</v>
      </c>
      <c r="G849" t="s">
        <v>156</v>
      </c>
      <c r="H849" s="220" t="s">
        <v>953</v>
      </c>
    </row>
    <row r="850" spans="1:8">
      <c r="A850">
        <v>4</v>
      </c>
      <c r="B850" t="s">
        <v>148</v>
      </c>
      <c r="C850">
        <v>2019</v>
      </c>
      <c r="D850" t="s">
        <v>11</v>
      </c>
      <c r="E850" t="s">
        <v>4</v>
      </c>
      <c r="F850" t="s">
        <v>38</v>
      </c>
      <c r="G850" t="s">
        <v>157</v>
      </c>
      <c r="H850" s="220" t="s">
        <v>954</v>
      </c>
    </row>
    <row r="851" spans="1:8">
      <c r="A851">
        <v>0</v>
      </c>
      <c r="B851" t="s">
        <v>34</v>
      </c>
      <c r="C851">
        <v>2019</v>
      </c>
      <c r="D851" t="s">
        <v>11</v>
      </c>
      <c r="E851" t="s">
        <v>4</v>
      </c>
      <c r="F851" t="s">
        <v>38</v>
      </c>
      <c r="G851" t="s">
        <v>158</v>
      </c>
      <c r="H851" s="220" t="s">
        <v>955</v>
      </c>
    </row>
    <row r="852" spans="1:8">
      <c r="A852">
        <v>1</v>
      </c>
      <c r="B852" t="s">
        <v>145</v>
      </c>
      <c r="C852">
        <v>2018</v>
      </c>
      <c r="D852" t="s">
        <v>11</v>
      </c>
      <c r="E852" t="s">
        <v>4</v>
      </c>
      <c r="F852" t="s">
        <v>38</v>
      </c>
      <c r="G852" t="s">
        <v>154</v>
      </c>
      <c r="H852" s="220" t="s">
        <v>956</v>
      </c>
    </row>
    <row r="853" spans="1:8">
      <c r="A853">
        <v>2</v>
      </c>
      <c r="B853" t="s">
        <v>146</v>
      </c>
      <c r="C853">
        <v>2018</v>
      </c>
      <c r="D853" t="s">
        <v>11</v>
      </c>
      <c r="E853" t="s">
        <v>4</v>
      </c>
      <c r="F853" t="s">
        <v>38</v>
      </c>
      <c r="G853" t="s">
        <v>155</v>
      </c>
      <c r="H853" s="220" t="s">
        <v>957</v>
      </c>
    </row>
    <row r="854" spans="1:8">
      <c r="A854">
        <v>3</v>
      </c>
      <c r="B854" t="s">
        <v>147</v>
      </c>
      <c r="C854">
        <v>2018</v>
      </c>
      <c r="D854" t="s">
        <v>11</v>
      </c>
      <c r="E854" t="s">
        <v>4</v>
      </c>
      <c r="F854" t="s">
        <v>38</v>
      </c>
      <c r="G854" t="s">
        <v>156</v>
      </c>
      <c r="H854" s="220" t="s">
        <v>958</v>
      </c>
    </row>
    <row r="855" spans="1:8">
      <c r="A855">
        <v>4</v>
      </c>
      <c r="B855" t="s">
        <v>148</v>
      </c>
      <c r="C855">
        <v>2018</v>
      </c>
      <c r="D855" t="s">
        <v>11</v>
      </c>
      <c r="E855" t="s">
        <v>4</v>
      </c>
      <c r="F855" t="s">
        <v>38</v>
      </c>
      <c r="G855" t="s">
        <v>157</v>
      </c>
      <c r="H855" s="220" t="s">
        <v>959</v>
      </c>
    </row>
    <row r="856" spans="1:8">
      <c r="A856">
        <v>0</v>
      </c>
      <c r="B856" t="s">
        <v>34</v>
      </c>
      <c r="C856">
        <v>2018</v>
      </c>
      <c r="D856" t="s">
        <v>11</v>
      </c>
      <c r="E856" t="s">
        <v>4</v>
      </c>
      <c r="F856" t="s">
        <v>38</v>
      </c>
      <c r="G856" t="s">
        <v>158</v>
      </c>
      <c r="H856" s="220" t="s">
        <v>960</v>
      </c>
    </row>
    <row r="857" spans="1:8">
      <c r="A857">
        <v>1</v>
      </c>
      <c r="B857" t="s">
        <v>145</v>
      </c>
      <c r="C857">
        <v>2017</v>
      </c>
      <c r="D857" t="s">
        <v>11</v>
      </c>
      <c r="E857" t="s">
        <v>4</v>
      </c>
      <c r="F857" t="s">
        <v>38</v>
      </c>
      <c r="G857" t="s">
        <v>154</v>
      </c>
      <c r="H857" s="220" t="s">
        <v>961</v>
      </c>
    </row>
    <row r="858" spans="1:8">
      <c r="A858">
        <v>2</v>
      </c>
      <c r="B858" t="s">
        <v>146</v>
      </c>
      <c r="C858">
        <v>2017</v>
      </c>
      <c r="D858" t="s">
        <v>11</v>
      </c>
      <c r="E858" t="s">
        <v>4</v>
      </c>
      <c r="F858" t="s">
        <v>38</v>
      </c>
      <c r="G858" t="s">
        <v>155</v>
      </c>
      <c r="H858" s="220" t="s">
        <v>962</v>
      </c>
    </row>
    <row r="859" spans="1:8">
      <c r="A859">
        <v>3</v>
      </c>
      <c r="B859" t="s">
        <v>147</v>
      </c>
      <c r="C859">
        <v>2017</v>
      </c>
      <c r="D859" t="s">
        <v>11</v>
      </c>
      <c r="E859" t="s">
        <v>4</v>
      </c>
      <c r="F859" t="s">
        <v>38</v>
      </c>
      <c r="G859" t="s">
        <v>156</v>
      </c>
      <c r="H859" s="220" t="s">
        <v>963</v>
      </c>
    </row>
    <row r="860" spans="1:8">
      <c r="A860">
        <v>4</v>
      </c>
      <c r="B860" t="s">
        <v>148</v>
      </c>
      <c r="C860">
        <v>2017</v>
      </c>
      <c r="D860" t="s">
        <v>11</v>
      </c>
      <c r="E860" t="s">
        <v>4</v>
      </c>
      <c r="F860" t="s">
        <v>38</v>
      </c>
      <c r="G860" t="s">
        <v>157</v>
      </c>
      <c r="H860" s="220" t="s">
        <v>964</v>
      </c>
    </row>
    <row r="861" spans="1:8">
      <c r="A861">
        <v>0</v>
      </c>
      <c r="B861" t="s">
        <v>34</v>
      </c>
      <c r="C861">
        <v>2017</v>
      </c>
      <c r="D861" t="s">
        <v>11</v>
      </c>
      <c r="E861" t="s">
        <v>4</v>
      </c>
      <c r="F861" t="s">
        <v>38</v>
      </c>
      <c r="G861" t="s">
        <v>158</v>
      </c>
      <c r="H861" s="220" t="s">
        <v>965</v>
      </c>
    </row>
    <row r="862" spans="1:8">
      <c r="A862">
        <v>1</v>
      </c>
      <c r="B862" t="s">
        <v>145</v>
      </c>
      <c r="C862">
        <v>2016</v>
      </c>
      <c r="D862" t="s">
        <v>11</v>
      </c>
      <c r="E862" t="s">
        <v>4</v>
      </c>
      <c r="F862" t="s">
        <v>38</v>
      </c>
      <c r="G862" t="s">
        <v>154</v>
      </c>
      <c r="H862" s="220" t="s">
        <v>966</v>
      </c>
    </row>
    <row r="863" spans="1:8">
      <c r="A863">
        <v>2</v>
      </c>
      <c r="B863" t="s">
        <v>146</v>
      </c>
      <c r="C863">
        <v>2016</v>
      </c>
      <c r="D863" t="s">
        <v>11</v>
      </c>
      <c r="E863" t="s">
        <v>4</v>
      </c>
      <c r="F863" t="s">
        <v>38</v>
      </c>
      <c r="G863" t="s">
        <v>155</v>
      </c>
      <c r="H863" s="220" t="s">
        <v>967</v>
      </c>
    </row>
    <row r="864" spans="1:8">
      <c r="A864">
        <v>3</v>
      </c>
      <c r="B864" t="s">
        <v>147</v>
      </c>
      <c r="C864">
        <v>2016</v>
      </c>
      <c r="D864" t="s">
        <v>11</v>
      </c>
      <c r="E864" t="s">
        <v>4</v>
      </c>
      <c r="F864" t="s">
        <v>38</v>
      </c>
      <c r="G864" t="s">
        <v>156</v>
      </c>
      <c r="H864" s="220" t="s">
        <v>968</v>
      </c>
    </row>
    <row r="865" spans="1:8">
      <c r="A865">
        <v>4</v>
      </c>
      <c r="B865" t="s">
        <v>148</v>
      </c>
      <c r="C865">
        <v>2016</v>
      </c>
      <c r="D865" t="s">
        <v>11</v>
      </c>
      <c r="E865" t="s">
        <v>4</v>
      </c>
      <c r="F865" t="s">
        <v>38</v>
      </c>
      <c r="G865" t="s">
        <v>157</v>
      </c>
      <c r="H865" s="220" t="s">
        <v>969</v>
      </c>
    </row>
    <row r="866" spans="1:8">
      <c r="A866">
        <v>0</v>
      </c>
      <c r="B866" t="s">
        <v>34</v>
      </c>
      <c r="C866">
        <v>2016</v>
      </c>
      <c r="D866" t="s">
        <v>11</v>
      </c>
      <c r="E866" t="s">
        <v>4</v>
      </c>
      <c r="F866" t="s">
        <v>38</v>
      </c>
      <c r="G866" t="s">
        <v>158</v>
      </c>
      <c r="H866" s="220" t="s">
        <v>970</v>
      </c>
    </row>
    <row r="867" spans="1:8">
      <c r="A867">
        <v>1</v>
      </c>
      <c r="B867" t="s">
        <v>145</v>
      </c>
      <c r="C867">
        <v>2015</v>
      </c>
      <c r="D867" t="s">
        <v>11</v>
      </c>
      <c r="E867" t="s">
        <v>4</v>
      </c>
      <c r="F867" t="s">
        <v>38</v>
      </c>
      <c r="G867" t="s">
        <v>154</v>
      </c>
      <c r="H867" s="220" t="s">
        <v>971</v>
      </c>
    </row>
    <row r="868" spans="1:8">
      <c r="A868">
        <v>2</v>
      </c>
      <c r="B868" t="s">
        <v>146</v>
      </c>
      <c r="C868">
        <v>2015</v>
      </c>
      <c r="D868" t="s">
        <v>11</v>
      </c>
      <c r="E868" t="s">
        <v>4</v>
      </c>
      <c r="F868" t="s">
        <v>38</v>
      </c>
      <c r="G868" t="s">
        <v>155</v>
      </c>
      <c r="H868" s="220" t="s">
        <v>972</v>
      </c>
    </row>
    <row r="869" spans="1:8">
      <c r="A869">
        <v>3</v>
      </c>
      <c r="B869" t="s">
        <v>147</v>
      </c>
      <c r="C869">
        <v>2015</v>
      </c>
      <c r="D869" t="s">
        <v>11</v>
      </c>
      <c r="E869" t="s">
        <v>4</v>
      </c>
      <c r="F869" t="s">
        <v>38</v>
      </c>
      <c r="G869" t="s">
        <v>156</v>
      </c>
      <c r="H869" s="220" t="s">
        <v>973</v>
      </c>
    </row>
    <row r="870" spans="1:8">
      <c r="A870">
        <v>4</v>
      </c>
      <c r="B870" t="s">
        <v>148</v>
      </c>
      <c r="C870">
        <v>2015</v>
      </c>
      <c r="D870" t="s">
        <v>11</v>
      </c>
      <c r="E870" t="s">
        <v>4</v>
      </c>
      <c r="F870" t="s">
        <v>38</v>
      </c>
      <c r="G870" t="s">
        <v>157</v>
      </c>
      <c r="H870" s="220" t="s">
        <v>974</v>
      </c>
    </row>
    <row r="871" spans="1:8">
      <c r="A871">
        <v>0</v>
      </c>
      <c r="B871" t="s">
        <v>34</v>
      </c>
      <c r="C871">
        <v>2015</v>
      </c>
      <c r="D871" t="s">
        <v>11</v>
      </c>
      <c r="E871" t="s">
        <v>4</v>
      </c>
      <c r="F871" t="s">
        <v>38</v>
      </c>
      <c r="G871" t="s">
        <v>158</v>
      </c>
      <c r="H871" s="220" t="s">
        <v>975</v>
      </c>
    </row>
    <row r="872" spans="1:8">
      <c r="A872">
        <v>1</v>
      </c>
      <c r="B872" t="s">
        <v>145</v>
      </c>
      <c r="C872">
        <v>2014</v>
      </c>
      <c r="D872" t="s">
        <v>11</v>
      </c>
      <c r="E872" t="s">
        <v>4</v>
      </c>
      <c r="F872" t="s">
        <v>38</v>
      </c>
      <c r="G872" t="s">
        <v>154</v>
      </c>
      <c r="H872" s="220" t="s">
        <v>976</v>
      </c>
    </row>
    <row r="873" spans="1:8">
      <c r="A873">
        <v>2</v>
      </c>
      <c r="B873" t="s">
        <v>146</v>
      </c>
      <c r="C873">
        <v>2014</v>
      </c>
      <c r="D873" t="s">
        <v>11</v>
      </c>
      <c r="E873" t="s">
        <v>4</v>
      </c>
      <c r="F873" t="s">
        <v>38</v>
      </c>
      <c r="G873" t="s">
        <v>155</v>
      </c>
      <c r="H873" s="220" t="s">
        <v>977</v>
      </c>
    </row>
    <row r="874" spans="1:8">
      <c r="A874">
        <v>3</v>
      </c>
      <c r="B874" t="s">
        <v>147</v>
      </c>
      <c r="C874">
        <v>2014</v>
      </c>
      <c r="D874" t="s">
        <v>11</v>
      </c>
      <c r="E874" t="s">
        <v>4</v>
      </c>
      <c r="F874" t="s">
        <v>38</v>
      </c>
      <c r="G874" t="s">
        <v>156</v>
      </c>
      <c r="H874" s="220" t="s">
        <v>978</v>
      </c>
    </row>
    <row r="875" spans="1:8">
      <c r="A875">
        <v>4</v>
      </c>
      <c r="B875" t="s">
        <v>148</v>
      </c>
      <c r="C875">
        <v>2014</v>
      </c>
      <c r="D875" t="s">
        <v>11</v>
      </c>
      <c r="E875" t="s">
        <v>4</v>
      </c>
      <c r="F875" t="s">
        <v>38</v>
      </c>
      <c r="G875" t="s">
        <v>157</v>
      </c>
      <c r="H875" s="220" t="s">
        <v>979</v>
      </c>
    </row>
    <row r="876" spans="1:8">
      <c r="A876">
        <v>0</v>
      </c>
      <c r="B876" t="s">
        <v>34</v>
      </c>
      <c r="C876">
        <v>2014</v>
      </c>
      <c r="D876" t="s">
        <v>11</v>
      </c>
      <c r="E876" t="s">
        <v>4</v>
      </c>
      <c r="F876" t="s">
        <v>38</v>
      </c>
      <c r="G876" t="s">
        <v>158</v>
      </c>
      <c r="H876" s="220" t="s">
        <v>980</v>
      </c>
    </row>
    <row r="877" spans="1:8">
      <c r="A877">
        <v>1</v>
      </c>
      <c r="B877" t="s">
        <v>145</v>
      </c>
      <c r="C877">
        <v>2013</v>
      </c>
      <c r="D877" t="s">
        <v>11</v>
      </c>
      <c r="E877" t="s">
        <v>4</v>
      </c>
      <c r="F877" t="s">
        <v>38</v>
      </c>
      <c r="G877" t="s">
        <v>154</v>
      </c>
      <c r="H877" s="220" t="s">
        <v>981</v>
      </c>
    </row>
    <row r="878" spans="1:8">
      <c r="A878">
        <v>2</v>
      </c>
      <c r="B878" t="s">
        <v>146</v>
      </c>
      <c r="C878">
        <v>2013</v>
      </c>
      <c r="D878" t="s">
        <v>11</v>
      </c>
      <c r="E878" t="s">
        <v>4</v>
      </c>
      <c r="F878" t="s">
        <v>38</v>
      </c>
      <c r="G878" t="s">
        <v>155</v>
      </c>
      <c r="H878" s="220" t="s">
        <v>982</v>
      </c>
    </row>
    <row r="879" spans="1:8">
      <c r="A879">
        <v>3</v>
      </c>
      <c r="B879" t="s">
        <v>147</v>
      </c>
      <c r="C879">
        <v>2013</v>
      </c>
      <c r="D879" t="s">
        <v>11</v>
      </c>
      <c r="E879" t="s">
        <v>4</v>
      </c>
      <c r="F879" t="s">
        <v>38</v>
      </c>
      <c r="G879" t="s">
        <v>156</v>
      </c>
      <c r="H879" s="220" t="s">
        <v>983</v>
      </c>
    </row>
    <row r="880" spans="1:8">
      <c r="A880">
        <v>4</v>
      </c>
      <c r="B880" t="s">
        <v>148</v>
      </c>
      <c r="C880">
        <v>2013</v>
      </c>
      <c r="D880" t="s">
        <v>11</v>
      </c>
      <c r="E880" t="s">
        <v>4</v>
      </c>
      <c r="F880" t="s">
        <v>38</v>
      </c>
      <c r="G880" t="s">
        <v>157</v>
      </c>
      <c r="H880" s="220" t="s">
        <v>984</v>
      </c>
    </row>
    <row r="881" spans="1:8">
      <c r="A881">
        <v>0</v>
      </c>
      <c r="B881" t="s">
        <v>34</v>
      </c>
      <c r="C881">
        <v>2013</v>
      </c>
      <c r="D881" t="s">
        <v>11</v>
      </c>
      <c r="E881" t="s">
        <v>4</v>
      </c>
      <c r="F881" t="s">
        <v>38</v>
      </c>
      <c r="G881" t="s">
        <v>158</v>
      </c>
      <c r="H881" s="220" t="s">
        <v>985</v>
      </c>
    </row>
    <row r="882" spans="1:8">
      <c r="A882">
        <v>1</v>
      </c>
      <c r="B882" t="s">
        <v>145</v>
      </c>
      <c r="C882">
        <v>2012</v>
      </c>
      <c r="D882" t="s">
        <v>11</v>
      </c>
      <c r="E882" t="s">
        <v>4</v>
      </c>
      <c r="F882" t="s">
        <v>38</v>
      </c>
      <c r="G882" t="s">
        <v>154</v>
      </c>
      <c r="H882" s="220" t="s">
        <v>986</v>
      </c>
    </row>
    <row r="883" spans="1:8">
      <c r="A883">
        <v>2</v>
      </c>
      <c r="B883" t="s">
        <v>146</v>
      </c>
      <c r="C883">
        <v>2012</v>
      </c>
      <c r="D883" t="s">
        <v>11</v>
      </c>
      <c r="E883" t="s">
        <v>4</v>
      </c>
      <c r="F883" t="s">
        <v>38</v>
      </c>
      <c r="G883" t="s">
        <v>155</v>
      </c>
      <c r="H883" s="220" t="s">
        <v>987</v>
      </c>
    </row>
    <row r="884" spans="1:8">
      <c r="A884">
        <v>3</v>
      </c>
      <c r="B884" t="s">
        <v>147</v>
      </c>
      <c r="C884">
        <v>2012</v>
      </c>
      <c r="D884" t="s">
        <v>11</v>
      </c>
      <c r="E884" t="s">
        <v>4</v>
      </c>
      <c r="F884" t="s">
        <v>38</v>
      </c>
      <c r="G884" t="s">
        <v>156</v>
      </c>
      <c r="H884" s="220" t="s">
        <v>988</v>
      </c>
    </row>
    <row r="885" spans="1:8">
      <c r="A885">
        <v>4</v>
      </c>
      <c r="B885" t="s">
        <v>148</v>
      </c>
      <c r="C885">
        <v>2012</v>
      </c>
      <c r="D885" t="s">
        <v>11</v>
      </c>
      <c r="E885" t="s">
        <v>4</v>
      </c>
      <c r="F885" t="s">
        <v>38</v>
      </c>
      <c r="G885" t="s">
        <v>157</v>
      </c>
      <c r="H885" s="220" t="s">
        <v>989</v>
      </c>
    </row>
    <row r="886" spans="1:8">
      <c r="A886">
        <v>0</v>
      </c>
      <c r="B886" t="s">
        <v>34</v>
      </c>
      <c r="C886">
        <v>2012</v>
      </c>
      <c r="D886" t="s">
        <v>11</v>
      </c>
      <c r="E886" t="s">
        <v>4</v>
      </c>
      <c r="F886" t="s">
        <v>38</v>
      </c>
      <c r="G886" t="s">
        <v>158</v>
      </c>
      <c r="H886" s="220" t="s">
        <v>990</v>
      </c>
    </row>
    <row r="887" spans="1:8">
      <c r="A887">
        <v>1</v>
      </c>
      <c r="B887" t="s">
        <v>145</v>
      </c>
      <c r="C887">
        <v>2011</v>
      </c>
      <c r="D887" t="s">
        <v>11</v>
      </c>
      <c r="E887" t="s">
        <v>4</v>
      </c>
      <c r="F887" t="s">
        <v>38</v>
      </c>
      <c r="G887" t="s">
        <v>154</v>
      </c>
      <c r="H887" s="220" t="s">
        <v>991</v>
      </c>
    </row>
    <row r="888" spans="1:8">
      <c r="A888">
        <v>2</v>
      </c>
      <c r="B888" t="s">
        <v>146</v>
      </c>
      <c r="C888">
        <v>2011</v>
      </c>
      <c r="D888" t="s">
        <v>11</v>
      </c>
      <c r="E888" t="s">
        <v>4</v>
      </c>
      <c r="F888" t="s">
        <v>38</v>
      </c>
      <c r="G888" t="s">
        <v>155</v>
      </c>
      <c r="H888" s="220" t="s">
        <v>992</v>
      </c>
    </row>
    <row r="889" spans="1:8">
      <c r="A889">
        <v>3</v>
      </c>
      <c r="B889" t="s">
        <v>147</v>
      </c>
      <c r="C889">
        <v>2011</v>
      </c>
      <c r="D889" t="s">
        <v>11</v>
      </c>
      <c r="E889" t="s">
        <v>4</v>
      </c>
      <c r="F889" t="s">
        <v>38</v>
      </c>
      <c r="G889" t="s">
        <v>156</v>
      </c>
      <c r="H889" s="220" t="s">
        <v>955</v>
      </c>
    </row>
    <row r="890" spans="1:8">
      <c r="A890">
        <v>4</v>
      </c>
      <c r="B890" t="s">
        <v>148</v>
      </c>
      <c r="C890">
        <v>2011</v>
      </c>
      <c r="D890" t="s">
        <v>11</v>
      </c>
      <c r="E890" t="s">
        <v>4</v>
      </c>
      <c r="F890" t="s">
        <v>38</v>
      </c>
      <c r="G890" t="s">
        <v>157</v>
      </c>
      <c r="H890" s="220" t="s">
        <v>993</v>
      </c>
    </row>
    <row r="891" spans="1:8">
      <c r="A891">
        <v>0</v>
      </c>
      <c r="B891" t="s">
        <v>34</v>
      </c>
      <c r="C891">
        <v>2011</v>
      </c>
      <c r="D891" t="s">
        <v>11</v>
      </c>
      <c r="E891" t="s">
        <v>4</v>
      </c>
      <c r="F891" t="s">
        <v>38</v>
      </c>
      <c r="G891" t="s">
        <v>158</v>
      </c>
      <c r="H891" s="220" t="s">
        <v>994</v>
      </c>
    </row>
    <row r="892" spans="1:8">
      <c r="A892">
        <v>1</v>
      </c>
      <c r="B892" t="s">
        <v>145</v>
      </c>
      <c r="C892">
        <v>2010</v>
      </c>
      <c r="D892" t="s">
        <v>11</v>
      </c>
      <c r="E892" t="s">
        <v>4</v>
      </c>
      <c r="F892" t="s">
        <v>38</v>
      </c>
      <c r="G892" t="s">
        <v>154</v>
      </c>
      <c r="H892" s="220" t="s">
        <v>995</v>
      </c>
    </row>
    <row r="893" spans="1:8">
      <c r="A893">
        <v>2</v>
      </c>
      <c r="B893" t="s">
        <v>146</v>
      </c>
      <c r="C893">
        <v>2010</v>
      </c>
      <c r="D893" t="s">
        <v>11</v>
      </c>
      <c r="E893" t="s">
        <v>4</v>
      </c>
      <c r="F893" t="s">
        <v>38</v>
      </c>
      <c r="G893" t="s">
        <v>155</v>
      </c>
      <c r="H893" s="220" t="s">
        <v>996</v>
      </c>
    </row>
    <row r="894" spans="1:8">
      <c r="A894">
        <v>3</v>
      </c>
      <c r="B894" t="s">
        <v>147</v>
      </c>
      <c r="C894">
        <v>2010</v>
      </c>
      <c r="D894" t="s">
        <v>11</v>
      </c>
      <c r="E894" t="s">
        <v>4</v>
      </c>
      <c r="F894" t="s">
        <v>38</v>
      </c>
      <c r="G894" t="s">
        <v>156</v>
      </c>
      <c r="H894" s="220" t="s">
        <v>997</v>
      </c>
    </row>
    <row r="895" spans="1:8">
      <c r="A895">
        <v>4</v>
      </c>
      <c r="B895" t="s">
        <v>148</v>
      </c>
      <c r="C895">
        <v>2010</v>
      </c>
      <c r="D895" t="s">
        <v>11</v>
      </c>
      <c r="E895" t="s">
        <v>4</v>
      </c>
      <c r="F895" t="s">
        <v>38</v>
      </c>
      <c r="G895" t="s">
        <v>157</v>
      </c>
      <c r="H895" s="220" t="s">
        <v>998</v>
      </c>
    </row>
    <row r="896" spans="1:8">
      <c r="A896">
        <v>0</v>
      </c>
      <c r="B896" t="s">
        <v>34</v>
      </c>
      <c r="C896">
        <v>2010</v>
      </c>
      <c r="D896" t="s">
        <v>11</v>
      </c>
      <c r="E896" t="s">
        <v>4</v>
      </c>
      <c r="F896" t="s">
        <v>38</v>
      </c>
      <c r="G896" t="s">
        <v>158</v>
      </c>
      <c r="H896" s="220" t="s">
        <v>999</v>
      </c>
    </row>
    <row r="897" spans="1:8">
      <c r="A897">
        <v>1</v>
      </c>
      <c r="B897" t="s">
        <v>145</v>
      </c>
      <c r="C897">
        <v>2005</v>
      </c>
      <c r="D897" t="s">
        <v>11</v>
      </c>
      <c r="E897" t="s">
        <v>4</v>
      </c>
      <c r="F897" t="s">
        <v>38</v>
      </c>
      <c r="G897" t="s">
        <v>154</v>
      </c>
      <c r="H897" s="220" t="s">
        <v>1000</v>
      </c>
    </row>
    <row r="898" spans="1:8">
      <c r="A898">
        <v>2</v>
      </c>
      <c r="B898" t="s">
        <v>146</v>
      </c>
      <c r="C898">
        <v>2005</v>
      </c>
      <c r="D898" t="s">
        <v>11</v>
      </c>
      <c r="E898" t="s">
        <v>4</v>
      </c>
      <c r="F898" t="s">
        <v>38</v>
      </c>
      <c r="G898" t="s">
        <v>155</v>
      </c>
      <c r="H898" s="220" t="s">
        <v>1001</v>
      </c>
    </row>
    <row r="899" spans="1:8">
      <c r="A899">
        <v>3</v>
      </c>
      <c r="B899" t="s">
        <v>147</v>
      </c>
      <c r="C899">
        <v>2005</v>
      </c>
      <c r="D899" t="s">
        <v>11</v>
      </c>
      <c r="E899" t="s">
        <v>4</v>
      </c>
      <c r="F899" t="s">
        <v>38</v>
      </c>
      <c r="G899" t="s">
        <v>156</v>
      </c>
      <c r="H899" s="220" t="s">
        <v>1002</v>
      </c>
    </row>
    <row r="900" spans="1:8">
      <c r="A900">
        <v>4</v>
      </c>
      <c r="B900" t="s">
        <v>148</v>
      </c>
      <c r="C900">
        <v>2005</v>
      </c>
      <c r="D900" t="s">
        <v>11</v>
      </c>
      <c r="E900" t="s">
        <v>4</v>
      </c>
      <c r="F900" t="s">
        <v>38</v>
      </c>
      <c r="G900" t="s">
        <v>157</v>
      </c>
      <c r="H900" s="220" t="s">
        <v>1003</v>
      </c>
    </row>
    <row r="901" spans="1:8">
      <c r="A901">
        <v>0</v>
      </c>
      <c r="B901" t="s">
        <v>34</v>
      </c>
      <c r="C901">
        <v>2005</v>
      </c>
      <c r="D901" t="s">
        <v>11</v>
      </c>
      <c r="E901" t="s">
        <v>4</v>
      </c>
      <c r="F901" t="s">
        <v>38</v>
      </c>
      <c r="G901" t="s">
        <v>158</v>
      </c>
      <c r="H901" s="220" t="s">
        <v>1004</v>
      </c>
    </row>
    <row r="902" spans="1:8">
      <c r="A902">
        <v>1</v>
      </c>
      <c r="B902" t="s">
        <v>145</v>
      </c>
      <c r="C902">
        <v>2020</v>
      </c>
      <c r="D902" t="s">
        <v>12</v>
      </c>
      <c r="E902" t="s">
        <v>4</v>
      </c>
      <c r="F902" t="s">
        <v>38</v>
      </c>
      <c r="G902" t="s">
        <v>154</v>
      </c>
      <c r="H902" s="220" t="s">
        <v>1005</v>
      </c>
    </row>
    <row r="903" spans="1:8">
      <c r="A903">
        <v>2</v>
      </c>
      <c r="B903" t="s">
        <v>146</v>
      </c>
      <c r="C903">
        <v>2020</v>
      </c>
      <c r="D903" t="s">
        <v>12</v>
      </c>
      <c r="E903" t="s">
        <v>4</v>
      </c>
      <c r="F903" t="s">
        <v>38</v>
      </c>
      <c r="G903" t="s">
        <v>155</v>
      </c>
      <c r="H903" s="220" t="s">
        <v>1006</v>
      </c>
    </row>
    <row r="904" spans="1:8">
      <c r="A904">
        <v>3</v>
      </c>
      <c r="B904" t="s">
        <v>147</v>
      </c>
      <c r="C904">
        <v>2020</v>
      </c>
      <c r="D904" t="s">
        <v>12</v>
      </c>
      <c r="E904" t="s">
        <v>4</v>
      </c>
      <c r="F904" t="s">
        <v>38</v>
      </c>
      <c r="G904" t="s">
        <v>156</v>
      </c>
      <c r="H904" s="220" t="s">
        <v>1007</v>
      </c>
    </row>
    <row r="905" spans="1:8">
      <c r="A905">
        <v>4</v>
      </c>
      <c r="B905" t="s">
        <v>148</v>
      </c>
      <c r="C905">
        <v>2020</v>
      </c>
      <c r="D905" t="s">
        <v>12</v>
      </c>
      <c r="E905" t="s">
        <v>4</v>
      </c>
      <c r="F905" t="s">
        <v>38</v>
      </c>
      <c r="G905" t="s">
        <v>157</v>
      </c>
      <c r="H905" s="220" t="s">
        <v>1008</v>
      </c>
    </row>
    <row r="906" spans="1:8">
      <c r="A906">
        <v>0</v>
      </c>
      <c r="B906" t="s">
        <v>34</v>
      </c>
      <c r="C906">
        <v>2020</v>
      </c>
      <c r="D906" t="s">
        <v>12</v>
      </c>
      <c r="E906" t="s">
        <v>4</v>
      </c>
      <c r="F906" t="s">
        <v>38</v>
      </c>
      <c r="G906" t="s">
        <v>158</v>
      </c>
      <c r="H906" s="220" t="s">
        <v>1009</v>
      </c>
    </row>
    <row r="907" spans="1:8">
      <c r="A907">
        <v>1</v>
      </c>
      <c r="B907" t="s">
        <v>145</v>
      </c>
      <c r="C907">
        <v>2019</v>
      </c>
      <c r="D907" t="s">
        <v>12</v>
      </c>
      <c r="E907" t="s">
        <v>4</v>
      </c>
      <c r="F907" t="s">
        <v>38</v>
      </c>
      <c r="G907" t="s">
        <v>154</v>
      </c>
      <c r="H907" s="220" t="s">
        <v>1010</v>
      </c>
    </row>
    <row r="908" spans="1:8">
      <c r="A908">
        <v>2</v>
      </c>
      <c r="B908" t="s">
        <v>146</v>
      </c>
      <c r="C908">
        <v>2019</v>
      </c>
      <c r="D908" t="s">
        <v>12</v>
      </c>
      <c r="E908" t="s">
        <v>4</v>
      </c>
      <c r="F908" t="s">
        <v>38</v>
      </c>
      <c r="G908" t="s">
        <v>155</v>
      </c>
      <c r="H908" s="220" t="s">
        <v>1011</v>
      </c>
    </row>
    <row r="909" spans="1:8">
      <c r="A909">
        <v>3</v>
      </c>
      <c r="B909" t="s">
        <v>147</v>
      </c>
      <c r="C909">
        <v>2019</v>
      </c>
      <c r="D909" t="s">
        <v>12</v>
      </c>
      <c r="E909" t="s">
        <v>4</v>
      </c>
      <c r="F909" t="s">
        <v>38</v>
      </c>
      <c r="G909" t="s">
        <v>156</v>
      </c>
      <c r="H909" s="220" t="s">
        <v>1012</v>
      </c>
    </row>
    <row r="910" spans="1:8">
      <c r="A910">
        <v>4</v>
      </c>
      <c r="B910" t="s">
        <v>148</v>
      </c>
      <c r="C910">
        <v>2019</v>
      </c>
      <c r="D910" t="s">
        <v>12</v>
      </c>
      <c r="E910" t="s">
        <v>4</v>
      </c>
      <c r="F910" t="s">
        <v>38</v>
      </c>
      <c r="G910" t="s">
        <v>157</v>
      </c>
      <c r="H910" s="220" t="s">
        <v>1013</v>
      </c>
    </row>
    <row r="911" spans="1:8">
      <c r="A911">
        <v>0</v>
      </c>
      <c r="B911" t="s">
        <v>34</v>
      </c>
      <c r="C911">
        <v>2019</v>
      </c>
      <c r="D911" t="s">
        <v>12</v>
      </c>
      <c r="E911" t="s">
        <v>4</v>
      </c>
      <c r="F911" t="s">
        <v>38</v>
      </c>
      <c r="G911" t="s">
        <v>158</v>
      </c>
      <c r="H911" s="220" t="s">
        <v>1014</v>
      </c>
    </row>
    <row r="912" spans="1:8">
      <c r="A912">
        <v>1</v>
      </c>
      <c r="B912" t="s">
        <v>145</v>
      </c>
      <c r="C912">
        <v>2018</v>
      </c>
      <c r="D912" t="s">
        <v>12</v>
      </c>
      <c r="E912" t="s">
        <v>4</v>
      </c>
      <c r="F912" t="s">
        <v>38</v>
      </c>
      <c r="G912" t="s">
        <v>154</v>
      </c>
      <c r="H912" s="220" t="s">
        <v>1015</v>
      </c>
    </row>
    <row r="913" spans="1:8">
      <c r="A913">
        <v>2</v>
      </c>
      <c r="B913" t="s">
        <v>146</v>
      </c>
      <c r="C913">
        <v>2018</v>
      </c>
      <c r="D913" t="s">
        <v>12</v>
      </c>
      <c r="E913" t="s">
        <v>4</v>
      </c>
      <c r="F913" t="s">
        <v>38</v>
      </c>
      <c r="G913" t="s">
        <v>155</v>
      </c>
      <c r="H913" s="220" t="s">
        <v>1016</v>
      </c>
    </row>
    <row r="914" spans="1:8">
      <c r="A914">
        <v>3</v>
      </c>
      <c r="B914" t="s">
        <v>147</v>
      </c>
      <c r="C914">
        <v>2018</v>
      </c>
      <c r="D914" t="s">
        <v>12</v>
      </c>
      <c r="E914" t="s">
        <v>4</v>
      </c>
      <c r="F914" t="s">
        <v>38</v>
      </c>
      <c r="G914" t="s">
        <v>156</v>
      </c>
      <c r="H914" s="220" t="s">
        <v>1017</v>
      </c>
    </row>
    <row r="915" spans="1:8">
      <c r="A915">
        <v>4</v>
      </c>
      <c r="B915" t="s">
        <v>148</v>
      </c>
      <c r="C915">
        <v>2018</v>
      </c>
      <c r="D915" t="s">
        <v>12</v>
      </c>
      <c r="E915" t="s">
        <v>4</v>
      </c>
      <c r="F915" t="s">
        <v>38</v>
      </c>
      <c r="G915" t="s">
        <v>157</v>
      </c>
      <c r="H915" s="220" t="s">
        <v>1008</v>
      </c>
    </row>
    <row r="916" spans="1:8">
      <c r="A916">
        <v>0</v>
      </c>
      <c r="B916" t="s">
        <v>34</v>
      </c>
      <c r="C916">
        <v>2018</v>
      </c>
      <c r="D916" t="s">
        <v>12</v>
      </c>
      <c r="E916" t="s">
        <v>4</v>
      </c>
      <c r="F916" t="s">
        <v>38</v>
      </c>
      <c r="G916" t="s">
        <v>158</v>
      </c>
      <c r="H916" s="220" t="s">
        <v>1018</v>
      </c>
    </row>
    <row r="917" spans="1:8">
      <c r="A917">
        <v>1</v>
      </c>
      <c r="B917" t="s">
        <v>145</v>
      </c>
      <c r="C917">
        <v>2017</v>
      </c>
      <c r="D917" t="s">
        <v>12</v>
      </c>
      <c r="E917" t="s">
        <v>4</v>
      </c>
      <c r="F917" t="s">
        <v>38</v>
      </c>
      <c r="G917" t="s">
        <v>154</v>
      </c>
      <c r="H917" s="220" t="s">
        <v>1019</v>
      </c>
    </row>
    <row r="918" spans="1:8">
      <c r="A918">
        <v>2</v>
      </c>
      <c r="B918" t="s">
        <v>146</v>
      </c>
      <c r="C918">
        <v>2017</v>
      </c>
      <c r="D918" t="s">
        <v>12</v>
      </c>
      <c r="E918" t="s">
        <v>4</v>
      </c>
      <c r="F918" t="s">
        <v>38</v>
      </c>
      <c r="G918" t="s">
        <v>155</v>
      </c>
      <c r="H918" s="220" t="s">
        <v>1020</v>
      </c>
    </row>
    <row r="919" spans="1:8">
      <c r="A919">
        <v>3</v>
      </c>
      <c r="B919" t="s">
        <v>147</v>
      </c>
      <c r="C919">
        <v>2017</v>
      </c>
      <c r="D919" t="s">
        <v>12</v>
      </c>
      <c r="E919" t="s">
        <v>4</v>
      </c>
      <c r="F919" t="s">
        <v>38</v>
      </c>
      <c r="G919" t="s">
        <v>156</v>
      </c>
      <c r="H919" s="220" t="s">
        <v>1021</v>
      </c>
    </row>
    <row r="920" spans="1:8">
      <c r="A920">
        <v>4</v>
      </c>
      <c r="B920" t="s">
        <v>148</v>
      </c>
      <c r="C920">
        <v>2017</v>
      </c>
      <c r="D920" t="s">
        <v>12</v>
      </c>
      <c r="E920" t="s">
        <v>4</v>
      </c>
      <c r="F920" t="s">
        <v>38</v>
      </c>
      <c r="G920" t="s">
        <v>157</v>
      </c>
      <c r="H920" s="220" t="s">
        <v>1022</v>
      </c>
    </row>
    <row r="921" spans="1:8">
      <c r="A921">
        <v>0</v>
      </c>
      <c r="B921" t="s">
        <v>34</v>
      </c>
      <c r="C921">
        <v>2017</v>
      </c>
      <c r="D921" t="s">
        <v>12</v>
      </c>
      <c r="E921" t="s">
        <v>4</v>
      </c>
      <c r="F921" t="s">
        <v>38</v>
      </c>
      <c r="G921" t="s">
        <v>158</v>
      </c>
      <c r="H921" s="220" t="s">
        <v>1023</v>
      </c>
    </row>
    <row r="922" spans="1:8">
      <c r="A922">
        <v>1</v>
      </c>
      <c r="B922" t="s">
        <v>145</v>
      </c>
      <c r="C922">
        <v>2016</v>
      </c>
      <c r="D922" t="s">
        <v>12</v>
      </c>
      <c r="E922" t="s">
        <v>4</v>
      </c>
      <c r="F922" t="s">
        <v>38</v>
      </c>
      <c r="G922" t="s">
        <v>154</v>
      </c>
      <c r="H922" s="220" t="s">
        <v>1024</v>
      </c>
    </row>
    <row r="923" spans="1:8">
      <c r="A923">
        <v>2</v>
      </c>
      <c r="B923" t="s">
        <v>146</v>
      </c>
      <c r="C923">
        <v>2016</v>
      </c>
      <c r="D923" t="s">
        <v>12</v>
      </c>
      <c r="E923" t="s">
        <v>4</v>
      </c>
      <c r="F923" t="s">
        <v>38</v>
      </c>
      <c r="G923" t="s">
        <v>155</v>
      </c>
      <c r="H923" s="220" t="s">
        <v>1025</v>
      </c>
    </row>
    <row r="924" spans="1:8">
      <c r="A924">
        <v>3</v>
      </c>
      <c r="B924" t="s">
        <v>147</v>
      </c>
      <c r="C924">
        <v>2016</v>
      </c>
      <c r="D924" t="s">
        <v>12</v>
      </c>
      <c r="E924" t="s">
        <v>4</v>
      </c>
      <c r="F924" t="s">
        <v>38</v>
      </c>
      <c r="G924" t="s">
        <v>156</v>
      </c>
      <c r="H924" s="220" t="s">
        <v>1026</v>
      </c>
    </row>
    <row r="925" spans="1:8">
      <c r="A925">
        <v>4</v>
      </c>
      <c r="B925" t="s">
        <v>148</v>
      </c>
      <c r="C925">
        <v>2016</v>
      </c>
      <c r="D925" t="s">
        <v>12</v>
      </c>
      <c r="E925" t="s">
        <v>4</v>
      </c>
      <c r="F925" t="s">
        <v>38</v>
      </c>
      <c r="G925" t="s">
        <v>157</v>
      </c>
      <c r="H925" s="220" t="s">
        <v>1027</v>
      </c>
    </row>
    <row r="926" spans="1:8">
      <c r="A926">
        <v>0</v>
      </c>
      <c r="B926" t="s">
        <v>34</v>
      </c>
      <c r="C926">
        <v>2016</v>
      </c>
      <c r="D926" t="s">
        <v>12</v>
      </c>
      <c r="E926" t="s">
        <v>4</v>
      </c>
      <c r="F926" t="s">
        <v>38</v>
      </c>
      <c r="G926" t="s">
        <v>158</v>
      </c>
      <c r="H926" s="220" t="s">
        <v>1028</v>
      </c>
    </row>
    <row r="927" spans="1:8">
      <c r="A927">
        <v>1</v>
      </c>
      <c r="B927" t="s">
        <v>145</v>
      </c>
      <c r="C927">
        <v>2015</v>
      </c>
      <c r="D927" t="s">
        <v>12</v>
      </c>
      <c r="E927" t="s">
        <v>4</v>
      </c>
      <c r="F927" t="s">
        <v>38</v>
      </c>
      <c r="G927" t="s">
        <v>154</v>
      </c>
      <c r="H927" s="220" t="s">
        <v>1029</v>
      </c>
    </row>
    <row r="928" spans="1:8">
      <c r="A928">
        <v>2</v>
      </c>
      <c r="B928" t="s">
        <v>146</v>
      </c>
      <c r="C928">
        <v>2015</v>
      </c>
      <c r="D928" t="s">
        <v>12</v>
      </c>
      <c r="E928" t="s">
        <v>4</v>
      </c>
      <c r="F928" t="s">
        <v>38</v>
      </c>
      <c r="G928" t="s">
        <v>155</v>
      </c>
      <c r="H928" s="220" t="s">
        <v>1030</v>
      </c>
    </row>
    <row r="929" spans="1:8">
      <c r="A929">
        <v>3</v>
      </c>
      <c r="B929" t="s">
        <v>147</v>
      </c>
      <c r="C929">
        <v>2015</v>
      </c>
      <c r="D929" t="s">
        <v>12</v>
      </c>
      <c r="E929" t="s">
        <v>4</v>
      </c>
      <c r="F929" t="s">
        <v>38</v>
      </c>
      <c r="G929" t="s">
        <v>156</v>
      </c>
      <c r="H929" s="220" t="s">
        <v>1031</v>
      </c>
    </row>
    <row r="930" spans="1:8">
      <c r="A930">
        <v>4</v>
      </c>
      <c r="B930" t="s">
        <v>148</v>
      </c>
      <c r="C930">
        <v>2015</v>
      </c>
      <c r="D930" t="s">
        <v>12</v>
      </c>
      <c r="E930" t="s">
        <v>4</v>
      </c>
      <c r="F930" t="s">
        <v>38</v>
      </c>
      <c r="G930" t="s">
        <v>157</v>
      </c>
      <c r="H930" s="220" t="s">
        <v>1032</v>
      </c>
    </row>
    <row r="931" spans="1:8">
      <c r="A931">
        <v>0</v>
      </c>
      <c r="B931" t="s">
        <v>34</v>
      </c>
      <c r="C931">
        <v>2015</v>
      </c>
      <c r="D931" t="s">
        <v>12</v>
      </c>
      <c r="E931" t="s">
        <v>4</v>
      </c>
      <c r="F931" t="s">
        <v>38</v>
      </c>
      <c r="G931" t="s">
        <v>158</v>
      </c>
      <c r="H931" s="220" t="s">
        <v>1028</v>
      </c>
    </row>
    <row r="932" spans="1:8">
      <c r="A932">
        <v>1</v>
      </c>
      <c r="B932" t="s">
        <v>145</v>
      </c>
      <c r="C932">
        <v>2014</v>
      </c>
      <c r="D932" t="s">
        <v>12</v>
      </c>
      <c r="E932" t="s">
        <v>4</v>
      </c>
      <c r="F932" t="s">
        <v>38</v>
      </c>
      <c r="G932" t="s">
        <v>154</v>
      </c>
      <c r="H932" s="220" t="s">
        <v>1033</v>
      </c>
    </row>
    <row r="933" spans="1:8">
      <c r="A933">
        <v>2</v>
      </c>
      <c r="B933" t="s">
        <v>146</v>
      </c>
      <c r="C933">
        <v>2014</v>
      </c>
      <c r="D933" t="s">
        <v>12</v>
      </c>
      <c r="E933" t="s">
        <v>4</v>
      </c>
      <c r="F933" t="s">
        <v>38</v>
      </c>
      <c r="G933" t="s">
        <v>155</v>
      </c>
      <c r="H933" s="220" t="s">
        <v>1034</v>
      </c>
    </row>
    <row r="934" spans="1:8">
      <c r="A934">
        <v>3</v>
      </c>
      <c r="B934" t="s">
        <v>147</v>
      </c>
      <c r="C934">
        <v>2014</v>
      </c>
      <c r="D934" t="s">
        <v>12</v>
      </c>
      <c r="E934" t="s">
        <v>4</v>
      </c>
      <c r="F934" t="s">
        <v>38</v>
      </c>
      <c r="G934" t="s">
        <v>156</v>
      </c>
      <c r="H934" s="220" t="s">
        <v>1035</v>
      </c>
    </row>
    <row r="935" spans="1:8">
      <c r="A935">
        <v>4</v>
      </c>
      <c r="B935" t="s">
        <v>148</v>
      </c>
      <c r="C935">
        <v>2014</v>
      </c>
      <c r="D935" t="s">
        <v>12</v>
      </c>
      <c r="E935" t="s">
        <v>4</v>
      </c>
      <c r="F935" t="s">
        <v>38</v>
      </c>
      <c r="G935" t="s">
        <v>157</v>
      </c>
      <c r="H935" s="220" t="s">
        <v>1036</v>
      </c>
    </row>
    <row r="936" spans="1:8">
      <c r="A936">
        <v>0</v>
      </c>
      <c r="B936" t="s">
        <v>34</v>
      </c>
      <c r="C936">
        <v>2014</v>
      </c>
      <c r="D936" t="s">
        <v>12</v>
      </c>
      <c r="E936" t="s">
        <v>4</v>
      </c>
      <c r="F936" t="s">
        <v>38</v>
      </c>
      <c r="G936" t="s">
        <v>158</v>
      </c>
      <c r="H936" s="220" t="s">
        <v>1037</v>
      </c>
    </row>
    <row r="937" spans="1:8">
      <c r="A937">
        <v>1</v>
      </c>
      <c r="B937" t="s">
        <v>145</v>
      </c>
      <c r="C937">
        <v>2013</v>
      </c>
      <c r="D937" t="s">
        <v>12</v>
      </c>
      <c r="E937" t="s">
        <v>4</v>
      </c>
      <c r="F937" t="s">
        <v>38</v>
      </c>
      <c r="G937" t="s">
        <v>154</v>
      </c>
      <c r="H937" s="220" t="s">
        <v>1038</v>
      </c>
    </row>
    <row r="938" spans="1:8">
      <c r="A938">
        <v>2</v>
      </c>
      <c r="B938" t="s">
        <v>146</v>
      </c>
      <c r="C938">
        <v>2013</v>
      </c>
      <c r="D938" t="s">
        <v>12</v>
      </c>
      <c r="E938" t="s">
        <v>4</v>
      </c>
      <c r="F938" t="s">
        <v>38</v>
      </c>
      <c r="G938" t="s">
        <v>155</v>
      </c>
      <c r="H938" s="220" t="s">
        <v>1039</v>
      </c>
    </row>
    <row r="939" spans="1:8">
      <c r="A939">
        <v>3</v>
      </c>
      <c r="B939" t="s">
        <v>147</v>
      </c>
      <c r="C939">
        <v>2013</v>
      </c>
      <c r="D939" t="s">
        <v>12</v>
      </c>
      <c r="E939" t="s">
        <v>4</v>
      </c>
      <c r="F939" t="s">
        <v>38</v>
      </c>
      <c r="G939" t="s">
        <v>156</v>
      </c>
      <c r="H939" s="220" t="s">
        <v>1040</v>
      </c>
    </row>
    <row r="940" spans="1:8">
      <c r="A940">
        <v>4</v>
      </c>
      <c r="B940" t="s">
        <v>148</v>
      </c>
      <c r="C940">
        <v>2013</v>
      </c>
      <c r="D940" t="s">
        <v>12</v>
      </c>
      <c r="E940" t="s">
        <v>4</v>
      </c>
      <c r="F940" t="s">
        <v>38</v>
      </c>
      <c r="G940" t="s">
        <v>157</v>
      </c>
      <c r="H940" s="220" t="s">
        <v>1041</v>
      </c>
    </row>
    <row r="941" spans="1:8">
      <c r="A941">
        <v>0</v>
      </c>
      <c r="B941" t="s">
        <v>34</v>
      </c>
      <c r="C941">
        <v>2013</v>
      </c>
      <c r="D941" t="s">
        <v>12</v>
      </c>
      <c r="E941" t="s">
        <v>4</v>
      </c>
      <c r="F941" t="s">
        <v>38</v>
      </c>
      <c r="G941" t="s">
        <v>158</v>
      </c>
      <c r="H941" s="220" t="s">
        <v>1042</v>
      </c>
    </row>
    <row r="942" spans="1:8">
      <c r="A942">
        <v>1</v>
      </c>
      <c r="B942" t="s">
        <v>145</v>
      </c>
      <c r="C942">
        <v>2012</v>
      </c>
      <c r="D942" t="s">
        <v>12</v>
      </c>
      <c r="E942" t="s">
        <v>4</v>
      </c>
      <c r="F942" t="s">
        <v>38</v>
      </c>
      <c r="G942" t="s">
        <v>154</v>
      </c>
      <c r="H942" s="220" t="s">
        <v>1006</v>
      </c>
    </row>
    <row r="943" spans="1:8">
      <c r="A943">
        <v>2</v>
      </c>
      <c r="B943" t="s">
        <v>146</v>
      </c>
      <c r="C943">
        <v>2012</v>
      </c>
      <c r="D943" t="s">
        <v>12</v>
      </c>
      <c r="E943" t="s">
        <v>4</v>
      </c>
      <c r="F943" t="s">
        <v>38</v>
      </c>
      <c r="G943" t="s">
        <v>155</v>
      </c>
      <c r="H943" s="220" t="s">
        <v>1043</v>
      </c>
    </row>
    <row r="944" spans="1:8">
      <c r="A944">
        <v>3</v>
      </c>
      <c r="B944" t="s">
        <v>147</v>
      </c>
      <c r="C944">
        <v>2012</v>
      </c>
      <c r="D944" t="s">
        <v>12</v>
      </c>
      <c r="E944" t="s">
        <v>4</v>
      </c>
      <c r="F944" t="s">
        <v>38</v>
      </c>
      <c r="G944" t="s">
        <v>156</v>
      </c>
      <c r="H944" s="220" t="s">
        <v>1044</v>
      </c>
    </row>
    <row r="945" spans="1:8">
      <c r="A945">
        <v>4</v>
      </c>
      <c r="B945" t="s">
        <v>148</v>
      </c>
      <c r="C945">
        <v>2012</v>
      </c>
      <c r="D945" t="s">
        <v>12</v>
      </c>
      <c r="E945" t="s">
        <v>4</v>
      </c>
      <c r="F945" t="s">
        <v>38</v>
      </c>
      <c r="G945" t="s">
        <v>157</v>
      </c>
      <c r="H945" s="220" t="s">
        <v>1045</v>
      </c>
    </row>
    <row r="946" spans="1:8">
      <c r="A946">
        <v>0</v>
      </c>
      <c r="B946" t="s">
        <v>34</v>
      </c>
      <c r="C946">
        <v>2012</v>
      </c>
      <c r="D946" t="s">
        <v>12</v>
      </c>
      <c r="E946" t="s">
        <v>4</v>
      </c>
      <c r="F946" t="s">
        <v>38</v>
      </c>
      <c r="G946" t="s">
        <v>158</v>
      </c>
      <c r="H946" s="220" t="s">
        <v>1046</v>
      </c>
    </row>
    <row r="947" spans="1:8">
      <c r="A947">
        <v>1</v>
      </c>
      <c r="B947" t="s">
        <v>145</v>
      </c>
      <c r="C947">
        <v>2011</v>
      </c>
      <c r="D947" t="s">
        <v>12</v>
      </c>
      <c r="E947" t="s">
        <v>4</v>
      </c>
      <c r="F947" t="s">
        <v>38</v>
      </c>
      <c r="G947" t="s">
        <v>154</v>
      </c>
      <c r="H947" s="220" t="s">
        <v>1047</v>
      </c>
    </row>
    <row r="948" spans="1:8">
      <c r="A948">
        <v>2</v>
      </c>
      <c r="B948" t="s">
        <v>146</v>
      </c>
      <c r="C948">
        <v>2011</v>
      </c>
      <c r="D948" t="s">
        <v>12</v>
      </c>
      <c r="E948" t="s">
        <v>4</v>
      </c>
      <c r="F948" t="s">
        <v>38</v>
      </c>
      <c r="G948" t="s">
        <v>155</v>
      </c>
      <c r="H948" s="220" t="s">
        <v>1048</v>
      </c>
    </row>
    <row r="949" spans="1:8">
      <c r="A949">
        <v>3</v>
      </c>
      <c r="B949" t="s">
        <v>147</v>
      </c>
      <c r="C949">
        <v>2011</v>
      </c>
      <c r="D949" t="s">
        <v>12</v>
      </c>
      <c r="E949" t="s">
        <v>4</v>
      </c>
      <c r="F949" t="s">
        <v>38</v>
      </c>
      <c r="G949" t="s">
        <v>156</v>
      </c>
      <c r="H949" s="220" t="s">
        <v>1049</v>
      </c>
    </row>
    <row r="950" spans="1:8">
      <c r="A950">
        <v>4</v>
      </c>
      <c r="B950" t="s">
        <v>148</v>
      </c>
      <c r="C950">
        <v>2011</v>
      </c>
      <c r="D950" t="s">
        <v>12</v>
      </c>
      <c r="E950" t="s">
        <v>4</v>
      </c>
      <c r="F950" t="s">
        <v>38</v>
      </c>
      <c r="G950" t="s">
        <v>157</v>
      </c>
      <c r="H950" s="220" t="s">
        <v>1050</v>
      </c>
    </row>
    <row r="951" spans="1:8">
      <c r="A951">
        <v>0</v>
      </c>
      <c r="B951" t="s">
        <v>34</v>
      </c>
      <c r="C951">
        <v>2011</v>
      </c>
      <c r="D951" t="s">
        <v>12</v>
      </c>
      <c r="E951" t="s">
        <v>4</v>
      </c>
      <c r="F951" t="s">
        <v>38</v>
      </c>
      <c r="G951" t="s">
        <v>158</v>
      </c>
      <c r="H951" s="220" t="s">
        <v>1051</v>
      </c>
    </row>
    <row r="952" spans="1:8">
      <c r="A952">
        <v>1</v>
      </c>
      <c r="B952" t="s">
        <v>145</v>
      </c>
      <c r="C952">
        <v>2010</v>
      </c>
      <c r="D952" t="s">
        <v>12</v>
      </c>
      <c r="E952" t="s">
        <v>4</v>
      </c>
      <c r="F952" t="s">
        <v>38</v>
      </c>
      <c r="G952" t="s">
        <v>154</v>
      </c>
      <c r="H952" s="220" t="s">
        <v>1052</v>
      </c>
    </row>
    <row r="953" spans="1:8">
      <c r="A953">
        <v>2</v>
      </c>
      <c r="B953" t="s">
        <v>146</v>
      </c>
      <c r="C953">
        <v>2010</v>
      </c>
      <c r="D953" t="s">
        <v>12</v>
      </c>
      <c r="E953" t="s">
        <v>4</v>
      </c>
      <c r="F953" t="s">
        <v>38</v>
      </c>
      <c r="G953" t="s">
        <v>155</v>
      </c>
      <c r="H953" s="220" t="s">
        <v>1053</v>
      </c>
    </row>
    <row r="954" spans="1:8">
      <c r="A954">
        <v>3</v>
      </c>
      <c r="B954" t="s">
        <v>147</v>
      </c>
      <c r="C954">
        <v>2010</v>
      </c>
      <c r="D954" t="s">
        <v>12</v>
      </c>
      <c r="E954" t="s">
        <v>4</v>
      </c>
      <c r="F954" t="s">
        <v>38</v>
      </c>
      <c r="G954" t="s">
        <v>156</v>
      </c>
      <c r="H954" s="220" t="s">
        <v>1054</v>
      </c>
    </row>
    <row r="955" spans="1:8">
      <c r="A955">
        <v>4</v>
      </c>
      <c r="B955" t="s">
        <v>148</v>
      </c>
      <c r="C955">
        <v>2010</v>
      </c>
      <c r="D955" t="s">
        <v>12</v>
      </c>
      <c r="E955" t="s">
        <v>4</v>
      </c>
      <c r="F955" t="s">
        <v>38</v>
      </c>
      <c r="G955" t="s">
        <v>157</v>
      </c>
      <c r="H955" s="220" t="s">
        <v>1055</v>
      </c>
    </row>
    <row r="956" spans="1:8">
      <c r="A956">
        <v>0</v>
      </c>
      <c r="B956" t="s">
        <v>34</v>
      </c>
      <c r="C956">
        <v>2010</v>
      </c>
      <c r="D956" t="s">
        <v>12</v>
      </c>
      <c r="E956" t="s">
        <v>4</v>
      </c>
      <c r="F956" t="s">
        <v>38</v>
      </c>
      <c r="G956" t="s">
        <v>158</v>
      </c>
      <c r="H956" s="220" t="s">
        <v>1056</v>
      </c>
    </row>
    <row r="957" spans="1:8">
      <c r="A957">
        <v>1</v>
      </c>
      <c r="B957" t="s">
        <v>145</v>
      </c>
      <c r="C957">
        <v>2005</v>
      </c>
      <c r="D957" t="s">
        <v>12</v>
      </c>
      <c r="E957" t="s">
        <v>4</v>
      </c>
      <c r="F957" t="s">
        <v>38</v>
      </c>
      <c r="G957" t="s">
        <v>154</v>
      </c>
      <c r="H957" s="220" t="s">
        <v>1057</v>
      </c>
    </row>
    <row r="958" spans="1:8">
      <c r="A958">
        <v>2</v>
      </c>
      <c r="B958" t="s">
        <v>146</v>
      </c>
      <c r="C958">
        <v>2005</v>
      </c>
      <c r="D958" t="s">
        <v>12</v>
      </c>
      <c r="E958" t="s">
        <v>4</v>
      </c>
      <c r="F958" t="s">
        <v>38</v>
      </c>
      <c r="G958" t="s">
        <v>155</v>
      </c>
      <c r="H958" s="220" t="s">
        <v>1058</v>
      </c>
    </row>
    <row r="959" spans="1:8">
      <c r="A959">
        <v>3</v>
      </c>
      <c r="B959" t="s">
        <v>147</v>
      </c>
      <c r="C959">
        <v>2005</v>
      </c>
      <c r="D959" t="s">
        <v>12</v>
      </c>
      <c r="E959" t="s">
        <v>4</v>
      </c>
      <c r="F959" t="s">
        <v>38</v>
      </c>
      <c r="G959" t="s">
        <v>156</v>
      </c>
      <c r="H959" s="220" t="s">
        <v>1059</v>
      </c>
    </row>
    <row r="960" spans="1:8">
      <c r="A960">
        <v>4</v>
      </c>
      <c r="B960" t="s">
        <v>148</v>
      </c>
      <c r="C960">
        <v>2005</v>
      </c>
      <c r="D960" t="s">
        <v>12</v>
      </c>
      <c r="E960" t="s">
        <v>4</v>
      </c>
      <c r="F960" t="s">
        <v>38</v>
      </c>
      <c r="G960" t="s">
        <v>157</v>
      </c>
      <c r="H960" s="220" t="s">
        <v>1060</v>
      </c>
    </row>
    <row r="961" spans="1:8">
      <c r="A961">
        <v>0</v>
      </c>
      <c r="B961" t="s">
        <v>34</v>
      </c>
      <c r="C961">
        <v>2005</v>
      </c>
      <c r="D961" t="s">
        <v>12</v>
      </c>
      <c r="E961" t="s">
        <v>4</v>
      </c>
      <c r="F961" t="s">
        <v>38</v>
      </c>
      <c r="G961" t="s">
        <v>158</v>
      </c>
      <c r="H961" s="220" t="s">
        <v>1061</v>
      </c>
    </row>
    <row r="962" spans="1:8">
      <c r="A962">
        <v>1</v>
      </c>
      <c r="B962" t="s">
        <v>145</v>
      </c>
      <c r="C962">
        <v>2020</v>
      </c>
      <c r="D962" t="s">
        <v>11</v>
      </c>
      <c r="E962" t="s">
        <v>5</v>
      </c>
      <c r="F962" t="s">
        <v>38</v>
      </c>
      <c r="G962" t="s">
        <v>154</v>
      </c>
      <c r="H962" s="220" t="s">
        <v>1062</v>
      </c>
    </row>
    <row r="963" spans="1:8">
      <c r="A963">
        <v>2</v>
      </c>
      <c r="B963" t="s">
        <v>146</v>
      </c>
      <c r="C963">
        <v>2020</v>
      </c>
      <c r="D963" t="s">
        <v>11</v>
      </c>
      <c r="E963" t="s">
        <v>5</v>
      </c>
      <c r="F963" t="s">
        <v>38</v>
      </c>
      <c r="G963" t="s">
        <v>155</v>
      </c>
      <c r="H963" s="220" t="s">
        <v>1063</v>
      </c>
    </row>
    <row r="964" spans="1:8">
      <c r="A964">
        <v>3</v>
      </c>
      <c r="B964" t="s">
        <v>147</v>
      </c>
      <c r="C964">
        <v>2020</v>
      </c>
      <c r="D964" t="s">
        <v>11</v>
      </c>
      <c r="E964" t="s">
        <v>5</v>
      </c>
      <c r="F964" t="s">
        <v>38</v>
      </c>
      <c r="G964" t="s">
        <v>156</v>
      </c>
      <c r="H964" s="220" t="s">
        <v>1064</v>
      </c>
    </row>
    <row r="965" spans="1:8">
      <c r="A965">
        <v>4</v>
      </c>
      <c r="B965" t="s">
        <v>148</v>
      </c>
      <c r="C965">
        <v>2020</v>
      </c>
      <c r="D965" t="s">
        <v>11</v>
      </c>
      <c r="E965" t="s">
        <v>5</v>
      </c>
      <c r="F965" t="s">
        <v>38</v>
      </c>
      <c r="G965" t="s">
        <v>157</v>
      </c>
      <c r="H965" s="220" t="s">
        <v>1065</v>
      </c>
    </row>
    <row r="966" spans="1:8">
      <c r="A966">
        <v>0</v>
      </c>
      <c r="B966" t="s">
        <v>34</v>
      </c>
      <c r="C966">
        <v>2020</v>
      </c>
      <c r="D966" t="s">
        <v>11</v>
      </c>
      <c r="E966" t="s">
        <v>5</v>
      </c>
      <c r="F966" t="s">
        <v>38</v>
      </c>
      <c r="G966" t="s">
        <v>158</v>
      </c>
      <c r="H966" s="220" t="s">
        <v>1066</v>
      </c>
    </row>
    <row r="967" spans="1:8">
      <c r="A967">
        <v>1</v>
      </c>
      <c r="B967" t="s">
        <v>145</v>
      </c>
      <c r="C967">
        <v>2019</v>
      </c>
      <c r="D967" t="s">
        <v>11</v>
      </c>
      <c r="E967" t="s">
        <v>5</v>
      </c>
      <c r="F967" t="s">
        <v>38</v>
      </c>
      <c r="G967" t="s">
        <v>154</v>
      </c>
      <c r="H967" s="220" t="s">
        <v>1067</v>
      </c>
    </row>
    <row r="968" spans="1:8">
      <c r="A968">
        <v>2</v>
      </c>
      <c r="B968" t="s">
        <v>146</v>
      </c>
      <c r="C968">
        <v>2019</v>
      </c>
      <c r="D968" t="s">
        <v>11</v>
      </c>
      <c r="E968" t="s">
        <v>5</v>
      </c>
      <c r="F968" t="s">
        <v>38</v>
      </c>
      <c r="G968" t="s">
        <v>155</v>
      </c>
      <c r="H968" s="220" t="s">
        <v>1068</v>
      </c>
    </row>
    <row r="969" spans="1:8">
      <c r="A969">
        <v>3</v>
      </c>
      <c r="B969" t="s">
        <v>147</v>
      </c>
      <c r="C969">
        <v>2019</v>
      </c>
      <c r="D969" t="s">
        <v>11</v>
      </c>
      <c r="E969" t="s">
        <v>5</v>
      </c>
      <c r="F969" t="s">
        <v>38</v>
      </c>
      <c r="G969" t="s">
        <v>156</v>
      </c>
      <c r="H969" s="220" t="s">
        <v>1069</v>
      </c>
    </row>
    <row r="970" spans="1:8">
      <c r="A970">
        <v>4</v>
      </c>
      <c r="B970" t="s">
        <v>148</v>
      </c>
      <c r="C970">
        <v>2019</v>
      </c>
      <c r="D970" t="s">
        <v>11</v>
      </c>
      <c r="E970" t="s">
        <v>5</v>
      </c>
      <c r="F970" t="s">
        <v>38</v>
      </c>
      <c r="G970" t="s">
        <v>157</v>
      </c>
      <c r="H970" s="220" t="s">
        <v>1070</v>
      </c>
    </row>
    <row r="971" spans="1:8">
      <c r="A971">
        <v>0</v>
      </c>
      <c r="B971" t="s">
        <v>34</v>
      </c>
      <c r="C971">
        <v>2019</v>
      </c>
      <c r="D971" t="s">
        <v>11</v>
      </c>
      <c r="E971" t="s">
        <v>5</v>
      </c>
      <c r="F971" t="s">
        <v>38</v>
      </c>
      <c r="G971" t="s">
        <v>158</v>
      </c>
      <c r="H971" s="220" t="s">
        <v>1071</v>
      </c>
    </row>
    <row r="972" spans="1:8">
      <c r="A972">
        <v>1</v>
      </c>
      <c r="B972" t="s">
        <v>145</v>
      </c>
      <c r="C972">
        <v>2018</v>
      </c>
      <c r="D972" t="s">
        <v>11</v>
      </c>
      <c r="E972" t="s">
        <v>5</v>
      </c>
      <c r="F972" t="s">
        <v>38</v>
      </c>
      <c r="G972" t="s">
        <v>154</v>
      </c>
      <c r="H972" s="220" t="s">
        <v>995</v>
      </c>
    </row>
    <row r="973" spans="1:8">
      <c r="A973">
        <v>2</v>
      </c>
      <c r="B973" t="s">
        <v>146</v>
      </c>
      <c r="C973">
        <v>2018</v>
      </c>
      <c r="D973" t="s">
        <v>11</v>
      </c>
      <c r="E973" t="s">
        <v>5</v>
      </c>
      <c r="F973" t="s">
        <v>38</v>
      </c>
      <c r="G973" t="s">
        <v>155</v>
      </c>
      <c r="H973" s="220" t="s">
        <v>1072</v>
      </c>
    </row>
    <row r="974" spans="1:8">
      <c r="A974">
        <v>3</v>
      </c>
      <c r="B974" t="s">
        <v>147</v>
      </c>
      <c r="C974">
        <v>2018</v>
      </c>
      <c r="D974" t="s">
        <v>11</v>
      </c>
      <c r="E974" t="s">
        <v>5</v>
      </c>
      <c r="F974" t="s">
        <v>38</v>
      </c>
      <c r="G974" t="s">
        <v>156</v>
      </c>
      <c r="H974" s="220" t="s">
        <v>1073</v>
      </c>
    </row>
    <row r="975" spans="1:8">
      <c r="A975">
        <v>4</v>
      </c>
      <c r="B975" t="s">
        <v>148</v>
      </c>
      <c r="C975">
        <v>2018</v>
      </c>
      <c r="D975" t="s">
        <v>11</v>
      </c>
      <c r="E975" t="s">
        <v>5</v>
      </c>
      <c r="F975" t="s">
        <v>38</v>
      </c>
      <c r="G975" t="s">
        <v>157</v>
      </c>
      <c r="H975" s="220" t="s">
        <v>1074</v>
      </c>
    </row>
    <row r="976" spans="1:8">
      <c r="A976">
        <v>0</v>
      </c>
      <c r="B976" t="s">
        <v>34</v>
      </c>
      <c r="C976">
        <v>2018</v>
      </c>
      <c r="D976" t="s">
        <v>11</v>
      </c>
      <c r="E976" t="s">
        <v>5</v>
      </c>
      <c r="F976" t="s">
        <v>38</v>
      </c>
      <c r="G976" t="s">
        <v>158</v>
      </c>
      <c r="H976" s="220" t="s">
        <v>1075</v>
      </c>
    </row>
    <row r="977" spans="1:8">
      <c r="A977">
        <v>1</v>
      </c>
      <c r="B977" t="s">
        <v>145</v>
      </c>
      <c r="C977">
        <v>2017</v>
      </c>
      <c r="D977" t="s">
        <v>11</v>
      </c>
      <c r="E977" t="s">
        <v>5</v>
      </c>
      <c r="F977" t="s">
        <v>38</v>
      </c>
      <c r="G977" t="s">
        <v>154</v>
      </c>
      <c r="H977" s="220" t="s">
        <v>1076</v>
      </c>
    </row>
    <row r="978" spans="1:8">
      <c r="A978">
        <v>2</v>
      </c>
      <c r="B978" t="s">
        <v>146</v>
      </c>
      <c r="C978">
        <v>2017</v>
      </c>
      <c r="D978" t="s">
        <v>11</v>
      </c>
      <c r="E978" t="s">
        <v>5</v>
      </c>
      <c r="F978" t="s">
        <v>38</v>
      </c>
      <c r="G978" t="s">
        <v>155</v>
      </c>
      <c r="H978" s="220" t="s">
        <v>1077</v>
      </c>
    </row>
    <row r="979" spans="1:8">
      <c r="A979">
        <v>3</v>
      </c>
      <c r="B979" t="s">
        <v>147</v>
      </c>
      <c r="C979">
        <v>2017</v>
      </c>
      <c r="D979" t="s">
        <v>11</v>
      </c>
      <c r="E979" t="s">
        <v>5</v>
      </c>
      <c r="F979" t="s">
        <v>38</v>
      </c>
      <c r="G979" t="s">
        <v>156</v>
      </c>
      <c r="H979" s="220" t="s">
        <v>1078</v>
      </c>
    </row>
    <row r="980" spans="1:8">
      <c r="A980">
        <v>4</v>
      </c>
      <c r="B980" t="s">
        <v>148</v>
      </c>
      <c r="C980">
        <v>2017</v>
      </c>
      <c r="D980" t="s">
        <v>11</v>
      </c>
      <c r="E980" t="s">
        <v>5</v>
      </c>
      <c r="F980" t="s">
        <v>38</v>
      </c>
      <c r="G980" t="s">
        <v>157</v>
      </c>
      <c r="H980" s="220" t="s">
        <v>1079</v>
      </c>
    </row>
    <row r="981" spans="1:8">
      <c r="A981">
        <v>0</v>
      </c>
      <c r="B981" t="s">
        <v>34</v>
      </c>
      <c r="C981">
        <v>2017</v>
      </c>
      <c r="D981" t="s">
        <v>11</v>
      </c>
      <c r="E981" t="s">
        <v>5</v>
      </c>
      <c r="F981" t="s">
        <v>38</v>
      </c>
      <c r="G981" t="s">
        <v>158</v>
      </c>
      <c r="H981" s="220" t="s">
        <v>1080</v>
      </c>
    </row>
    <row r="982" spans="1:8">
      <c r="A982">
        <v>1</v>
      </c>
      <c r="B982" t="s">
        <v>145</v>
      </c>
      <c r="C982">
        <v>2016</v>
      </c>
      <c r="D982" t="s">
        <v>11</v>
      </c>
      <c r="E982" t="s">
        <v>5</v>
      </c>
      <c r="F982" t="s">
        <v>38</v>
      </c>
      <c r="G982" t="s">
        <v>154</v>
      </c>
      <c r="H982" s="220" t="s">
        <v>1081</v>
      </c>
    </row>
    <row r="983" spans="1:8">
      <c r="A983">
        <v>2</v>
      </c>
      <c r="B983" t="s">
        <v>146</v>
      </c>
      <c r="C983">
        <v>2016</v>
      </c>
      <c r="D983" t="s">
        <v>11</v>
      </c>
      <c r="E983" t="s">
        <v>5</v>
      </c>
      <c r="F983" t="s">
        <v>38</v>
      </c>
      <c r="G983" t="s">
        <v>155</v>
      </c>
      <c r="H983" s="220" t="s">
        <v>1082</v>
      </c>
    </row>
    <row r="984" spans="1:8">
      <c r="A984">
        <v>3</v>
      </c>
      <c r="B984" t="s">
        <v>147</v>
      </c>
      <c r="C984">
        <v>2016</v>
      </c>
      <c r="D984" t="s">
        <v>11</v>
      </c>
      <c r="E984" t="s">
        <v>5</v>
      </c>
      <c r="F984" t="s">
        <v>38</v>
      </c>
      <c r="G984" t="s">
        <v>156</v>
      </c>
      <c r="H984" s="220" t="s">
        <v>1083</v>
      </c>
    </row>
    <row r="985" spans="1:8">
      <c r="A985">
        <v>4</v>
      </c>
      <c r="B985" t="s">
        <v>148</v>
      </c>
      <c r="C985">
        <v>2016</v>
      </c>
      <c r="D985" t="s">
        <v>11</v>
      </c>
      <c r="E985" t="s">
        <v>5</v>
      </c>
      <c r="F985" t="s">
        <v>38</v>
      </c>
      <c r="G985" t="s">
        <v>157</v>
      </c>
      <c r="H985" s="220" t="s">
        <v>1084</v>
      </c>
    </row>
    <row r="986" spans="1:8">
      <c r="A986">
        <v>0</v>
      </c>
      <c r="B986" t="s">
        <v>34</v>
      </c>
      <c r="C986">
        <v>2016</v>
      </c>
      <c r="D986" t="s">
        <v>11</v>
      </c>
      <c r="E986" t="s">
        <v>5</v>
      </c>
      <c r="F986" t="s">
        <v>38</v>
      </c>
      <c r="G986" t="s">
        <v>158</v>
      </c>
      <c r="H986" s="220" t="s">
        <v>1085</v>
      </c>
    </row>
    <row r="987" spans="1:8">
      <c r="A987">
        <v>1</v>
      </c>
      <c r="B987" t="s">
        <v>145</v>
      </c>
      <c r="C987">
        <v>2015</v>
      </c>
      <c r="D987" t="s">
        <v>11</v>
      </c>
      <c r="E987" t="s">
        <v>5</v>
      </c>
      <c r="F987" t="s">
        <v>38</v>
      </c>
      <c r="G987" t="s">
        <v>154</v>
      </c>
      <c r="H987" s="220" t="s">
        <v>1086</v>
      </c>
    </row>
    <row r="988" spans="1:8">
      <c r="A988">
        <v>2</v>
      </c>
      <c r="B988" t="s">
        <v>146</v>
      </c>
      <c r="C988">
        <v>2015</v>
      </c>
      <c r="D988" t="s">
        <v>11</v>
      </c>
      <c r="E988" t="s">
        <v>5</v>
      </c>
      <c r="F988" t="s">
        <v>38</v>
      </c>
      <c r="G988" t="s">
        <v>155</v>
      </c>
      <c r="H988" s="220" t="s">
        <v>1087</v>
      </c>
    </row>
    <row r="989" spans="1:8">
      <c r="A989">
        <v>3</v>
      </c>
      <c r="B989" t="s">
        <v>147</v>
      </c>
      <c r="C989">
        <v>2015</v>
      </c>
      <c r="D989" t="s">
        <v>11</v>
      </c>
      <c r="E989" t="s">
        <v>5</v>
      </c>
      <c r="F989" t="s">
        <v>38</v>
      </c>
      <c r="G989" t="s">
        <v>156</v>
      </c>
      <c r="H989" s="220" t="s">
        <v>1088</v>
      </c>
    </row>
    <row r="990" spans="1:8">
      <c r="A990">
        <v>4</v>
      </c>
      <c r="B990" t="s">
        <v>148</v>
      </c>
      <c r="C990">
        <v>2015</v>
      </c>
      <c r="D990" t="s">
        <v>11</v>
      </c>
      <c r="E990" t="s">
        <v>5</v>
      </c>
      <c r="F990" t="s">
        <v>38</v>
      </c>
      <c r="G990" t="s">
        <v>157</v>
      </c>
      <c r="H990" s="220" t="s">
        <v>1089</v>
      </c>
    </row>
    <row r="991" spans="1:8">
      <c r="A991">
        <v>0</v>
      </c>
      <c r="B991" t="s">
        <v>34</v>
      </c>
      <c r="C991">
        <v>2015</v>
      </c>
      <c r="D991" t="s">
        <v>11</v>
      </c>
      <c r="E991" t="s">
        <v>5</v>
      </c>
      <c r="F991" t="s">
        <v>38</v>
      </c>
      <c r="G991" t="s">
        <v>158</v>
      </c>
      <c r="H991" s="220" t="s">
        <v>1090</v>
      </c>
    </row>
    <row r="992" spans="1:8">
      <c r="A992">
        <v>1</v>
      </c>
      <c r="B992" t="s">
        <v>145</v>
      </c>
      <c r="C992">
        <v>2014</v>
      </c>
      <c r="D992" t="s">
        <v>11</v>
      </c>
      <c r="E992" t="s">
        <v>5</v>
      </c>
      <c r="F992" t="s">
        <v>38</v>
      </c>
      <c r="G992" t="s">
        <v>154</v>
      </c>
      <c r="H992" s="220" t="s">
        <v>1091</v>
      </c>
    </row>
    <row r="993" spans="1:8">
      <c r="A993">
        <v>2</v>
      </c>
      <c r="B993" t="s">
        <v>146</v>
      </c>
      <c r="C993">
        <v>2014</v>
      </c>
      <c r="D993" t="s">
        <v>11</v>
      </c>
      <c r="E993" t="s">
        <v>5</v>
      </c>
      <c r="F993" t="s">
        <v>38</v>
      </c>
      <c r="G993" t="s">
        <v>155</v>
      </c>
      <c r="H993" s="220" t="s">
        <v>1092</v>
      </c>
    </row>
    <row r="994" spans="1:8">
      <c r="A994">
        <v>3</v>
      </c>
      <c r="B994" t="s">
        <v>147</v>
      </c>
      <c r="C994">
        <v>2014</v>
      </c>
      <c r="D994" t="s">
        <v>11</v>
      </c>
      <c r="E994" t="s">
        <v>5</v>
      </c>
      <c r="F994" t="s">
        <v>38</v>
      </c>
      <c r="G994" t="s">
        <v>156</v>
      </c>
      <c r="H994" s="220" t="s">
        <v>1093</v>
      </c>
    </row>
    <row r="995" spans="1:8">
      <c r="A995">
        <v>4</v>
      </c>
      <c r="B995" t="s">
        <v>148</v>
      </c>
      <c r="C995">
        <v>2014</v>
      </c>
      <c r="D995" t="s">
        <v>11</v>
      </c>
      <c r="E995" t="s">
        <v>5</v>
      </c>
      <c r="F995" t="s">
        <v>38</v>
      </c>
      <c r="G995" t="s">
        <v>157</v>
      </c>
      <c r="H995" s="220" t="s">
        <v>1094</v>
      </c>
    </row>
    <row r="996" spans="1:8">
      <c r="A996">
        <v>0</v>
      </c>
      <c r="B996" t="s">
        <v>34</v>
      </c>
      <c r="C996">
        <v>2014</v>
      </c>
      <c r="D996" t="s">
        <v>11</v>
      </c>
      <c r="E996" t="s">
        <v>5</v>
      </c>
      <c r="F996" t="s">
        <v>38</v>
      </c>
      <c r="G996" t="s">
        <v>158</v>
      </c>
      <c r="H996" s="220" t="s">
        <v>1095</v>
      </c>
    </row>
    <row r="997" spans="1:8">
      <c r="A997">
        <v>1</v>
      </c>
      <c r="B997" t="s">
        <v>145</v>
      </c>
      <c r="C997">
        <v>2013</v>
      </c>
      <c r="D997" t="s">
        <v>11</v>
      </c>
      <c r="E997" t="s">
        <v>5</v>
      </c>
      <c r="F997" t="s">
        <v>38</v>
      </c>
      <c r="G997" t="s">
        <v>154</v>
      </c>
      <c r="H997" s="220" t="s">
        <v>1096</v>
      </c>
    </row>
    <row r="998" spans="1:8">
      <c r="A998">
        <v>2</v>
      </c>
      <c r="B998" t="s">
        <v>146</v>
      </c>
      <c r="C998">
        <v>2013</v>
      </c>
      <c r="D998" t="s">
        <v>11</v>
      </c>
      <c r="E998" t="s">
        <v>5</v>
      </c>
      <c r="F998" t="s">
        <v>38</v>
      </c>
      <c r="G998" t="s">
        <v>155</v>
      </c>
      <c r="H998" s="220" t="s">
        <v>1097</v>
      </c>
    </row>
    <row r="999" spans="1:8">
      <c r="A999">
        <v>3</v>
      </c>
      <c r="B999" t="s">
        <v>147</v>
      </c>
      <c r="C999">
        <v>2013</v>
      </c>
      <c r="D999" t="s">
        <v>11</v>
      </c>
      <c r="E999" t="s">
        <v>5</v>
      </c>
      <c r="F999" t="s">
        <v>38</v>
      </c>
      <c r="G999" t="s">
        <v>156</v>
      </c>
      <c r="H999" s="220" t="s">
        <v>1098</v>
      </c>
    </row>
    <row r="1000" spans="1:8">
      <c r="A1000">
        <v>4</v>
      </c>
      <c r="B1000" t="s">
        <v>148</v>
      </c>
      <c r="C1000">
        <v>2013</v>
      </c>
      <c r="D1000" t="s">
        <v>11</v>
      </c>
      <c r="E1000" t="s">
        <v>5</v>
      </c>
      <c r="F1000" t="s">
        <v>38</v>
      </c>
      <c r="G1000" t="s">
        <v>157</v>
      </c>
      <c r="H1000" s="220" t="s">
        <v>1099</v>
      </c>
    </row>
    <row r="1001" spans="1:8">
      <c r="A1001">
        <v>0</v>
      </c>
      <c r="B1001" t="s">
        <v>34</v>
      </c>
      <c r="C1001">
        <v>2013</v>
      </c>
      <c r="D1001" t="s">
        <v>11</v>
      </c>
      <c r="E1001" t="s">
        <v>5</v>
      </c>
      <c r="F1001" t="s">
        <v>38</v>
      </c>
      <c r="G1001" t="s">
        <v>158</v>
      </c>
      <c r="H1001" s="220" t="s">
        <v>1100</v>
      </c>
    </row>
    <row r="1002" spans="1:8">
      <c r="A1002">
        <v>1</v>
      </c>
      <c r="B1002" t="s">
        <v>145</v>
      </c>
      <c r="C1002">
        <v>2012</v>
      </c>
      <c r="D1002" t="s">
        <v>11</v>
      </c>
      <c r="E1002" t="s">
        <v>5</v>
      </c>
      <c r="F1002" t="s">
        <v>38</v>
      </c>
      <c r="G1002" t="s">
        <v>154</v>
      </c>
      <c r="H1002" s="220" t="s">
        <v>1101</v>
      </c>
    </row>
    <row r="1003" spans="1:8">
      <c r="A1003">
        <v>2</v>
      </c>
      <c r="B1003" t="s">
        <v>146</v>
      </c>
      <c r="C1003">
        <v>2012</v>
      </c>
      <c r="D1003" t="s">
        <v>11</v>
      </c>
      <c r="E1003" t="s">
        <v>5</v>
      </c>
      <c r="F1003" t="s">
        <v>38</v>
      </c>
      <c r="G1003" t="s">
        <v>155</v>
      </c>
      <c r="H1003" s="220" t="s">
        <v>1102</v>
      </c>
    </row>
    <row r="1004" spans="1:8">
      <c r="A1004">
        <v>3</v>
      </c>
      <c r="B1004" t="s">
        <v>147</v>
      </c>
      <c r="C1004">
        <v>2012</v>
      </c>
      <c r="D1004" t="s">
        <v>11</v>
      </c>
      <c r="E1004" t="s">
        <v>5</v>
      </c>
      <c r="F1004" t="s">
        <v>38</v>
      </c>
      <c r="G1004" t="s">
        <v>156</v>
      </c>
      <c r="H1004" s="220" t="s">
        <v>1103</v>
      </c>
    </row>
    <row r="1005" spans="1:8">
      <c r="A1005">
        <v>4</v>
      </c>
      <c r="B1005" t="s">
        <v>148</v>
      </c>
      <c r="C1005">
        <v>2012</v>
      </c>
      <c r="D1005" t="s">
        <v>11</v>
      </c>
      <c r="E1005" t="s">
        <v>5</v>
      </c>
      <c r="F1005" t="s">
        <v>38</v>
      </c>
      <c r="G1005" t="s">
        <v>157</v>
      </c>
      <c r="H1005" s="220" t="s">
        <v>1104</v>
      </c>
    </row>
    <row r="1006" spans="1:8">
      <c r="A1006">
        <v>0</v>
      </c>
      <c r="B1006" t="s">
        <v>34</v>
      </c>
      <c r="C1006">
        <v>2012</v>
      </c>
      <c r="D1006" t="s">
        <v>11</v>
      </c>
      <c r="E1006" t="s">
        <v>5</v>
      </c>
      <c r="F1006" t="s">
        <v>38</v>
      </c>
      <c r="G1006" t="s">
        <v>158</v>
      </c>
      <c r="H1006" s="220" t="s">
        <v>1105</v>
      </c>
    </row>
    <row r="1007" spans="1:8">
      <c r="A1007">
        <v>1</v>
      </c>
      <c r="B1007" t="s">
        <v>145</v>
      </c>
      <c r="C1007">
        <v>2011</v>
      </c>
      <c r="D1007" t="s">
        <v>11</v>
      </c>
      <c r="E1007" t="s">
        <v>5</v>
      </c>
      <c r="F1007" t="s">
        <v>38</v>
      </c>
      <c r="G1007" t="s">
        <v>154</v>
      </c>
      <c r="H1007" s="220" t="s">
        <v>1106</v>
      </c>
    </row>
    <row r="1008" spans="1:8">
      <c r="A1008">
        <v>2</v>
      </c>
      <c r="B1008" t="s">
        <v>146</v>
      </c>
      <c r="C1008">
        <v>2011</v>
      </c>
      <c r="D1008" t="s">
        <v>11</v>
      </c>
      <c r="E1008" t="s">
        <v>5</v>
      </c>
      <c r="F1008" t="s">
        <v>38</v>
      </c>
      <c r="G1008" t="s">
        <v>155</v>
      </c>
      <c r="H1008" s="220" t="s">
        <v>1107</v>
      </c>
    </row>
    <row r="1009" spans="1:8">
      <c r="A1009">
        <v>3</v>
      </c>
      <c r="B1009" t="s">
        <v>147</v>
      </c>
      <c r="C1009">
        <v>2011</v>
      </c>
      <c r="D1009" t="s">
        <v>11</v>
      </c>
      <c r="E1009" t="s">
        <v>5</v>
      </c>
      <c r="F1009" t="s">
        <v>38</v>
      </c>
      <c r="G1009" t="s">
        <v>156</v>
      </c>
      <c r="H1009" s="220" t="s">
        <v>1108</v>
      </c>
    </row>
    <row r="1010" spans="1:8">
      <c r="A1010">
        <v>4</v>
      </c>
      <c r="B1010" t="s">
        <v>148</v>
      </c>
      <c r="C1010">
        <v>2011</v>
      </c>
      <c r="D1010" t="s">
        <v>11</v>
      </c>
      <c r="E1010" t="s">
        <v>5</v>
      </c>
      <c r="F1010" t="s">
        <v>38</v>
      </c>
      <c r="G1010" t="s">
        <v>157</v>
      </c>
      <c r="H1010" s="220" t="s">
        <v>1109</v>
      </c>
    </row>
    <row r="1011" spans="1:8">
      <c r="A1011">
        <v>0</v>
      </c>
      <c r="B1011" t="s">
        <v>34</v>
      </c>
      <c r="C1011">
        <v>2011</v>
      </c>
      <c r="D1011" t="s">
        <v>11</v>
      </c>
      <c r="E1011" t="s">
        <v>5</v>
      </c>
      <c r="F1011" t="s">
        <v>38</v>
      </c>
      <c r="G1011" t="s">
        <v>158</v>
      </c>
      <c r="H1011" s="220" t="s">
        <v>1110</v>
      </c>
    </row>
    <row r="1012" spans="1:8">
      <c r="A1012">
        <v>1</v>
      </c>
      <c r="B1012" t="s">
        <v>145</v>
      </c>
      <c r="C1012">
        <v>2010</v>
      </c>
      <c r="D1012" t="s">
        <v>11</v>
      </c>
      <c r="E1012" t="s">
        <v>5</v>
      </c>
      <c r="F1012" t="s">
        <v>38</v>
      </c>
      <c r="G1012" t="s">
        <v>154</v>
      </c>
      <c r="H1012" s="220" t="s">
        <v>1111</v>
      </c>
    </row>
    <row r="1013" spans="1:8">
      <c r="A1013">
        <v>2</v>
      </c>
      <c r="B1013" t="s">
        <v>146</v>
      </c>
      <c r="C1013">
        <v>2010</v>
      </c>
      <c r="D1013" t="s">
        <v>11</v>
      </c>
      <c r="E1013" t="s">
        <v>5</v>
      </c>
      <c r="F1013" t="s">
        <v>38</v>
      </c>
      <c r="G1013" t="s">
        <v>155</v>
      </c>
      <c r="H1013" s="220" t="s">
        <v>1112</v>
      </c>
    </row>
    <row r="1014" spans="1:8">
      <c r="A1014">
        <v>3</v>
      </c>
      <c r="B1014" t="s">
        <v>147</v>
      </c>
      <c r="C1014">
        <v>2010</v>
      </c>
      <c r="D1014" t="s">
        <v>11</v>
      </c>
      <c r="E1014" t="s">
        <v>5</v>
      </c>
      <c r="F1014" t="s">
        <v>38</v>
      </c>
      <c r="G1014" t="s">
        <v>156</v>
      </c>
      <c r="H1014" s="220" t="s">
        <v>1113</v>
      </c>
    </row>
    <row r="1015" spans="1:8">
      <c r="A1015">
        <v>4</v>
      </c>
      <c r="B1015" t="s">
        <v>148</v>
      </c>
      <c r="C1015">
        <v>2010</v>
      </c>
      <c r="D1015" t="s">
        <v>11</v>
      </c>
      <c r="E1015" t="s">
        <v>5</v>
      </c>
      <c r="F1015" t="s">
        <v>38</v>
      </c>
      <c r="G1015" t="s">
        <v>157</v>
      </c>
      <c r="H1015" s="220" t="s">
        <v>1114</v>
      </c>
    </row>
    <row r="1016" spans="1:8">
      <c r="A1016">
        <v>0</v>
      </c>
      <c r="B1016" t="s">
        <v>34</v>
      </c>
      <c r="C1016">
        <v>2010</v>
      </c>
      <c r="D1016" t="s">
        <v>11</v>
      </c>
      <c r="E1016" t="s">
        <v>5</v>
      </c>
      <c r="F1016" t="s">
        <v>38</v>
      </c>
      <c r="G1016" t="s">
        <v>158</v>
      </c>
      <c r="H1016" s="220" t="s">
        <v>1115</v>
      </c>
    </row>
    <row r="1017" spans="1:8">
      <c r="A1017">
        <v>1</v>
      </c>
      <c r="B1017" t="s">
        <v>145</v>
      </c>
      <c r="C1017">
        <v>2005</v>
      </c>
      <c r="D1017" t="s">
        <v>11</v>
      </c>
      <c r="E1017" t="s">
        <v>5</v>
      </c>
      <c r="F1017" t="s">
        <v>38</v>
      </c>
      <c r="G1017" t="s">
        <v>154</v>
      </c>
      <c r="H1017" s="220" t="s">
        <v>1116</v>
      </c>
    </row>
    <row r="1018" spans="1:8">
      <c r="A1018">
        <v>2</v>
      </c>
      <c r="B1018" t="s">
        <v>146</v>
      </c>
      <c r="C1018">
        <v>2005</v>
      </c>
      <c r="D1018" t="s">
        <v>11</v>
      </c>
      <c r="E1018" t="s">
        <v>5</v>
      </c>
      <c r="F1018" t="s">
        <v>38</v>
      </c>
      <c r="G1018" t="s">
        <v>155</v>
      </c>
      <c r="H1018" s="220" t="s">
        <v>1117</v>
      </c>
    </row>
    <row r="1019" spans="1:8">
      <c r="A1019">
        <v>3</v>
      </c>
      <c r="B1019" t="s">
        <v>147</v>
      </c>
      <c r="C1019">
        <v>2005</v>
      </c>
      <c r="D1019" t="s">
        <v>11</v>
      </c>
      <c r="E1019" t="s">
        <v>5</v>
      </c>
      <c r="F1019" t="s">
        <v>38</v>
      </c>
      <c r="G1019" t="s">
        <v>156</v>
      </c>
      <c r="H1019" s="220" t="s">
        <v>1118</v>
      </c>
    </row>
    <row r="1020" spans="1:8">
      <c r="A1020">
        <v>4</v>
      </c>
      <c r="B1020" t="s">
        <v>148</v>
      </c>
      <c r="C1020">
        <v>2005</v>
      </c>
      <c r="D1020" t="s">
        <v>11</v>
      </c>
      <c r="E1020" t="s">
        <v>5</v>
      </c>
      <c r="F1020" t="s">
        <v>38</v>
      </c>
      <c r="G1020" t="s">
        <v>157</v>
      </c>
      <c r="H1020" s="220" t="s">
        <v>1119</v>
      </c>
    </row>
    <row r="1021" spans="1:8">
      <c r="A1021">
        <v>0</v>
      </c>
      <c r="B1021" t="s">
        <v>34</v>
      </c>
      <c r="C1021">
        <v>2005</v>
      </c>
      <c r="D1021" t="s">
        <v>11</v>
      </c>
      <c r="E1021" t="s">
        <v>5</v>
      </c>
      <c r="F1021" t="s">
        <v>38</v>
      </c>
      <c r="G1021" t="s">
        <v>158</v>
      </c>
      <c r="H1021" s="220" t="s">
        <v>1120</v>
      </c>
    </row>
    <row r="1022" spans="1:8">
      <c r="A1022">
        <v>1</v>
      </c>
      <c r="B1022" t="s">
        <v>145</v>
      </c>
      <c r="C1022">
        <v>2020</v>
      </c>
      <c r="D1022" t="s">
        <v>12</v>
      </c>
      <c r="E1022" t="s">
        <v>5</v>
      </c>
      <c r="F1022" t="s">
        <v>38</v>
      </c>
      <c r="G1022" t="s">
        <v>154</v>
      </c>
      <c r="H1022" s="220" t="s">
        <v>1121</v>
      </c>
    </row>
    <row r="1023" spans="1:8">
      <c r="A1023">
        <v>2</v>
      </c>
      <c r="B1023" t="s">
        <v>146</v>
      </c>
      <c r="C1023">
        <v>2020</v>
      </c>
      <c r="D1023" t="s">
        <v>12</v>
      </c>
      <c r="E1023" t="s">
        <v>5</v>
      </c>
      <c r="F1023" t="s">
        <v>38</v>
      </c>
      <c r="G1023" t="s">
        <v>155</v>
      </c>
      <c r="H1023" s="220" t="s">
        <v>1122</v>
      </c>
    </row>
    <row r="1024" spans="1:8">
      <c r="A1024">
        <v>3</v>
      </c>
      <c r="B1024" t="s">
        <v>147</v>
      </c>
      <c r="C1024">
        <v>2020</v>
      </c>
      <c r="D1024" t="s">
        <v>12</v>
      </c>
      <c r="E1024" t="s">
        <v>5</v>
      </c>
      <c r="F1024" t="s">
        <v>38</v>
      </c>
      <c r="G1024" t="s">
        <v>156</v>
      </c>
      <c r="H1024" s="220" t="s">
        <v>1012</v>
      </c>
    </row>
    <row r="1025" spans="1:8">
      <c r="A1025">
        <v>4</v>
      </c>
      <c r="B1025" t="s">
        <v>148</v>
      </c>
      <c r="C1025">
        <v>2020</v>
      </c>
      <c r="D1025" t="s">
        <v>12</v>
      </c>
      <c r="E1025" t="s">
        <v>5</v>
      </c>
      <c r="F1025" t="s">
        <v>38</v>
      </c>
      <c r="G1025" t="s">
        <v>157</v>
      </c>
      <c r="H1025" s="220" t="s">
        <v>1123</v>
      </c>
    </row>
    <row r="1026" spans="1:8">
      <c r="A1026">
        <v>0</v>
      </c>
      <c r="B1026" t="s">
        <v>34</v>
      </c>
      <c r="C1026">
        <v>2020</v>
      </c>
      <c r="D1026" t="s">
        <v>12</v>
      </c>
      <c r="E1026" t="s">
        <v>5</v>
      </c>
      <c r="F1026" t="s">
        <v>38</v>
      </c>
      <c r="G1026" t="s">
        <v>158</v>
      </c>
      <c r="H1026" s="220" t="s">
        <v>1124</v>
      </c>
    </row>
    <row r="1027" spans="1:8">
      <c r="A1027">
        <v>1</v>
      </c>
      <c r="B1027" t="s">
        <v>145</v>
      </c>
      <c r="C1027">
        <v>2019</v>
      </c>
      <c r="D1027" t="s">
        <v>12</v>
      </c>
      <c r="E1027" t="s">
        <v>5</v>
      </c>
      <c r="F1027" t="s">
        <v>38</v>
      </c>
      <c r="G1027" t="s">
        <v>154</v>
      </c>
      <c r="H1027" s="220" t="s">
        <v>1125</v>
      </c>
    </row>
    <row r="1028" spans="1:8">
      <c r="A1028">
        <v>2</v>
      </c>
      <c r="B1028" t="s">
        <v>146</v>
      </c>
      <c r="C1028">
        <v>2019</v>
      </c>
      <c r="D1028" t="s">
        <v>12</v>
      </c>
      <c r="E1028" t="s">
        <v>5</v>
      </c>
      <c r="F1028" t="s">
        <v>38</v>
      </c>
      <c r="G1028" t="s">
        <v>155</v>
      </c>
      <c r="H1028" s="220" t="s">
        <v>1126</v>
      </c>
    </row>
    <row r="1029" spans="1:8">
      <c r="A1029">
        <v>3</v>
      </c>
      <c r="B1029" t="s">
        <v>147</v>
      </c>
      <c r="C1029">
        <v>2019</v>
      </c>
      <c r="D1029" t="s">
        <v>12</v>
      </c>
      <c r="E1029" t="s">
        <v>5</v>
      </c>
      <c r="F1029" t="s">
        <v>38</v>
      </c>
      <c r="G1029" t="s">
        <v>156</v>
      </c>
      <c r="H1029" s="220" t="s">
        <v>1127</v>
      </c>
    </row>
    <row r="1030" spans="1:8">
      <c r="A1030">
        <v>4</v>
      </c>
      <c r="B1030" t="s">
        <v>148</v>
      </c>
      <c r="C1030">
        <v>2019</v>
      </c>
      <c r="D1030" t="s">
        <v>12</v>
      </c>
      <c r="E1030" t="s">
        <v>5</v>
      </c>
      <c r="F1030" t="s">
        <v>38</v>
      </c>
      <c r="G1030" t="s">
        <v>157</v>
      </c>
      <c r="H1030" s="220" t="s">
        <v>1128</v>
      </c>
    </row>
    <row r="1031" spans="1:8">
      <c r="A1031">
        <v>0</v>
      </c>
      <c r="B1031" t="s">
        <v>34</v>
      </c>
      <c r="C1031">
        <v>2019</v>
      </c>
      <c r="D1031" t="s">
        <v>12</v>
      </c>
      <c r="E1031" t="s">
        <v>5</v>
      </c>
      <c r="F1031" t="s">
        <v>38</v>
      </c>
      <c r="G1031" t="s">
        <v>158</v>
      </c>
      <c r="H1031" s="220" t="s">
        <v>1129</v>
      </c>
    </row>
    <row r="1032" spans="1:8">
      <c r="A1032">
        <v>1</v>
      </c>
      <c r="B1032" t="s">
        <v>145</v>
      </c>
      <c r="C1032">
        <v>2018</v>
      </c>
      <c r="D1032" t="s">
        <v>12</v>
      </c>
      <c r="E1032" t="s">
        <v>5</v>
      </c>
      <c r="F1032" t="s">
        <v>38</v>
      </c>
      <c r="G1032" t="s">
        <v>154</v>
      </c>
      <c r="H1032" s="220" t="s">
        <v>1130</v>
      </c>
    </row>
    <row r="1033" spans="1:8">
      <c r="A1033">
        <v>2</v>
      </c>
      <c r="B1033" t="s">
        <v>146</v>
      </c>
      <c r="C1033">
        <v>2018</v>
      </c>
      <c r="D1033" t="s">
        <v>12</v>
      </c>
      <c r="E1033" t="s">
        <v>5</v>
      </c>
      <c r="F1033" t="s">
        <v>38</v>
      </c>
      <c r="G1033" t="s">
        <v>155</v>
      </c>
      <c r="H1033" s="220" t="s">
        <v>1131</v>
      </c>
    </row>
    <row r="1034" spans="1:8">
      <c r="A1034">
        <v>3</v>
      </c>
      <c r="B1034" t="s">
        <v>147</v>
      </c>
      <c r="C1034">
        <v>2018</v>
      </c>
      <c r="D1034" t="s">
        <v>12</v>
      </c>
      <c r="E1034" t="s">
        <v>5</v>
      </c>
      <c r="F1034" t="s">
        <v>38</v>
      </c>
      <c r="G1034" t="s">
        <v>156</v>
      </c>
      <c r="H1034" s="220" t="s">
        <v>1132</v>
      </c>
    </row>
    <row r="1035" spans="1:8">
      <c r="A1035">
        <v>4</v>
      </c>
      <c r="B1035" t="s">
        <v>148</v>
      </c>
      <c r="C1035">
        <v>2018</v>
      </c>
      <c r="D1035" t="s">
        <v>12</v>
      </c>
      <c r="E1035" t="s">
        <v>5</v>
      </c>
      <c r="F1035" t="s">
        <v>38</v>
      </c>
      <c r="G1035" t="s">
        <v>157</v>
      </c>
      <c r="H1035" s="220" t="s">
        <v>1133</v>
      </c>
    </row>
    <row r="1036" spans="1:8">
      <c r="A1036">
        <v>0</v>
      </c>
      <c r="B1036" t="s">
        <v>34</v>
      </c>
      <c r="C1036">
        <v>2018</v>
      </c>
      <c r="D1036" t="s">
        <v>12</v>
      </c>
      <c r="E1036" t="s">
        <v>5</v>
      </c>
      <c r="F1036" t="s">
        <v>38</v>
      </c>
      <c r="G1036" t="s">
        <v>158</v>
      </c>
      <c r="H1036" s="220" t="s">
        <v>1134</v>
      </c>
    </row>
    <row r="1037" spans="1:8">
      <c r="A1037">
        <v>1</v>
      </c>
      <c r="B1037" t="s">
        <v>145</v>
      </c>
      <c r="C1037">
        <v>2017</v>
      </c>
      <c r="D1037" t="s">
        <v>12</v>
      </c>
      <c r="E1037" t="s">
        <v>5</v>
      </c>
      <c r="F1037" t="s">
        <v>38</v>
      </c>
      <c r="G1037" t="s">
        <v>154</v>
      </c>
      <c r="H1037" s="220" t="s">
        <v>1135</v>
      </c>
    </row>
    <row r="1038" spans="1:8">
      <c r="A1038">
        <v>2</v>
      </c>
      <c r="B1038" t="s">
        <v>146</v>
      </c>
      <c r="C1038">
        <v>2017</v>
      </c>
      <c r="D1038" t="s">
        <v>12</v>
      </c>
      <c r="E1038" t="s">
        <v>5</v>
      </c>
      <c r="F1038" t="s">
        <v>38</v>
      </c>
      <c r="G1038" t="s">
        <v>155</v>
      </c>
      <c r="H1038" s="220" t="s">
        <v>1136</v>
      </c>
    </row>
    <row r="1039" spans="1:8">
      <c r="A1039">
        <v>3</v>
      </c>
      <c r="B1039" t="s">
        <v>147</v>
      </c>
      <c r="C1039">
        <v>2017</v>
      </c>
      <c r="D1039" t="s">
        <v>12</v>
      </c>
      <c r="E1039" t="s">
        <v>5</v>
      </c>
      <c r="F1039" t="s">
        <v>38</v>
      </c>
      <c r="G1039" t="s">
        <v>156</v>
      </c>
      <c r="H1039" s="220" t="s">
        <v>1137</v>
      </c>
    </row>
    <row r="1040" spans="1:8">
      <c r="A1040">
        <v>4</v>
      </c>
      <c r="B1040" t="s">
        <v>148</v>
      </c>
      <c r="C1040">
        <v>2017</v>
      </c>
      <c r="D1040" t="s">
        <v>12</v>
      </c>
      <c r="E1040" t="s">
        <v>5</v>
      </c>
      <c r="F1040" t="s">
        <v>38</v>
      </c>
      <c r="G1040" t="s">
        <v>157</v>
      </c>
      <c r="H1040" s="220" t="s">
        <v>1138</v>
      </c>
    </row>
    <row r="1041" spans="1:8">
      <c r="A1041">
        <v>0</v>
      </c>
      <c r="B1041" t="s">
        <v>34</v>
      </c>
      <c r="C1041">
        <v>2017</v>
      </c>
      <c r="D1041" t="s">
        <v>12</v>
      </c>
      <c r="E1041" t="s">
        <v>5</v>
      </c>
      <c r="F1041" t="s">
        <v>38</v>
      </c>
      <c r="G1041" t="s">
        <v>158</v>
      </c>
      <c r="H1041" s="220" t="s">
        <v>1139</v>
      </c>
    </row>
    <row r="1042" spans="1:8">
      <c r="A1042">
        <v>1</v>
      </c>
      <c r="B1042" t="s">
        <v>145</v>
      </c>
      <c r="C1042">
        <v>2016</v>
      </c>
      <c r="D1042" t="s">
        <v>12</v>
      </c>
      <c r="E1042" t="s">
        <v>5</v>
      </c>
      <c r="F1042" t="s">
        <v>38</v>
      </c>
      <c r="G1042" t="s">
        <v>154</v>
      </c>
      <c r="H1042" s="220" t="s">
        <v>1140</v>
      </c>
    </row>
    <row r="1043" spans="1:8">
      <c r="A1043">
        <v>2</v>
      </c>
      <c r="B1043" t="s">
        <v>146</v>
      </c>
      <c r="C1043">
        <v>2016</v>
      </c>
      <c r="D1043" t="s">
        <v>12</v>
      </c>
      <c r="E1043" t="s">
        <v>5</v>
      </c>
      <c r="F1043" t="s">
        <v>38</v>
      </c>
      <c r="G1043" t="s">
        <v>155</v>
      </c>
      <c r="H1043" s="220" t="s">
        <v>1141</v>
      </c>
    </row>
    <row r="1044" spans="1:8">
      <c r="A1044">
        <v>3</v>
      </c>
      <c r="B1044" t="s">
        <v>147</v>
      </c>
      <c r="C1044">
        <v>2016</v>
      </c>
      <c r="D1044" t="s">
        <v>12</v>
      </c>
      <c r="E1044" t="s">
        <v>5</v>
      </c>
      <c r="F1044" t="s">
        <v>38</v>
      </c>
      <c r="G1044" t="s">
        <v>156</v>
      </c>
      <c r="H1044" s="220" t="s">
        <v>1142</v>
      </c>
    </row>
    <row r="1045" spans="1:8">
      <c r="A1045">
        <v>4</v>
      </c>
      <c r="B1045" t="s">
        <v>148</v>
      </c>
      <c r="C1045">
        <v>2016</v>
      </c>
      <c r="D1045" t="s">
        <v>12</v>
      </c>
      <c r="E1045" t="s">
        <v>5</v>
      </c>
      <c r="F1045" t="s">
        <v>38</v>
      </c>
      <c r="G1045" t="s">
        <v>157</v>
      </c>
      <c r="H1045" s="220" t="s">
        <v>1143</v>
      </c>
    </row>
    <row r="1046" spans="1:8">
      <c r="A1046">
        <v>0</v>
      </c>
      <c r="B1046" t="s">
        <v>34</v>
      </c>
      <c r="C1046">
        <v>2016</v>
      </c>
      <c r="D1046" t="s">
        <v>12</v>
      </c>
      <c r="E1046" t="s">
        <v>5</v>
      </c>
      <c r="F1046" t="s">
        <v>38</v>
      </c>
      <c r="G1046" t="s">
        <v>158</v>
      </c>
      <c r="H1046" s="220" t="s">
        <v>1144</v>
      </c>
    </row>
    <row r="1047" spans="1:8">
      <c r="A1047">
        <v>1</v>
      </c>
      <c r="B1047" t="s">
        <v>145</v>
      </c>
      <c r="C1047">
        <v>2015</v>
      </c>
      <c r="D1047" t="s">
        <v>12</v>
      </c>
      <c r="E1047" t="s">
        <v>5</v>
      </c>
      <c r="F1047" t="s">
        <v>38</v>
      </c>
      <c r="G1047" t="s">
        <v>154</v>
      </c>
      <c r="H1047" s="220" t="s">
        <v>1145</v>
      </c>
    </row>
    <row r="1048" spans="1:8">
      <c r="A1048">
        <v>2</v>
      </c>
      <c r="B1048" t="s">
        <v>146</v>
      </c>
      <c r="C1048">
        <v>2015</v>
      </c>
      <c r="D1048" t="s">
        <v>12</v>
      </c>
      <c r="E1048" t="s">
        <v>5</v>
      </c>
      <c r="F1048" t="s">
        <v>38</v>
      </c>
      <c r="G1048" t="s">
        <v>155</v>
      </c>
      <c r="H1048" s="220" t="s">
        <v>1010</v>
      </c>
    </row>
    <row r="1049" spans="1:8">
      <c r="A1049">
        <v>3</v>
      </c>
      <c r="B1049" t="s">
        <v>147</v>
      </c>
      <c r="C1049">
        <v>2015</v>
      </c>
      <c r="D1049" t="s">
        <v>12</v>
      </c>
      <c r="E1049" t="s">
        <v>5</v>
      </c>
      <c r="F1049" t="s">
        <v>38</v>
      </c>
      <c r="G1049" t="s">
        <v>156</v>
      </c>
      <c r="H1049" s="220" t="s">
        <v>1146</v>
      </c>
    </row>
    <row r="1050" spans="1:8">
      <c r="A1050">
        <v>4</v>
      </c>
      <c r="B1050" t="s">
        <v>148</v>
      </c>
      <c r="C1050">
        <v>2015</v>
      </c>
      <c r="D1050" t="s">
        <v>12</v>
      </c>
      <c r="E1050" t="s">
        <v>5</v>
      </c>
      <c r="F1050" t="s">
        <v>38</v>
      </c>
      <c r="G1050" t="s">
        <v>157</v>
      </c>
      <c r="H1050" s="220" t="s">
        <v>1147</v>
      </c>
    </row>
    <row r="1051" spans="1:8">
      <c r="A1051">
        <v>0</v>
      </c>
      <c r="B1051" t="s">
        <v>34</v>
      </c>
      <c r="C1051">
        <v>2015</v>
      </c>
      <c r="D1051" t="s">
        <v>12</v>
      </c>
      <c r="E1051" t="s">
        <v>5</v>
      </c>
      <c r="F1051" t="s">
        <v>38</v>
      </c>
      <c r="G1051" t="s">
        <v>158</v>
      </c>
      <c r="H1051" s="220" t="s">
        <v>1148</v>
      </c>
    </row>
    <row r="1052" spans="1:8">
      <c r="A1052">
        <v>1</v>
      </c>
      <c r="B1052" t="s">
        <v>145</v>
      </c>
      <c r="C1052">
        <v>2014</v>
      </c>
      <c r="D1052" t="s">
        <v>12</v>
      </c>
      <c r="E1052" t="s">
        <v>5</v>
      </c>
      <c r="F1052" t="s">
        <v>38</v>
      </c>
      <c r="G1052" t="s">
        <v>154</v>
      </c>
      <c r="H1052" s="220" t="s">
        <v>1149</v>
      </c>
    </row>
    <row r="1053" spans="1:8">
      <c r="A1053">
        <v>2</v>
      </c>
      <c r="B1053" t="s">
        <v>146</v>
      </c>
      <c r="C1053">
        <v>2014</v>
      </c>
      <c r="D1053" t="s">
        <v>12</v>
      </c>
      <c r="E1053" t="s">
        <v>5</v>
      </c>
      <c r="F1053" t="s">
        <v>38</v>
      </c>
      <c r="G1053" t="s">
        <v>155</v>
      </c>
      <c r="H1053" s="220" t="s">
        <v>1150</v>
      </c>
    </row>
    <row r="1054" spans="1:8">
      <c r="A1054">
        <v>3</v>
      </c>
      <c r="B1054" t="s">
        <v>147</v>
      </c>
      <c r="C1054">
        <v>2014</v>
      </c>
      <c r="D1054" t="s">
        <v>12</v>
      </c>
      <c r="E1054" t="s">
        <v>5</v>
      </c>
      <c r="F1054" t="s">
        <v>38</v>
      </c>
      <c r="G1054" t="s">
        <v>156</v>
      </c>
      <c r="H1054" s="220" t="s">
        <v>1021</v>
      </c>
    </row>
    <row r="1055" spans="1:8">
      <c r="A1055">
        <v>4</v>
      </c>
      <c r="B1055" t="s">
        <v>148</v>
      </c>
      <c r="C1055">
        <v>2014</v>
      </c>
      <c r="D1055" t="s">
        <v>12</v>
      </c>
      <c r="E1055" t="s">
        <v>5</v>
      </c>
      <c r="F1055" t="s">
        <v>38</v>
      </c>
      <c r="G1055" t="s">
        <v>157</v>
      </c>
      <c r="H1055" s="220" t="s">
        <v>1049</v>
      </c>
    </row>
    <row r="1056" spans="1:8">
      <c r="A1056">
        <v>0</v>
      </c>
      <c r="B1056" t="s">
        <v>34</v>
      </c>
      <c r="C1056">
        <v>2014</v>
      </c>
      <c r="D1056" t="s">
        <v>12</v>
      </c>
      <c r="E1056" t="s">
        <v>5</v>
      </c>
      <c r="F1056" t="s">
        <v>38</v>
      </c>
      <c r="G1056" t="s">
        <v>158</v>
      </c>
      <c r="H1056" s="220" t="s">
        <v>1151</v>
      </c>
    </row>
    <row r="1057" spans="1:8">
      <c r="A1057">
        <v>1</v>
      </c>
      <c r="B1057" t="s">
        <v>145</v>
      </c>
      <c r="C1057">
        <v>2013</v>
      </c>
      <c r="D1057" t="s">
        <v>12</v>
      </c>
      <c r="E1057" t="s">
        <v>5</v>
      </c>
      <c r="F1057" t="s">
        <v>38</v>
      </c>
      <c r="G1057" t="s">
        <v>154</v>
      </c>
      <c r="H1057" s="220" t="s">
        <v>1152</v>
      </c>
    </row>
    <row r="1058" spans="1:8">
      <c r="A1058">
        <v>2</v>
      </c>
      <c r="B1058" t="s">
        <v>146</v>
      </c>
      <c r="C1058">
        <v>2013</v>
      </c>
      <c r="D1058" t="s">
        <v>12</v>
      </c>
      <c r="E1058" t="s">
        <v>5</v>
      </c>
      <c r="F1058" t="s">
        <v>38</v>
      </c>
      <c r="G1058" t="s">
        <v>155</v>
      </c>
      <c r="H1058" s="220" t="s">
        <v>1153</v>
      </c>
    </row>
    <row r="1059" spans="1:8">
      <c r="A1059">
        <v>3</v>
      </c>
      <c r="B1059" t="s">
        <v>147</v>
      </c>
      <c r="C1059">
        <v>2013</v>
      </c>
      <c r="D1059" t="s">
        <v>12</v>
      </c>
      <c r="E1059" t="s">
        <v>5</v>
      </c>
      <c r="F1059" t="s">
        <v>38</v>
      </c>
      <c r="G1059" t="s">
        <v>156</v>
      </c>
      <c r="H1059" s="220" t="s">
        <v>1035</v>
      </c>
    </row>
    <row r="1060" spans="1:8">
      <c r="A1060">
        <v>4</v>
      </c>
      <c r="B1060" t="s">
        <v>148</v>
      </c>
      <c r="C1060">
        <v>2013</v>
      </c>
      <c r="D1060" t="s">
        <v>12</v>
      </c>
      <c r="E1060" t="s">
        <v>5</v>
      </c>
      <c r="F1060" t="s">
        <v>38</v>
      </c>
      <c r="G1060" t="s">
        <v>157</v>
      </c>
      <c r="H1060" s="220" t="s">
        <v>1154</v>
      </c>
    </row>
    <row r="1061" spans="1:8">
      <c r="A1061">
        <v>0</v>
      </c>
      <c r="B1061" t="s">
        <v>34</v>
      </c>
      <c r="C1061">
        <v>2013</v>
      </c>
      <c r="D1061" t="s">
        <v>12</v>
      </c>
      <c r="E1061" t="s">
        <v>5</v>
      </c>
      <c r="F1061" t="s">
        <v>38</v>
      </c>
      <c r="G1061" t="s">
        <v>158</v>
      </c>
      <c r="H1061" s="220" t="s">
        <v>1155</v>
      </c>
    </row>
    <row r="1062" spans="1:8">
      <c r="A1062">
        <v>1</v>
      </c>
      <c r="B1062" t="s">
        <v>145</v>
      </c>
      <c r="C1062">
        <v>2012</v>
      </c>
      <c r="D1062" t="s">
        <v>12</v>
      </c>
      <c r="E1062" t="s">
        <v>5</v>
      </c>
      <c r="F1062" t="s">
        <v>38</v>
      </c>
      <c r="G1062" t="s">
        <v>154</v>
      </c>
      <c r="H1062" s="220" t="s">
        <v>1156</v>
      </c>
    </row>
    <row r="1063" spans="1:8">
      <c r="A1063">
        <v>2</v>
      </c>
      <c r="B1063" t="s">
        <v>146</v>
      </c>
      <c r="C1063">
        <v>2012</v>
      </c>
      <c r="D1063" t="s">
        <v>12</v>
      </c>
      <c r="E1063" t="s">
        <v>5</v>
      </c>
      <c r="F1063" t="s">
        <v>38</v>
      </c>
      <c r="G1063" t="s">
        <v>155</v>
      </c>
      <c r="H1063" s="220" t="s">
        <v>1157</v>
      </c>
    </row>
    <row r="1064" spans="1:8">
      <c r="A1064">
        <v>3</v>
      </c>
      <c r="B1064" t="s">
        <v>147</v>
      </c>
      <c r="C1064">
        <v>2012</v>
      </c>
      <c r="D1064" t="s">
        <v>12</v>
      </c>
      <c r="E1064" t="s">
        <v>5</v>
      </c>
      <c r="F1064" t="s">
        <v>38</v>
      </c>
      <c r="G1064" t="s">
        <v>156</v>
      </c>
      <c r="H1064" s="220" t="s">
        <v>1158</v>
      </c>
    </row>
    <row r="1065" spans="1:8">
      <c r="A1065">
        <v>4</v>
      </c>
      <c r="B1065" t="s">
        <v>148</v>
      </c>
      <c r="C1065">
        <v>2012</v>
      </c>
      <c r="D1065" t="s">
        <v>12</v>
      </c>
      <c r="E1065" t="s">
        <v>5</v>
      </c>
      <c r="F1065" t="s">
        <v>38</v>
      </c>
      <c r="G1065" t="s">
        <v>157</v>
      </c>
      <c r="H1065" s="220" t="s">
        <v>1159</v>
      </c>
    </row>
    <row r="1066" spans="1:8">
      <c r="A1066">
        <v>0</v>
      </c>
      <c r="B1066" t="s">
        <v>34</v>
      </c>
      <c r="C1066">
        <v>2012</v>
      </c>
      <c r="D1066" t="s">
        <v>12</v>
      </c>
      <c r="E1066" t="s">
        <v>5</v>
      </c>
      <c r="F1066" t="s">
        <v>38</v>
      </c>
      <c r="G1066" t="s">
        <v>158</v>
      </c>
      <c r="H1066" s="220" t="s">
        <v>1160</v>
      </c>
    </row>
    <row r="1067" spans="1:8">
      <c r="A1067">
        <v>1</v>
      </c>
      <c r="B1067" t="s">
        <v>145</v>
      </c>
      <c r="C1067">
        <v>2011</v>
      </c>
      <c r="D1067" t="s">
        <v>12</v>
      </c>
      <c r="E1067" t="s">
        <v>5</v>
      </c>
      <c r="F1067" t="s">
        <v>38</v>
      </c>
      <c r="G1067" t="s">
        <v>154</v>
      </c>
      <c r="H1067" s="220" t="s">
        <v>1161</v>
      </c>
    </row>
    <row r="1068" spans="1:8">
      <c r="A1068">
        <v>2</v>
      </c>
      <c r="B1068" t="s">
        <v>146</v>
      </c>
      <c r="C1068">
        <v>2011</v>
      </c>
      <c r="D1068" t="s">
        <v>12</v>
      </c>
      <c r="E1068" t="s">
        <v>5</v>
      </c>
      <c r="F1068" t="s">
        <v>38</v>
      </c>
      <c r="G1068" t="s">
        <v>155</v>
      </c>
      <c r="H1068" s="220" t="s">
        <v>1162</v>
      </c>
    </row>
    <row r="1069" spans="1:8">
      <c r="A1069">
        <v>3</v>
      </c>
      <c r="B1069" t="s">
        <v>147</v>
      </c>
      <c r="C1069">
        <v>2011</v>
      </c>
      <c r="D1069" t="s">
        <v>12</v>
      </c>
      <c r="E1069" t="s">
        <v>5</v>
      </c>
      <c r="F1069" t="s">
        <v>38</v>
      </c>
      <c r="G1069" t="s">
        <v>156</v>
      </c>
      <c r="H1069" s="220" t="s">
        <v>1163</v>
      </c>
    </row>
    <row r="1070" spans="1:8">
      <c r="A1070">
        <v>4</v>
      </c>
      <c r="B1070" t="s">
        <v>148</v>
      </c>
      <c r="C1070">
        <v>2011</v>
      </c>
      <c r="D1070" t="s">
        <v>12</v>
      </c>
      <c r="E1070" t="s">
        <v>5</v>
      </c>
      <c r="F1070" t="s">
        <v>38</v>
      </c>
      <c r="G1070" t="s">
        <v>157</v>
      </c>
      <c r="H1070" s="220" t="s">
        <v>1164</v>
      </c>
    </row>
    <row r="1071" spans="1:8">
      <c r="A1071">
        <v>0</v>
      </c>
      <c r="B1071" t="s">
        <v>34</v>
      </c>
      <c r="C1071">
        <v>2011</v>
      </c>
      <c r="D1071" t="s">
        <v>12</v>
      </c>
      <c r="E1071" t="s">
        <v>5</v>
      </c>
      <c r="F1071" t="s">
        <v>38</v>
      </c>
      <c r="G1071" t="s">
        <v>158</v>
      </c>
      <c r="H1071" s="220" t="s">
        <v>1165</v>
      </c>
    </row>
    <row r="1072" spans="1:8">
      <c r="A1072">
        <v>1</v>
      </c>
      <c r="B1072" t="s">
        <v>145</v>
      </c>
      <c r="C1072">
        <v>2010</v>
      </c>
      <c r="D1072" t="s">
        <v>12</v>
      </c>
      <c r="E1072" t="s">
        <v>5</v>
      </c>
      <c r="F1072" t="s">
        <v>38</v>
      </c>
      <c r="G1072" t="s">
        <v>154</v>
      </c>
      <c r="H1072" s="220" t="s">
        <v>1122</v>
      </c>
    </row>
    <row r="1073" spans="1:8">
      <c r="A1073">
        <v>2</v>
      </c>
      <c r="B1073" t="s">
        <v>146</v>
      </c>
      <c r="C1073">
        <v>2010</v>
      </c>
      <c r="D1073" t="s">
        <v>12</v>
      </c>
      <c r="E1073" t="s">
        <v>5</v>
      </c>
      <c r="F1073" t="s">
        <v>38</v>
      </c>
      <c r="G1073" t="s">
        <v>155</v>
      </c>
      <c r="H1073" s="220" t="s">
        <v>1166</v>
      </c>
    </row>
    <row r="1074" spans="1:8">
      <c r="A1074">
        <v>3</v>
      </c>
      <c r="B1074" t="s">
        <v>147</v>
      </c>
      <c r="C1074">
        <v>2010</v>
      </c>
      <c r="D1074" t="s">
        <v>12</v>
      </c>
      <c r="E1074" t="s">
        <v>5</v>
      </c>
      <c r="F1074" t="s">
        <v>38</v>
      </c>
      <c r="G1074" t="s">
        <v>156</v>
      </c>
      <c r="H1074" s="220" t="s">
        <v>1167</v>
      </c>
    </row>
    <row r="1075" spans="1:8">
      <c r="A1075">
        <v>4</v>
      </c>
      <c r="B1075" t="s">
        <v>148</v>
      </c>
      <c r="C1075">
        <v>2010</v>
      </c>
      <c r="D1075" t="s">
        <v>12</v>
      </c>
      <c r="E1075" t="s">
        <v>5</v>
      </c>
      <c r="F1075" t="s">
        <v>38</v>
      </c>
      <c r="G1075" t="s">
        <v>157</v>
      </c>
      <c r="H1075" s="220" t="s">
        <v>1168</v>
      </c>
    </row>
    <row r="1076" spans="1:8">
      <c r="A1076">
        <v>0</v>
      </c>
      <c r="B1076" t="s">
        <v>34</v>
      </c>
      <c r="C1076">
        <v>2010</v>
      </c>
      <c r="D1076" t="s">
        <v>12</v>
      </c>
      <c r="E1076" t="s">
        <v>5</v>
      </c>
      <c r="F1076" t="s">
        <v>38</v>
      </c>
      <c r="G1076" t="s">
        <v>158</v>
      </c>
      <c r="H1076" s="220" t="s">
        <v>1169</v>
      </c>
    </row>
    <row r="1077" spans="1:8">
      <c r="A1077">
        <v>1</v>
      </c>
      <c r="B1077" t="s">
        <v>145</v>
      </c>
      <c r="C1077">
        <v>2005</v>
      </c>
      <c r="D1077" t="s">
        <v>12</v>
      </c>
      <c r="E1077" t="s">
        <v>5</v>
      </c>
      <c r="F1077" t="s">
        <v>38</v>
      </c>
      <c r="G1077" t="s">
        <v>154</v>
      </c>
      <c r="H1077" s="220" t="s">
        <v>1136</v>
      </c>
    </row>
    <row r="1078" spans="1:8">
      <c r="A1078">
        <v>2</v>
      </c>
      <c r="B1078" t="s">
        <v>146</v>
      </c>
      <c r="C1078">
        <v>2005</v>
      </c>
      <c r="D1078" t="s">
        <v>12</v>
      </c>
      <c r="E1078" t="s">
        <v>5</v>
      </c>
      <c r="F1078" t="s">
        <v>38</v>
      </c>
      <c r="G1078" t="s">
        <v>155</v>
      </c>
      <c r="H1078" s="220" t="s">
        <v>948</v>
      </c>
    </row>
    <row r="1079" spans="1:8">
      <c r="A1079">
        <v>3</v>
      </c>
      <c r="B1079" t="s">
        <v>147</v>
      </c>
      <c r="C1079">
        <v>2005</v>
      </c>
      <c r="D1079" t="s">
        <v>12</v>
      </c>
      <c r="E1079" t="s">
        <v>5</v>
      </c>
      <c r="F1079" t="s">
        <v>38</v>
      </c>
      <c r="G1079" t="s">
        <v>156</v>
      </c>
      <c r="H1079" s="220" t="s">
        <v>1123</v>
      </c>
    </row>
    <row r="1080" spans="1:8">
      <c r="A1080">
        <v>4</v>
      </c>
      <c r="B1080" t="s">
        <v>148</v>
      </c>
      <c r="C1080">
        <v>2005</v>
      </c>
      <c r="D1080" t="s">
        <v>12</v>
      </c>
      <c r="E1080" t="s">
        <v>5</v>
      </c>
      <c r="F1080" t="s">
        <v>38</v>
      </c>
      <c r="G1080" t="s">
        <v>157</v>
      </c>
      <c r="H1080" s="220" t="s">
        <v>1170</v>
      </c>
    </row>
    <row r="1081" spans="1:8">
      <c r="A1081">
        <v>0</v>
      </c>
      <c r="B1081" t="s">
        <v>34</v>
      </c>
      <c r="C1081">
        <v>2005</v>
      </c>
      <c r="D1081" t="s">
        <v>12</v>
      </c>
      <c r="E1081" t="s">
        <v>5</v>
      </c>
      <c r="F1081" t="s">
        <v>38</v>
      </c>
      <c r="G1081" t="s">
        <v>158</v>
      </c>
      <c r="H1081" s="220" t="s">
        <v>1171</v>
      </c>
    </row>
    <row r="1082" spans="1:8">
      <c r="A1082">
        <v>1</v>
      </c>
      <c r="B1082" t="s">
        <v>145</v>
      </c>
      <c r="C1082">
        <v>2020</v>
      </c>
      <c r="D1082" t="s">
        <v>11</v>
      </c>
      <c r="E1082" t="s">
        <v>139</v>
      </c>
      <c r="F1082" t="s">
        <v>38</v>
      </c>
      <c r="G1082" t="s">
        <v>154</v>
      </c>
      <c r="H1082" s="220" t="s">
        <v>1172</v>
      </c>
    </row>
    <row r="1083" spans="1:8">
      <c r="A1083">
        <v>2</v>
      </c>
      <c r="B1083" t="s">
        <v>146</v>
      </c>
      <c r="C1083">
        <v>2020</v>
      </c>
      <c r="D1083" t="s">
        <v>11</v>
      </c>
      <c r="E1083" t="s">
        <v>139</v>
      </c>
      <c r="F1083" t="s">
        <v>38</v>
      </c>
      <c r="G1083" t="s">
        <v>155</v>
      </c>
      <c r="H1083" s="220" t="s">
        <v>1173</v>
      </c>
    </row>
    <row r="1084" spans="1:8">
      <c r="A1084">
        <v>3</v>
      </c>
      <c r="B1084" t="s">
        <v>147</v>
      </c>
      <c r="C1084">
        <v>2020</v>
      </c>
      <c r="D1084" t="s">
        <v>11</v>
      </c>
      <c r="E1084" t="s">
        <v>139</v>
      </c>
      <c r="F1084" t="s">
        <v>38</v>
      </c>
      <c r="G1084" t="s">
        <v>156</v>
      </c>
      <c r="H1084" s="220" t="s">
        <v>1174</v>
      </c>
    </row>
    <row r="1085" spans="1:8">
      <c r="A1085">
        <v>4</v>
      </c>
      <c r="B1085" t="s">
        <v>148</v>
      </c>
      <c r="C1085">
        <v>2020</v>
      </c>
      <c r="D1085" t="s">
        <v>11</v>
      </c>
      <c r="E1085" t="s">
        <v>139</v>
      </c>
      <c r="F1085" t="s">
        <v>38</v>
      </c>
      <c r="G1085" t="s">
        <v>157</v>
      </c>
      <c r="H1085" s="220" t="s">
        <v>1175</v>
      </c>
    </row>
    <row r="1086" spans="1:8">
      <c r="A1086">
        <v>0</v>
      </c>
      <c r="B1086" t="s">
        <v>34</v>
      </c>
      <c r="C1086">
        <v>2020</v>
      </c>
      <c r="D1086" t="s">
        <v>11</v>
      </c>
      <c r="E1086" t="s">
        <v>139</v>
      </c>
      <c r="F1086" t="s">
        <v>38</v>
      </c>
      <c r="G1086" t="s">
        <v>158</v>
      </c>
      <c r="H1086" s="220" t="s">
        <v>1176</v>
      </c>
    </row>
    <row r="1087" spans="1:8">
      <c r="A1087">
        <v>1</v>
      </c>
      <c r="B1087" t="s">
        <v>145</v>
      </c>
      <c r="C1087">
        <v>2019</v>
      </c>
      <c r="D1087" t="s">
        <v>11</v>
      </c>
      <c r="E1087" t="s">
        <v>139</v>
      </c>
      <c r="F1087" t="s">
        <v>38</v>
      </c>
      <c r="G1087" t="s">
        <v>154</v>
      </c>
      <c r="H1087" s="220" t="s">
        <v>1177</v>
      </c>
    </row>
    <row r="1088" spans="1:8">
      <c r="A1088">
        <v>2</v>
      </c>
      <c r="B1088" t="s">
        <v>146</v>
      </c>
      <c r="C1088">
        <v>2019</v>
      </c>
      <c r="D1088" t="s">
        <v>11</v>
      </c>
      <c r="E1088" t="s">
        <v>139</v>
      </c>
      <c r="F1088" t="s">
        <v>38</v>
      </c>
      <c r="G1088" t="s">
        <v>155</v>
      </c>
      <c r="H1088" s="220" t="s">
        <v>1178</v>
      </c>
    </row>
    <row r="1089" spans="1:8">
      <c r="A1089">
        <v>3</v>
      </c>
      <c r="B1089" t="s">
        <v>147</v>
      </c>
      <c r="C1089">
        <v>2019</v>
      </c>
      <c r="D1089" t="s">
        <v>11</v>
      </c>
      <c r="E1089" t="s">
        <v>139</v>
      </c>
      <c r="F1089" t="s">
        <v>38</v>
      </c>
      <c r="G1089" t="s">
        <v>156</v>
      </c>
      <c r="H1089" s="220" t="s">
        <v>1179</v>
      </c>
    </row>
    <row r="1090" spans="1:8">
      <c r="A1090">
        <v>4</v>
      </c>
      <c r="B1090" t="s">
        <v>148</v>
      </c>
      <c r="C1090">
        <v>2019</v>
      </c>
      <c r="D1090" t="s">
        <v>11</v>
      </c>
      <c r="E1090" t="s">
        <v>139</v>
      </c>
      <c r="F1090" t="s">
        <v>38</v>
      </c>
      <c r="G1090" t="s">
        <v>157</v>
      </c>
      <c r="H1090" s="220" t="s">
        <v>1180</v>
      </c>
    </row>
    <row r="1091" spans="1:8">
      <c r="A1091">
        <v>0</v>
      </c>
      <c r="B1091" t="s">
        <v>34</v>
      </c>
      <c r="C1091">
        <v>2019</v>
      </c>
      <c r="D1091" t="s">
        <v>11</v>
      </c>
      <c r="E1091" t="s">
        <v>139</v>
      </c>
      <c r="F1091" t="s">
        <v>38</v>
      </c>
      <c r="G1091" t="s">
        <v>158</v>
      </c>
      <c r="H1091" s="220" t="s">
        <v>1181</v>
      </c>
    </row>
    <row r="1092" spans="1:8">
      <c r="A1092">
        <v>1</v>
      </c>
      <c r="B1092" t="s">
        <v>145</v>
      </c>
      <c r="C1092">
        <v>2018</v>
      </c>
      <c r="D1092" t="s">
        <v>11</v>
      </c>
      <c r="E1092" t="s">
        <v>139</v>
      </c>
      <c r="F1092" t="s">
        <v>38</v>
      </c>
      <c r="G1092" t="s">
        <v>154</v>
      </c>
      <c r="H1092" s="220" t="s">
        <v>964</v>
      </c>
    </row>
    <row r="1093" spans="1:8">
      <c r="A1093">
        <v>2</v>
      </c>
      <c r="B1093" t="s">
        <v>146</v>
      </c>
      <c r="C1093">
        <v>2018</v>
      </c>
      <c r="D1093" t="s">
        <v>11</v>
      </c>
      <c r="E1093" t="s">
        <v>139</v>
      </c>
      <c r="F1093" t="s">
        <v>38</v>
      </c>
      <c r="G1093" t="s">
        <v>155</v>
      </c>
      <c r="H1093" s="220" t="s">
        <v>1182</v>
      </c>
    </row>
    <row r="1094" spans="1:8">
      <c r="A1094">
        <v>3</v>
      </c>
      <c r="B1094" t="s">
        <v>147</v>
      </c>
      <c r="C1094">
        <v>2018</v>
      </c>
      <c r="D1094" t="s">
        <v>11</v>
      </c>
      <c r="E1094" t="s">
        <v>139</v>
      </c>
      <c r="F1094" t="s">
        <v>38</v>
      </c>
      <c r="G1094" t="s">
        <v>156</v>
      </c>
      <c r="H1094" s="220" t="s">
        <v>1183</v>
      </c>
    </row>
    <row r="1095" spans="1:8">
      <c r="A1095">
        <v>4</v>
      </c>
      <c r="B1095" t="s">
        <v>148</v>
      </c>
      <c r="C1095">
        <v>2018</v>
      </c>
      <c r="D1095" t="s">
        <v>11</v>
      </c>
      <c r="E1095" t="s">
        <v>139</v>
      </c>
      <c r="F1095" t="s">
        <v>38</v>
      </c>
      <c r="G1095" t="s">
        <v>157</v>
      </c>
      <c r="H1095" s="220" t="s">
        <v>1184</v>
      </c>
    </row>
    <row r="1096" spans="1:8">
      <c r="A1096">
        <v>0</v>
      </c>
      <c r="B1096" t="s">
        <v>34</v>
      </c>
      <c r="C1096">
        <v>2018</v>
      </c>
      <c r="D1096" t="s">
        <v>11</v>
      </c>
      <c r="E1096" t="s">
        <v>139</v>
      </c>
      <c r="F1096" t="s">
        <v>38</v>
      </c>
      <c r="G1096" t="s">
        <v>158</v>
      </c>
      <c r="H1096" s="220" t="s">
        <v>1185</v>
      </c>
    </row>
    <row r="1097" spans="1:8">
      <c r="A1097">
        <v>1</v>
      </c>
      <c r="B1097" t="s">
        <v>145</v>
      </c>
      <c r="C1097">
        <v>2017</v>
      </c>
      <c r="D1097" t="s">
        <v>11</v>
      </c>
      <c r="E1097" t="s">
        <v>139</v>
      </c>
      <c r="F1097" t="s">
        <v>38</v>
      </c>
      <c r="G1097" t="s">
        <v>154</v>
      </c>
      <c r="H1097" s="220" t="s">
        <v>1186</v>
      </c>
    </row>
    <row r="1098" spans="1:8">
      <c r="A1098">
        <v>2</v>
      </c>
      <c r="B1098" t="s">
        <v>146</v>
      </c>
      <c r="C1098">
        <v>2017</v>
      </c>
      <c r="D1098" t="s">
        <v>11</v>
      </c>
      <c r="E1098" t="s">
        <v>139</v>
      </c>
      <c r="F1098" t="s">
        <v>38</v>
      </c>
      <c r="G1098" t="s">
        <v>155</v>
      </c>
      <c r="H1098" s="220" t="s">
        <v>1187</v>
      </c>
    </row>
    <row r="1099" spans="1:8">
      <c r="A1099">
        <v>3</v>
      </c>
      <c r="B1099" t="s">
        <v>147</v>
      </c>
      <c r="C1099">
        <v>2017</v>
      </c>
      <c r="D1099" t="s">
        <v>11</v>
      </c>
      <c r="E1099" t="s">
        <v>139</v>
      </c>
      <c r="F1099" t="s">
        <v>38</v>
      </c>
      <c r="G1099" t="s">
        <v>156</v>
      </c>
      <c r="H1099" s="220" t="s">
        <v>1188</v>
      </c>
    </row>
    <row r="1100" spans="1:8">
      <c r="A1100">
        <v>4</v>
      </c>
      <c r="B1100" t="s">
        <v>148</v>
      </c>
      <c r="C1100">
        <v>2017</v>
      </c>
      <c r="D1100" t="s">
        <v>11</v>
      </c>
      <c r="E1100" t="s">
        <v>139</v>
      </c>
      <c r="F1100" t="s">
        <v>38</v>
      </c>
      <c r="G1100" t="s">
        <v>157</v>
      </c>
      <c r="H1100" s="220" t="s">
        <v>1189</v>
      </c>
    </row>
    <row r="1101" spans="1:8">
      <c r="A1101">
        <v>0</v>
      </c>
      <c r="B1101" t="s">
        <v>34</v>
      </c>
      <c r="C1101">
        <v>2017</v>
      </c>
      <c r="D1101" t="s">
        <v>11</v>
      </c>
      <c r="E1101" t="s">
        <v>139</v>
      </c>
      <c r="F1101" t="s">
        <v>38</v>
      </c>
      <c r="G1101" t="s">
        <v>158</v>
      </c>
      <c r="H1101" s="220" t="s">
        <v>1190</v>
      </c>
    </row>
    <row r="1102" spans="1:8">
      <c r="A1102">
        <v>1</v>
      </c>
      <c r="B1102" t="s">
        <v>145</v>
      </c>
      <c r="C1102">
        <v>2016</v>
      </c>
      <c r="D1102" t="s">
        <v>11</v>
      </c>
      <c r="E1102" t="s">
        <v>139</v>
      </c>
      <c r="F1102" t="s">
        <v>38</v>
      </c>
      <c r="G1102" t="s">
        <v>154</v>
      </c>
      <c r="H1102" s="220" t="s">
        <v>1191</v>
      </c>
    </row>
    <row r="1103" spans="1:8">
      <c r="A1103">
        <v>2</v>
      </c>
      <c r="B1103" t="s">
        <v>146</v>
      </c>
      <c r="C1103">
        <v>2016</v>
      </c>
      <c r="D1103" t="s">
        <v>11</v>
      </c>
      <c r="E1103" t="s">
        <v>139</v>
      </c>
      <c r="F1103" t="s">
        <v>38</v>
      </c>
      <c r="G1103" t="s">
        <v>155</v>
      </c>
      <c r="H1103" s="220" t="s">
        <v>1192</v>
      </c>
    </row>
    <row r="1104" spans="1:8">
      <c r="A1104">
        <v>3</v>
      </c>
      <c r="B1104" t="s">
        <v>147</v>
      </c>
      <c r="C1104">
        <v>2016</v>
      </c>
      <c r="D1104" t="s">
        <v>11</v>
      </c>
      <c r="E1104" t="s">
        <v>139</v>
      </c>
      <c r="F1104" t="s">
        <v>38</v>
      </c>
      <c r="G1104" t="s">
        <v>156</v>
      </c>
      <c r="H1104" s="220" t="s">
        <v>1193</v>
      </c>
    </row>
    <row r="1105" spans="1:8">
      <c r="A1105">
        <v>4</v>
      </c>
      <c r="B1105" t="s">
        <v>148</v>
      </c>
      <c r="C1105">
        <v>2016</v>
      </c>
      <c r="D1105" t="s">
        <v>11</v>
      </c>
      <c r="E1105" t="s">
        <v>139</v>
      </c>
      <c r="F1105" t="s">
        <v>38</v>
      </c>
      <c r="G1105" t="s">
        <v>157</v>
      </c>
      <c r="H1105" s="220" t="s">
        <v>1194</v>
      </c>
    </row>
    <row r="1106" spans="1:8">
      <c r="A1106">
        <v>0</v>
      </c>
      <c r="B1106" t="s">
        <v>34</v>
      </c>
      <c r="C1106">
        <v>2016</v>
      </c>
      <c r="D1106" t="s">
        <v>11</v>
      </c>
      <c r="E1106" t="s">
        <v>139</v>
      </c>
      <c r="F1106" t="s">
        <v>38</v>
      </c>
      <c r="G1106" t="s">
        <v>158</v>
      </c>
      <c r="H1106" s="220" t="s">
        <v>1195</v>
      </c>
    </row>
    <row r="1107" spans="1:8">
      <c r="A1107">
        <v>1</v>
      </c>
      <c r="B1107" t="s">
        <v>145</v>
      </c>
      <c r="C1107">
        <v>2015</v>
      </c>
      <c r="D1107" t="s">
        <v>11</v>
      </c>
      <c r="E1107" t="s">
        <v>139</v>
      </c>
      <c r="F1107" t="s">
        <v>38</v>
      </c>
      <c r="G1107" t="s">
        <v>154</v>
      </c>
      <c r="H1107" s="220" t="s">
        <v>1196</v>
      </c>
    </row>
    <row r="1108" spans="1:8">
      <c r="A1108">
        <v>2</v>
      </c>
      <c r="B1108" t="s">
        <v>146</v>
      </c>
      <c r="C1108">
        <v>2015</v>
      </c>
      <c r="D1108" t="s">
        <v>11</v>
      </c>
      <c r="E1108" t="s">
        <v>139</v>
      </c>
      <c r="F1108" t="s">
        <v>38</v>
      </c>
      <c r="G1108" t="s">
        <v>155</v>
      </c>
      <c r="H1108" s="220" t="s">
        <v>1197</v>
      </c>
    </row>
    <row r="1109" spans="1:8">
      <c r="A1109">
        <v>3</v>
      </c>
      <c r="B1109" t="s">
        <v>147</v>
      </c>
      <c r="C1109">
        <v>2015</v>
      </c>
      <c r="D1109" t="s">
        <v>11</v>
      </c>
      <c r="E1109" t="s">
        <v>139</v>
      </c>
      <c r="F1109" t="s">
        <v>38</v>
      </c>
      <c r="G1109" t="s">
        <v>156</v>
      </c>
      <c r="H1109" s="220" t="s">
        <v>1198</v>
      </c>
    </row>
    <row r="1110" spans="1:8">
      <c r="A1110">
        <v>4</v>
      </c>
      <c r="B1110" t="s">
        <v>148</v>
      </c>
      <c r="C1110">
        <v>2015</v>
      </c>
      <c r="D1110" t="s">
        <v>11</v>
      </c>
      <c r="E1110" t="s">
        <v>139</v>
      </c>
      <c r="F1110" t="s">
        <v>38</v>
      </c>
      <c r="G1110" t="s">
        <v>157</v>
      </c>
      <c r="H1110" s="220" t="s">
        <v>1199</v>
      </c>
    </row>
    <row r="1111" spans="1:8">
      <c r="A1111">
        <v>0</v>
      </c>
      <c r="B1111" t="s">
        <v>34</v>
      </c>
      <c r="C1111">
        <v>2015</v>
      </c>
      <c r="D1111" t="s">
        <v>11</v>
      </c>
      <c r="E1111" t="s">
        <v>139</v>
      </c>
      <c r="F1111" t="s">
        <v>38</v>
      </c>
      <c r="G1111" t="s">
        <v>158</v>
      </c>
      <c r="H1111" s="220" t="s">
        <v>1200</v>
      </c>
    </row>
    <row r="1112" spans="1:8">
      <c r="A1112">
        <v>1</v>
      </c>
      <c r="B1112" t="s">
        <v>145</v>
      </c>
      <c r="C1112">
        <v>2014</v>
      </c>
      <c r="D1112" t="s">
        <v>11</v>
      </c>
      <c r="E1112" t="s">
        <v>139</v>
      </c>
      <c r="F1112" t="s">
        <v>38</v>
      </c>
      <c r="G1112" t="s">
        <v>154</v>
      </c>
      <c r="H1112" s="220" t="s">
        <v>1201</v>
      </c>
    </row>
    <row r="1113" spans="1:8">
      <c r="A1113">
        <v>2</v>
      </c>
      <c r="B1113" t="s">
        <v>146</v>
      </c>
      <c r="C1113">
        <v>2014</v>
      </c>
      <c r="D1113" t="s">
        <v>11</v>
      </c>
      <c r="E1113" t="s">
        <v>139</v>
      </c>
      <c r="F1113" t="s">
        <v>38</v>
      </c>
      <c r="G1113" t="s">
        <v>155</v>
      </c>
      <c r="H1113" s="220" t="s">
        <v>1202</v>
      </c>
    </row>
    <row r="1114" spans="1:8">
      <c r="A1114">
        <v>3</v>
      </c>
      <c r="B1114" t="s">
        <v>147</v>
      </c>
      <c r="C1114">
        <v>2014</v>
      </c>
      <c r="D1114" t="s">
        <v>11</v>
      </c>
      <c r="E1114" t="s">
        <v>139</v>
      </c>
      <c r="F1114" t="s">
        <v>38</v>
      </c>
      <c r="G1114" t="s">
        <v>156</v>
      </c>
      <c r="H1114" s="220" t="s">
        <v>1203</v>
      </c>
    </row>
    <row r="1115" spans="1:8">
      <c r="A1115">
        <v>4</v>
      </c>
      <c r="B1115" t="s">
        <v>148</v>
      </c>
      <c r="C1115">
        <v>2014</v>
      </c>
      <c r="D1115" t="s">
        <v>11</v>
      </c>
      <c r="E1115" t="s">
        <v>139</v>
      </c>
      <c r="F1115" t="s">
        <v>38</v>
      </c>
      <c r="G1115" t="s">
        <v>157</v>
      </c>
      <c r="H1115" s="220" t="s">
        <v>1204</v>
      </c>
    </row>
    <row r="1116" spans="1:8">
      <c r="A1116">
        <v>0</v>
      </c>
      <c r="B1116" t="s">
        <v>34</v>
      </c>
      <c r="C1116">
        <v>2014</v>
      </c>
      <c r="D1116" t="s">
        <v>11</v>
      </c>
      <c r="E1116" t="s">
        <v>139</v>
      </c>
      <c r="F1116" t="s">
        <v>38</v>
      </c>
      <c r="G1116" t="s">
        <v>158</v>
      </c>
      <c r="H1116" s="220" t="s">
        <v>1205</v>
      </c>
    </row>
    <row r="1117" spans="1:8">
      <c r="A1117">
        <v>1</v>
      </c>
      <c r="B1117" t="s">
        <v>145</v>
      </c>
      <c r="C1117">
        <v>2013</v>
      </c>
      <c r="D1117" t="s">
        <v>11</v>
      </c>
      <c r="E1117" t="s">
        <v>139</v>
      </c>
      <c r="F1117" t="s">
        <v>38</v>
      </c>
      <c r="G1117" t="s">
        <v>154</v>
      </c>
      <c r="H1117" s="220" t="s">
        <v>35</v>
      </c>
    </row>
    <row r="1118" spans="1:8">
      <c r="A1118">
        <v>2</v>
      </c>
      <c r="B1118" t="s">
        <v>146</v>
      </c>
      <c r="C1118">
        <v>2013</v>
      </c>
      <c r="D1118" t="s">
        <v>11</v>
      </c>
      <c r="E1118" t="s">
        <v>139</v>
      </c>
      <c r="F1118" t="s">
        <v>38</v>
      </c>
      <c r="G1118" t="s">
        <v>155</v>
      </c>
      <c r="H1118" s="220" t="s">
        <v>35</v>
      </c>
    </row>
    <row r="1119" spans="1:8">
      <c r="A1119">
        <v>3</v>
      </c>
      <c r="B1119" t="s">
        <v>147</v>
      </c>
      <c r="C1119">
        <v>2013</v>
      </c>
      <c r="D1119" t="s">
        <v>11</v>
      </c>
      <c r="E1119" t="s">
        <v>139</v>
      </c>
      <c r="F1119" t="s">
        <v>38</v>
      </c>
      <c r="G1119" t="s">
        <v>156</v>
      </c>
      <c r="H1119" s="220" t="s">
        <v>35</v>
      </c>
    </row>
    <row r="1120" spans="1:8">
      <c r="A1120">
        <v>4</v>
      </c>
      <c r="B1120" t="s">
        <v>148</v>
      </c>
      <c r="C1120">
        <v>2013</v>
      </c>
      <c r="D1120" t="s">
        <v>11</v>
      </c>
      <c r="E1120" t="s">
        <v>139</v>
      </c>
      <c r="F1120" t="s">
        <v>38</v>
      </c>
      <c r="G1120" t="s">
        <v>157</v>
      </c>
      <c r="H1120" s="220" t="s">
        <v>35</v>
      </c>
    </row>
    <row r="1121" spans="1:8">
      <c r="A1121">
        <v>0</v>
      </c>
      <c r="B1121" t="s">
        <v>34</v>
      </c>
      <c r="C1121">
        <v>2013</v>
      </c>
      <c r="D1121" t="s">
        <v>11</v>
      </c>
      <c r="E1121" t="s">
        <v>139</v>
      </c>
      <c r="F1121" t="s">
        <v>38</v>
      </c>
      <c r="G1121" t="s">
        <v>158</v>
      </c>
      <c r="H1121" s="220" t="s">
        <v>35</v>
      </c>
    </row>
    <row r="1122" spans="1:8">
      <c r="A1122">
        <v>1</v>
      </c>
      <c r="B1122" t="s">
        <v>145</v>
      </c>
      <c r="C1122">
        <v>2012</v>
      </c>
      <c r="D1122" t="s">
        <v>11</v>
      </c>
      <c r="E1122" t="s">
        <v>139</v>
      </c>
      <c r="F1122" t="s">
        <v>38</v>
      </c>
      <c r="G1122" t="s">
        <v>154</v>
      </c>
      <c r="H1122" s="220" t="s">
        <v>35</v>
      </c>
    </row>
    <row r="1123" spans="1:8">
      <c r="A1123">
        <v>2</v>
      </c>
      <c r="B1123" t="s">
        <v>146</v>
      </c>
      <c r="C1123">
        <v>2012</v>
      </c>
      <c r="D1123" t="s">
        <v>11</v>
      </c>
      <c r="E1123" t="s">
        <v>139</v>
      </c>
      <c r="F1123" t="s">
        <v>38</v>
      </c>
      <c r="G1123" t="s">
        <v>155</v>
      </c>
      <c r="H1123" s="220" t="s">
        <v>35</v>
      </c>
    </row>
    <row r="1124" spans="1:8">
      <c r="A1124">
        <v>3</v>
      </c>
      <c r="B1124" t="s">
        <v>147</v>
      </c>
      <c r="C1124">
        <v>2012</v>
      </c>
      <c r="D1124" t="s">
        <v>11</v>
      </c>
      <c r="E1124" t="s">
        <v>139</v>
      </c>
      <c r="F1124" t="s">
        <v>38</v>
      </c>
      <c r="G1124" t="s">
        <v>156</v>
      </c>
      <c r="H1124" s="220" t="s">
        <v>35</v>
      </c>
    </row>
    <row r="1125" spans="1:8">
      <c r="A1125">
        <v>4</v>
      </c>
      <c r="B1125" t="s">
        <v>148</v>
      </c>
      <c r="C1125">
        <v>2012</v>
      </c>
      <c r="D1125" t="s">
        <v>11</v>
      </c>
      <c r="E1125" t="s">
        <v>139</v>
      </c>
      <c r="F1125" t="s">
        <v>38</v>
      </c>
      <c r="G1125" t="s">
        <v>157</v>
      </c>
      <c r="H1125" s="220" t="s">
        <v>35</v>
      </c>
    </row>
    <row r="1126" spans="1:8">
      <c r="A1126">
        <v>0</v>
      </c>
      <c r="B1126" t="s">
        <v>34</v>
      </c>
      <c r="C1126">
        <v>2012</v>
      </c>
      <c r="D1126" t="s">
        <v>11</v>
      </c>
      <c r="E1126" t="s">
        <v>139</v>
      </c>
      <c r="F1126" t="s">
        <v>38</v>
      </c>
      <c r="G1126" t="s">
        <v>158</v>
      </c>
      <c r="H1126" s="220" t="s">
        <v>35</v>
      </c>
    </row>
    <row r="1127" spans="1:8">
      <c r="A1127">
        <v>1</v>
      </c>
      <c r="B1127" t="s">
        <v>145</v>
      </c>
      <c r="C1127">
        <v>2011</v>
      </c>
      <c r="D1127" t="s">
        <v>11</v>
      </c>
      <c r="E1127" t="s">
        <v>139</v>
      </c>
      <c r="F1127" t="s">
        <v>38</v>
      </c>
      <c r="G1127" t="s">
        <v>154</v>
      </c>
      <c r="H1127" s="220" t="s">
        <v>35</v>
      </c>
    </row>
    <row r="1128" spans="1:8">
      <c r="A1128">
        <v>2</v>
      </c>
      <c r="B1128" t="s">
        <v>146</v>
      </c>
      <c r="C1128">
        <v>2011</v>
      </c>
      <c r="D1128" t="s">
        <v>11</v>
      </c>
      <c r="E1128" t="s">
        <v>139</v>
      </c>
      <c r="F1128" t="s">
        <v>38</v>
      </c>
      <c r="G1128" t="s">
        <v>155</v>
      </c>
      <c r="H1128" s="220" t="s">
        <v>35</v>
      </c>
    </row>
    <row r="1129" spans="1:8">
      <c r="A1129">
        <v>3</v>
      </c>
      <c r="B1129" t="s">
        <v>147</v>
      </c>
      <c r="C1129">
        <v>2011</v>
      </c>
      <c r="D1129" t="s">
        <v>11</v>
      </c>
      <c r="E1129" t="s">
        <v>139</v>
      </c>
      <c r="F1129" t="s">
        <v>38</v>
      </c>
      <c r="G1129" t="s">
        <v>156</v>
      </c>
      <c r="H1129" s="220" t="s">
        <v>35</v>
      </c>
    </row>
    <row r="1130" spans="1:8">
      <c r="A1130">
        <v>4</v>
      </c>
      <c r="B1130" t="s">
        <v>148</v>
      </c>
      <c r="C1130">
        <v>2011</v>
      </c>
      <c r="D1130" t="s">
        <v>11</v>
      </c>
      <c r="E1130" t="s">
        <v>139</v>
      </c>
      <c r="F1130" t="s">
        <v>38</v>
      </c>
      <c r="G1130" t="s">
        <v>157</v>
      </c>
      <c r="H1130" s="220" t="s">
        <v>35</v>
      </c>
    </row>
    <row r="1131" spans="1:8">
      <c r="A1131">
        <v>0</v>
      </c>
      <c r="B1131" t="s">
        <v>34</v>
      </c>
      <c r="C1131">
        <v>2011</v>
      </c>
      <c r="D1131" t="s">
        <v>11</v>
      </c>
      <c r="E1131" t="s">
        <v>139</v>
      </c>
      <c r="F1131" t="s">
        <v>38</v>
      </c>
      <c r="G1131" t="s">
        <v>158</v>
      </c>
      <c r="H1131" s="220" t="s">
        <v>35</v>
      </c>
    </row>
    <row r="1132" spans="1:8">
      <c r="A1132">
        <v>1</v>
      </c>
      <c r="B1132" t="s">
        <v>145</v>
      </c>
      <c r="C1132">
        <v>2010</v>
      </c>
      <c r="D1132" t="s">
        <v>11</v>
      </c>
      <c r="E1132" t="s">
        <v>139</v>
      </c>
      <c r="F1132" t="s">
        <v>38</v>
      </c>
      <c r="G1132" t="s">
        <v>154</v>
      </c>
      <c r="H1132" s="220" t="s">
        <v>35</v>
      </c>
    </row>
    <row r="1133" spans="1:8">
      <c r="A1133">
        <v>2</v>
      </c>
      <c r="B1133" t="s">
        <v>146</v>
      </c>
      <c r="C1133">
        <v>2010</v>
      </c>
      <c r="D1133" t="s">
        <v>11</v>
      </c>
      <c r="E1133" t="s">
        <v>139</v>
      </c>
      <c r="F1133" t="s">
        <v>38</v>
      </c>
      <c r="G1133" t="s">
        <v>155</v>
      </c>
      <c r="H1133" s="220" t="s">
        <v>35</v>
      </c>
    </row>
    <row r="1134" spans="1:8">
      <c r="A1134">
        <v>3</v>
      </c>
      <c r="B1134" t="s">
        <v>147</v>
      </c>
      <c r="C1134">
        <v>2010</v>
      </c>
      <c r="D1134" t="s">
        <v>11</v>
      </c>
      <c r="E1134" t="s">
        <v>139</v>
      </c>
      <c r="F1134" t="s">
        <v>38</v>
      </c>
      <c r="G1134" t="s">
        <v>156</v>
      </c>
      <c r="H1134" s="220" t="s">
        <v>35</v>
      </c>
    </row>
    <row r="1135" spans="1:8">
      <c r="A1135">
        <v>4</v>
      </c>
      <c r="B1135" t="s">
        <v>148</v>
      </c>
      <c r="C1135">
        <v>2010</v>
      </c>
      <c r="D1135" t="s">
        <v>11</v>
      </c>
      <c r="E1135" t="s">
        <v>139</v>
      </c>
      <c r="F1135" t="s">
        <v>38</v>
      </c>
      <c r="G1135" t="s">
        <v>157</v>
      </c>
      <c r="H1135" s="220" t="s">
        <v>35</v>
      </c>
    </row>
    <row r="1136" spans="1:8">
      <c r="A1136">
        <v>0</v>
      </c>
      <c r="B1136" t="s">
        <v>34</v>
      </c>
      <c r="C1136">
        <v>2010</v>
      </c>
      <c r="D1136" t="s">
        <v>11</v>
      </c>
      <c r="E1136" t="s">
        <v>139</v>
      </c>
      <c r="F1136" t="s">
        <v>38</v>
      </c>
      <c r="G1136" t="s">
        <v>158</v>
      </c>
      <c r="H1136" s="220" t="s">
        <v>35</v>
      </c>
    </row>
    <row r="1137" spans="1:8">
      <c r="A1137">
        <v>1</v>
      </c>
      <c r="B1137" t="s">
        <v>145</v>
      </c>
      <c r="C1137">
        <v>2005</v>
      </c>
      <c r="D1137" t="s">
        <v>11</v>
      </c>
      <c r="E1137" t="s">
        <v>139</v>
      </c>
      <c r="F1137" t="s">
        <v>38</v>
      </c>
      <c r="G1137" t="s">
        <v>154</v>
      </c>
      <c r="H1137" s="220" t="s">
        <v>35</v>
      </c>
    </row>
    <row r="1138" spans="1:8">
      <c r="A1138">
        <v>2</v>
      </c>
      <c r="B1138" t="s">
        <v>146</v>
      </c>
      <c r="C1138">
        <v>2005</v>
      </c>
      <c r="D1138" t="s">
        <v>11</v>
      </c>
      <c r="E1138" t="s">
        <v>139</v>
      </c>
      <c r="F1138" t="s">
        <v>38</v>
      </c>
      <c r="G1138" t="s">
        <v>155</v>
      </c>
      <c r="H1138" s="220" t="s">
        <v>35</v>
      </c>
    </row>
    <row r="1139" spans="1:8">
      <c r="A1139">
        <v>3</v>
      </c>
      <c r="B1139" t="s">
        <v>147</v>
      </c>
      <c r="C1139">
        <v>2005</v>
      </c>
      <c r="D1139" t="s">
        <v>11</v>
      </c>
      <c r="E1139" t="s">
        <v>139</v>
      </c>
      <c r="F1139" t="s">
        <v>38</v>
      </c>
      <c r="G1139" t="s">
        <v>156</v>
      </c>
      <c r="H1139" s="220" t="s">
        <v>35</v>
      </c>
    </row>
    <row r="1140" spans="1:8">
      <c r="A1140">
        <v>4</v>
      </c>
      <c r="B1140" t="s">
        <v>148</v>
      </c>
      <c r="C1140">
        <v>2005</v>
      </c>
      <c r="D1140" t="s">
        <v>11</v>
      </c>
      <c r="E1140" t="s">
        <v>139</v>
      </c>
      <c r="F1140" t="s">
        <v>38</v>
      </c>
      <c r="G1140" t="s">
        <v>157</v>
      </c>
      <c r="H1140" s="220" t="s">
        <v>35</v>
      </c>
    </row>
    <row r="1141" spans="1:8">
      <c r="A1141">
        <v>0</v>
      </c>
      <c r="B1141" t="s">
        <v>34</v>
      </c>
      <c r="C1141">
        <v>2005</v>
      </c>
      <c r="D1141" t="s">
        <v>11</v>
      </c>
      <c r="E1141" t="s">
        <v>139</v>
      </c>
      <c r="F1141" t="s">
        <v>38</v>
      </c>
      <c r="G1141" t="s">
        <v>158</v>
      </c>
      <c r="H1141" s="220" t="s">
        <v>35</v>
      </c>
    </row>
    <row r="1142" spans="1:8">
      <c r="A1142">
        <v>1</v>
      </c>
      <c r="B1142" t="s">
        <v>145</v>
      </c>
      <c r="C1142">
        <v>2020</v>
      </c>
      <c r="D1142" t="s">
        <v>12</v>
      </c>
      <c r="E1142" t="s">
        <v>139</v>
      </c>
      <c r="F1142" t="s">
        <v>38</v>
      </c>
      <c r="G1142" t="s">
        <v>154</v>
      </c>
      <c r="H1142" s="220" t="s">
        <v>1206</v>
      </c>
    </row>
    <row r="1143" spans="1:8">
      <c r="A1143">
        <v>2</v>
      </c>
      <c r="B1143" t="s">
        <v>146</v>
      </c>
      <c r="C1143">
        <v>2020</v>
      </c>
      <c r="D1143" t="s">
        <v>12</v>
      </c>
      <c r="E1143" t="s">
        <v>139</v>
      </c>
      <c r="F1143" t="s">
        <v>38</v>
      </c>
      <c r="G1143" t="s">
        <v>155</v>
      </c>
      <c r="H1143" s="220" t="s">
        <v>1207</v>
      </c>
    </row>
    <row r="1144" spans="1:8">
      <c r="A1144">
        <v>3</v>
      </c>
      <c r="B1144" t="s">
        <v>147</v>
      </c>
      <c r="C1144">
        <v>2020</v>
      </c>
      <c r="D1144" t="s">
        <v>12</v>
      </c>
      <c r="E1144" t="s">
        <v>139</v>
      </c>
      <c r="F1144" t="s">
        <v>38</v>
      </c>
      <c r="G1144" t="s">
        <v>156</v>
      </c>
      <c r="H1144" s="220" t="s">
        <v>1208</v>
      </c>
    </row>
    <row r="1145" spans="1:8">
      <c r="A1145">
        <v>4</v>
      </c>
      <c r="B1145" t="s">
        <v>148</v>
      </c>
      <c r="C1145">
        <v>2020</v>
      </c>
      <c r="D1145" t="s">
        <v>12</v>
      </c>
      <c r="E1145" t="s">
        <v>139</v>
      </c>
      <c r="F1145" t="s">
        <v>38</v>
      </c>
      <c r="G1145" t="s">
        <v>157</v>
      </c>
      <c r="H1145" s="220" t="s">
        <v>1209</v>
      </c>
    </row>
    <row r="1146" spans="1:8">
      <c r="A1146">
        <v>0</v>
      </c>
      <c r="B1146" t="s">
        <v>34</v>
      </c>
      <c r="C1146">
        <v>2020</v>
      </c>
      <c r="D1146" t="s">
        <v>12</v>
      </c>
      <c r="E1146" t="s">
        <v>139</v>
      </c>
      <c r="F1146" t="s">
        <v>38</v>
      </c>
      <c r="G1146" t="s">
        <v>158</v>
      </c>
      <c r="H1146" s="220" t="s">
        <v>1210</v>
      </c>
    </row>
    <row r="1147" spans="1:8">
      <c r="A1147">
        <v>1</v>
      </c>
      <c r="B1147" t="s">
        <v>145</v>
      </c>
      <c r="C1147">
        <v>2019</v>
      </c>
      <c r="D1147" t="s">
        <v>12</v>
      </c>
      <c r="E1147" t="s">
        <v>139</v>
      </c>
      <c r="F1147" t="s">
        <v>38</v>
      </c>
      <c r="G1147" t="s">
        <v>154</v>
      </c>
      <c r="H1147" s="220" t="s">
        <v>1211</v>
      </c>
    </row>
    <row r="1148" spans="1:8">
      <c r="A1148">
        <v>2</v>
      </c>
      <c r="B1148" t="s">
        <v>146</v>
      </c>
      <c r="C1148">
        <v>2019</v>
      </c>
      <c r="D1148" t="s">
        <v>12</v>
      </c>
      <c r="E1148" t="s">
        <v>139</v>
      </c>
      <c r="F1148" t="s">
        <v>38</v>
      </c>
      <c r="G1148" t="s">
        <v>155</v>
      </c>
      <c r="H1148" s="220" t="s">
        <v>1212</v>
      </c>
    </row>
    <row r="1149" spans="1:8">
      <c r="A1149">
        <v>3</v>
      </c>
      <c r="B1149" t="s">
        <v>147</v>
      </c>
      <c r="C1149">
        <v>2019</v>
      </c>
      <c r="D1149" t="s">
        <v>12</v>
      </c>
      <c r="E1149" t="s">
        <v>139</v>
      </c>
      <c r="F1149" t="s">
        <v>38</v>
      </c>
      <c r="G1149" t="s">
        <v>156</v>
      </c>
      <c r="H1149" s="220" t="s">
        <v>1213</v>
      </c>
    </row>
    <row r="1150" spans="1:8">
      <c r="A1150">
        <v>4</v>
      </c>
      <c r="B1150" t="s">
        <v>148</v>
      </c>
      <c r="C1150">
        <v>2019</v>
      </c>
      <c r="D1150" t="s">
        <v>12</v>
      </c>
      <c r="E1150" t="s">
        <v>139</v>
      </c>
      <c r="F1150" t="s">
        <v>38</v>
      </c>
      <c r="G1150" t="s">
        <v>157</v>
      </c>
      <c r="H1150" s="220" t="s">
        <v>1214</v>
      </c>
    </row>
    <row r="1151" spans="1:8">
      <c r="A1151">
        <v>0</v>
      </c>
      <c r="B1151" t="s">
        <v>34</v>
      </c>
      <c r="C1151">
        <v>2019</v>
      </c>
      <c r="D1151" t="s">
        <v>12</v>
      </c>
      <c r="E1151" t="s">
        <v>139</v>
      </c>
      <c r="F1151" t="s">
        <v>38</v>
      </c>
      <c r="G1151" t="s">
        <v>158</v>
      </c>
      <c r="H1151" s="220" t="s">
        <v>1215</v>
      </c>
    </row>
    <row r="1152" spans="1:8">
      <c r="A1152">
        <v>1</v>
      </c>
      <c r="B1152" t="s">
        <v>145</v>
      </c>
      <c r="C1152">
        <v>2018</v>
      </c>
      <c r="D1152" t="s">
        <v>12</v>
      </c>
      <c r="E1152" t="s">
        <v>139</v>
      </c>
      <c r="F1152" t="s">
        <v>38</v>
      </c>
      <c r="G1152" t="s">
        <v>154</v>
      </c>
      <c r="H1152" s="220" t="s">
        <v>1216</v>
      </c>
    </row>
    <row r="1153" spans="1:8">
      <c r="A1153">
        <v>2</v>
      </c>
      <c r="B1153" t="s">
        <v>146</v>
      </c>
      <c r="C1153">
        <v>2018</v>
      </c>
      <c r="D1153" t="s">
        <v>12</v>
      </c>
      <c r="E1153" t="s">
        <v>139</v>
      </c>
      <c r="F1153" t="s">
        <v>38</v>
      </c>
      <c r="G1153" t="s">
        <v>155</v>
      </c>
      <c r="H1153" s="220" t="s">
        <v>1217</v>
      </c>
    </row>
    <row r="1154" spans="1:8">
      <c r="A1154">
        <v>3</v>
      </c>
      <c r="B1154" t="s">
        <v>147</v>
      </c>
      <c r="C1154">
        <v>2018</v>
      </c>
      <c r="D1154" t="s">
        <v>12</v>
      </c>
      <c r="E1154" t="s">
        <v>139</v>
      </c>
      <c r="F1154" t="s">
        <v>38</v>
      </c>
      <c r="G1154" t="s">
        <v>156</v>
      </c>
      <c r="H1154" s="220" t="s">
        <v>1218</v>
      </c>
    </row>
    <row r="1155" spans="1:8">
      <c r="A1155">
        <v>4</v>
      </c>
      <c r="B1155" t="s">
        <v>148</v>
      </c>
      <c r="C1155">
        <v>2018</v>
      </c>
      <c r="D1155" t="s">
        <v>12</v>
      </c>
      <c r="E1155" t="s">
        <v>139</v>
      </c>
      <c r="F1155" t="s">
        <v>38</v>
      </c>
      <c r="G1155" t="s">
        <v>157</v>
      </c>
      <c r="H1155" s="220" t="s">
        <v>1219</v>
      </c>
    </row>
    <row r="1156" spans="1:8">
      <c r="A1156">
        <v>0</v>
      </c>
      <c r="B1156" t="s">
        <v>34</v>
      </c>
      <c r="C1156">
        <v>2018</v>
      </c>
      <c r="D1156" t="s">
        <v>12</v>
      </c>
      <c r="E1156" t="s">
        <v>139</v>
      </c>
      <c r="F1156" t="s">
        <v>38</v>
      </c>
      <c r="G1156" t="s">
        <v>158</v>
      </c>
      <c r="H1156" s="220" t="s">
        <v>1220</v>
      </c>
    </row>
    <row r="1157" spans="1:8">
      <c r="A1157">
        <v>1</v>
      </c>
      <c r="B1157" t="s">
        <v>145</v>
      </c>
      <c r="C1157">
        <v>2017</v>
      </c>
      <c r="D1157" t="s">
        <v>12</v>
      </c>
      <c r="E1157" t="s">
        <v>139</v>
      </c>
      <c r="F1157" t="s">
        <v>38</v>
      </c>
      <c r="G1157" t="s">
        <v>154</v>
      </c>
      <c r="H1157" s="220" t="s">
        <v>1221</v>
      </c>
    </row>
    <row r="1158" spans="1:8">
      <c r="A1158">
        <v>2</v>
      </c>
      <c r="B1158" t="s">
        <v>146</v>
      </c>
      <c r="C1158">
        <v>2017</v>
      </c>
      <c r="D1158" t="s">
        <v>12</v>
      </c>
      <c r="E1158" t="s">
        <v>139</v>
      </c>
      <c r="F1158" t="s">
        <v>38</v>
      </c>
      <c r="G1158" t="s">
        <v>155</v>
      </c>
      <c r="H1158" s="220" t="s">
        <v>1222</v>
      </c>
    </row>
    <row r="1159" spans="1:8">
      <c r="A1159">
        <v>3</v>
      </c>
      <c r="B1159" t="s">
        <v>147</v>
      </c>
      <c r="C1159">
        <v>2017</v>
      </c>
      <c r="D1159" t="s">
        <v>12</v>
      </c>
      <c r="E1159" t="s">
        <v>139</v>
      </c>
      <c r="F1159" t="s">
        <v>38</v>
      </c>
      <c r="G1159" t="s">
        <v>156</v>
      </c>
      <c r="H1159" s="220" t="s">
        <v>1223</v>
      </c>
    </row>
    <row r="1160" spans="1:8">
      <c r="A1160">
        <v>4</v>
      </c>
      <c r="B1160" t="s">
        <v>148</v>
      </c>
      <c r="C1160">
        <v>2017</v>
      </c>
      <c r="D1160" t="s">
        <v>12</v>
      </c>
      <c r="E1160" t="s">
        <v>139</v>
      </c>
      <c r="F1160" t="s">
        <v>38</v>
      </c>
      <c r="G1160" t="s">
        <v>157</v>
      </c>
      <c r="H1160" s="220" t="s">
        <v>1224</v>
      </c>
    </row>
    <row r="1161" spans="1:8">
      <c r="A1161">
        <v>0</v>
      </c>
      <c r="B1161" t="s">
        <v>34</v>
      </c>
      <c r="C1161">
        <v>2017</v>
      </c>
      <c r="D1161" t="s">
        <v>12</v>
      </c>
      <c r="E1161" t="s">
        <v>139</v>
      </c>
      <c r="F1161" t="s">
        <v>38</v>
      </c>
      <c r="G1161" t="s">
        <v>158</v>
      </c>
      <c r="H1161" s="220" t="s">
        <v>1225</v>
      </c>
    </row>
    <row r="1162" spans="1:8">
      <c r="A1162">
        <v>1</v>
      </c>
      <c r="B1162" t="s">
        <v>145</v>
      </c>
      <c r="C1162">
        <v>2016</v>
      </c>
      <c r="D1162" t="s">
        <v>12</v>
      </c>
      <c r="E1162" t="s">
        <v>139</v>
      </c>
      <c r="F1162" t="s">
        <v>38</v>
      </c>
      <c r="G1162" t="s">
        <v>154</v>
      </c>
      <c r="H1162" s="220" t="s">
        <v>1226</v>
      </c>
    </row>
    <row r="1163" spans="1:8">
      <c r="A1163">
        <v>2</v>
      </c>
      <c r="B1163" t="s">
        <v>146</v>
      </c>
      <c r="C1163">
        <v>2016</v>
      </c>
      <c r="D1163" t="s">
        <v>12</v>
      </c>
      <c r="E1163" t="s">
        <v>139</v>
      </c>
      <c r="F1163" t="s">
        <v>38</v>
      </c>
      <c r="G1163" t="s">
        <v>155</v>
      </c>
      <c r="H1163" s="220" t="s">
        <v>1227</v>
      </c>
    </row>
    <row r="1164" spans="1:8">
      <c r="A1164">
        <v>3</v>
      </c>
      <c r="B1164" t="s">
        <v>147</v>
      </c>
      <c r="C1164">
        <v>2016</v>
      </c>
      <c r="D1164" t="s">
        <v>12</v>
      </c>
      <c r="E1164" t="s">
        <v>139</v>
      </c>
      <c r="F1164" t="s">
        <v>38</v>
      </c>
      <c r="G1164" t="s">
        <v>156</v>
      </c>
      <c r="H1164" s="220" t="s">
        <v>1228</v>
      </c>
    </row>
    <row r="1165" spans="1:8">
      <c r="A1165">
        <v>4</v>
      </c>
      <c r="B1165" t="s">
        <v>148</v>
      </c>
      <c r="C1165">
        <v>2016</v>
      </c>
      <c r="D1165" t="s">
        <v>12</v>
      </c>
      <c r="E1165" t="s">
        <v>139</v>
      </c>
      <c r="F1165" t="s">
        <v>38</v>
      </c>
      <c r="G1165" t="s">
        <v>157</v>
      </c>
      <c r="H1165" s="220" t="s">
        <v>1229</v>
      </c>
    </row>
    <row r="1166" spans="1:8">
      <c r="A1166">
        <v>0</v>
      </c>
      <c r="B1166" t="s">
        <v>34</v>
      </c>
      <c r="C1166">
        <v>2016</v>
      </c>
      <c r="D1166" t="s">
        <v>12</v>
      </c>
      <c r="E1166" t="s">
        <v>139</v>
      </c>
      <c r="F1166" t="s">
        <v>38</v>
      </c>
      <c r="G1166" t="s">
        <v>158</v>
      </c>
      <c r="H1166" s="220" t="s">
        <v>1230</v>
      </c>
    </row>
    <row r="1167" spans="1:8">
      <c r="A1167">
        <v>1</v>
      </c>
      <c r="B1167" t="s">
        <v>145</v>
      </c>
      <c r="C1167">
        <v>2015</v>
      </c>
      <c r="D1167" t="s">
        <v>12</v>
      </c>
      <c r="E1167" t="s">
        <v>139</v>
      </c>
      <c r="F1167" t="s">
        <v>38</v>
      </c>
      <c r="G1167" t="s">
        <v>154</v>
      </c>
      <c r="H1167" s="220" t="s">
        <v>1231</v>
      </c>
    </row>
    <row r="1168" spans="1:8">
      <c r="A1168">
        <v>2</v>
      </c>
      <c r="B1168" t="s">
        <v>146</v>
      </c>
      <c r="C1168">
        <v>2015</v>
      </c>
      <c r="D1168" t="s">
        <v>12</v>
      </c>
      <c r="E1168" t="s">
        <v>139</v>
      </c>
      <c r="F1168" t="s">
        <v>38</v>
      </c>
      <c r="G1168" t="s">
        <v>155</v>
      </c>
      <c r="H1168" s="220" t="s">
        <v>1232</v>
      </c>
    </row>
    <row r="1169" spans="1:8">
      <c r="A1169">
        <v>3</v>
      </c>
      <c r="B1169" t="s">
        <v>147</v>
      </c>
      <c r="C1169">
        <v>2015</v>
      </c>
      <c r="D1169" t="s">
        <v>12</v>
      </c>
      <c r="E1169" t="s">
        <v>139</v>
      </c>
      <c r="F1169" t="s">
        <v>38</v>
      </c>
      <c r="G1169" t="s">
        <v>156</v>
      </c>
      <c r="H1169" s="220" t="s">
        <v>1135</v>
      </c>
    </row>
    <row r="1170" spans="1:8">
      <c r="A1170">
        <v>4</v>
      </c>
      <c r="B1170" t="s">
        <v>148</v>
      </c>
      <c r="C1170">
        <v>2015</v>
      </c>
      <c r="D1170" t="s">
        <v>12</v>
      </c>
      <c r="E1170" t="s">
        <v>139</v>
      </c>
      <c r="F1170" t="s">
        <v>38</v>
      </c>
      <c r="G1170" t="s">
        <v>157</v>
      </c>
      <c r="H1170" s="220" t="s">
        <v>1233</v>
      </c>
    </row>
    <row r="1171" spans="1:8">
      <c r="A1171">
        <v>0</v>
      </c>
      <c r="B1171" t="s">
        <v>34</v>
      </c>
      <c r="C1171">
        <v>2015</v>
      </c>
      <c r="D1171" t="s">
        <v>12</v>
      </c>
      <c r="E1171" t="s">
        <v>139</v>
      </c>
      <c r="F1171" t="s">
        <v>38</v>
      </c>
      <c r="G1171" t="s">
        <v>158</v>
      </c>
      <c r="H1171" s="220" t="s">
        <v>1234</v>
      </c>
    </row>
    <row r="1172" spans="1:8">
      <c r="A1172">
        <v>1</v>
      </c>
      <c r="B1172" t="s">
        <v>145</v>
      </c>
      <c r="C1172">
        <v>2014</v>
      </c>
      <c r="D1172" t="s">
        <v>12</v>
      </c>
      <c r="E1172" t="s">
        <v>139</v>
      </c>
      <c r="F1172" t="s">
        <v>38</v>
      </c>
      <c r="G1172" t="s">
        <v>154</v>
      </c>
      <c r="H1172" s="220" t="s">
        <v>1235</v>
      </c>
    </row>
    <row r="1173" spans="1:8">
      <c r="A1173">
        <v>2</v>
      </c>
      <c r="B1173" t="s">
        <v>146</v>
      </c>
      <c r="C1173">
        <v>2014</v>
      </c>
      <c r="D1173" t="s">
        <v>12</v>
      </c>
      <c r="E1173" t="s">
        <v>139</v>
      </c>
      <c r="F1173" t="s">
        <v>38</v>
      </c>
      <c r="G1173" t="s">
        <v>155</v>
      </c>
      <c r="H1173" s="220" t="s">
        <v>1236</v>
      </c>
    </row>
    <row r="1174" spans="1:8">
      <c r="A1174">
        <v>3</v>
      </c>
      <c r="B1174" t="s">
        <v>147</v>
      </c>
      <c r="C1174">
        <v>2014</v>
      </c>
      <c r="D1174" t="s">
        <v>12</v>
      </c>
      <c r="E1174" t="s">
        <v>139</v>
      </c>
      <c r="F1174" t="s">
        <v>38</v>
      </c>
      <c r="G1174" t="s">
        <v>156</v>
      </c>
      <c r="H1174" s="220" t="s">
        <v>1237</v>
      </c>
    </row>
    <row r="1175" spans="1:8">
      <c r="A1175">
        <v>4</v>
      </c>
      <c r="B1175" t="s">
        <v>148</v>
      </c>
      <c r="C1175">
        <v>2014</v>
      </c>
      <c r="D1175" t="s">
        <v>12</v>
      </c>
      <c r="E1175" t="s">
        <v>139</v>
      </c>
      <c r="F1175" t="s">
        <v>38</v>
      </c>
      <c r="G1175" t="s">
        <v>157</v>
      </c>
      <c r="H1175" s="220" t="s">
        <v>1238</v>
      </c>
    </row>
    <row r="1176" spans="1:8">
      <c r="A1176">
        <v>0</v>
      </c>
      <c r="B1176" t="s">
        <v>34</v>
      </c>
      <c r="C1176">
        <v>2014</v>
      </c>
      <c r="D1176" t="s">
        <v>12</v>
      </c>
      <c r="E1176" t="s">
        <v>139</v>
      </c>
      <c r="F1176" t="s">
        <v>38</v>
      </c>
      <c r="G1176" t="s">
        <v>158</v>
      </c>
      <c r="H1176" s="220" t="s">
        <v>1239</v>
      </c>
    </row>
    <row r="1177" spans="1:8">
      <c r="A1177">
        <v>1</v>
      </c>
      <c r="B1177" t="s">
        <v>145</v>
      </c>
      <c r="C1177">
        <v>2013</v>
      </c>
      <c r="D1177" t="s">
        <v>12</v>
      </c>
      <c r="E1177" t="s">
        <v>139</v>
      </c>
      <c r="F1177" t="s">
        <v>38</v>
      </c>
      <c r="G1177" t="s">
        <v>154</v>
      </c>
      <c r="H1177" s="220" t="s">
        <v>35</v>
      </c>
    </row>
    <row r="1178" spans="1:8">
      <c r="A1178">
        <v>2</v>
      </c>
      <c r="B1178" t="s">
        <v>146</v>
      </c>
      <c r="C1178">
        <v>2013</v>
      </c>
      <c r="D1178" t="s">
        <v>12</v>
      </c>
      <c r="E1178" t="s">
        <v>139</v>
      </c>
      <c r="F1178" t="s">
        <v>38</v>
      </c>
      <c r="G1178" t="s">
        <v>155</v>
      </c>
      <c r="H1178" s="220" t="s">
        <v>35</v>
      </c>
    </row>
    <row r="1179" spans="1:8">
      <c r="A1179">
        <v>3</v>
      </c>
      <c r="B1179" t="s">
        <v>147</v>
      </c>
      <c r="C1179">
        <v>2013</v>
      </c>
      <c r="D1179" t="s">
        <v>12</v>
      </c>
      <c r="E1179" t="s">
        <v>139</v>
      </c>
      <c r="F1179" t="s">
        <v>38</v>
      </c>
      <c r="G1179" t="s">
        <v>156</v>
      </c>
      <c r="H1179" s="220" t="s">
        <v>35</v>
      </c>
    </row>
    <row r="1180" spans="1:8">
      <c r="A1180">
        <v>4</v>
      </c>
      <c r="B1180" t="s">
        <v>148</v>
      </c>
      <c r="C1180">
        <v>2013</v>
      </c>
      <c r="D1180" t="s">
        <v>12</v>
      </c>
      <c r="E1180" t="s">
        <v>139</v>
      </c>
      <c r="F1180" t="s">
        <v>38</v>
      </c>
      <c r="G1180" t="s">
        <v>157</v>
      </c>
      <c r="H1180" s="220" t="s">
        <v>35</v>
      </c>
    </row>
    <row r="1181" spans="1:8">
      <c r="A1181">
        <v>0</v>
      </c>
      <c r="B1181" t="s">
        <v>34</v>
      </c>
      <c r="C1181">
        <v>2013</v>
      </c>
      <c r="D1181" t="s">
        <v>12</v>
      </c>
      <c r="E1181" t="s">
        <v>139</v>
      </c>
      <c r="F1181" t="s">
        <v>38</v>
      </c>
      <c r="G1181" t="s">
        <v>158</v>
      </c>
      <c r="H1181" s="220" t="s">
        <v>35</v>
      </c>
    </row>
    <row r="1182" spans="1:8">
      <c r="A1182">
        <v>1</v>
      </c>
      <c r="B1182" t="s">
        <v>145</v>
      </c>
      <c r="C1182">
        <v>2012</v>
      </c>
      <c r="D1182" t="s">
        <v>12</v>
      </c>
      <c r="E1182" t="s">
        <v>139</v>
      </c>
      <c r="F1182" t="s">
        <v>38</v>
      </c>
      <c r="G1182" t="s">
        <v>154</v>
      </c>
      <c r="H1182" s="220" t="s">
        <v>35</v>
      </c>
    </row>
    <row r="1183" spans="1:8">
      <c r="A1183">
        <v>2</v>
      </c>
      <c r="B1183" t="s">
        <v>146</v>
      </c>
      <c r="C1183">
        <v>2012</v>
      </c>
      <c r="D1183" t="s">
        <v>12</v>
      </c>
      <c r="E1183" t="s">
        <v>139</v>
      </c>
      <c r="F1183" t="s">
        <v>38</v>
      </c>
      <c r="G1183" t="s">
        <v>155</v>
      </c>
      <c r="H1183" s="220" t="s">
        <v>35</v>
      </c>
    </row>
    <row r="1184" spans="1:8">
      <c r="A1184">
        <v>3</v>
      </c>
      <c r="B1184" t="s">
        <v>147</v>
      </c>
      <c r="C1184">
        <v>2012</v>
      </c>
      <c r="D1184" t="s">
        <v>12</v>
      </c>
      <c r="E1184" t="s">
        <v>139</v>
      </c>
      <c r="F1184" t="s">
        <v>38</v>
      </c>
      <c r="G1184" t="s">
        <v>156</v>
      </c>
      <c r="H1184" s="220" t="s">
        <v>35</v>
      </c>
    </row>
    <row r="1185" spans="1:8">
      <c r="A1185">
        <v>4</v>
      </c>
      <c r="B1185" t="s">
        <v>148</v>
      </c>
      <c r="C1185">
        <v>2012</v>
      </c>
      <c r="D1185" t="s">
        <v>12</v>
      </c>
      <c r="E1185" t="s">
        <v>139</v>
      </c>
      <c r="F1185" t="s">
        <v>38</v>
      </c>
      <c r="G1185" t="s">
        <v>157</v>
      </c>
      <c r="H1185" s="220" t="s">
        <v>35</v>
      </c>
    </row>
    <row r="1186" spans="1:8">
      <c r="A1186">
        <v>0</v>
      </c>
      <c r="B1186" t="s">
        <v>34</v>
      </c>
      <c r="C1186">
        <v>2012</v>
      </c>
      <c r="D1186" t="s">
        <v>12</v>
      </c>
      <c r="E1186" t="s">
        <v>139</v>
      </c>
      <c r="F1186" t="s">
        <v>38</v>
      </c>
      <c r="G1186" t="s">
        <v>158</v>
      </c>
      <c r="H1186" s="220" t="s">
        <v>35</v>
      </c>
    </row>
    <row r="1187" spans="1:8">
      <c r="A1187">
        <v>1</v>
      </c>
      <c r="B1187" t="s">
        <v>145</v>
      </c>
      <c r="C1187">
        <v>2011</v>
      </c>
      <c r="D1187" t="s">
        <v>12</v>
      </c>
      <c r="E1187" t="s">
        <v>139</v>
      </c>
      <c r="F1187" t="s">
        <v>38</v>
      </c>
      <c r="G1187" t="s">
        <v>154</v>
      </c>
      <c r="H1187" s="220" t="s">
        <v>35</v>
      </c>
    </row>
    <row r="1188" spans="1:8">
      <c r="A1188">
        <v>2</v>
      </c>
      <c r="B1188" t="s">
        <v>146</v>
      </c>
      <c r="C1188">
        <v>2011</v>
      </c>
      <c r="D1188" t="s">
        <v>12</v>
      </c>
      <c r="E1188" t="s">
        <v>139</v>
      </c>
      <c r="F1188" t="s">
        <v>38</v>
      </c>
      <c r="G1188" t="s">
        <v>155</v>
      </c>
      <c r="H1188" s="220" t="s">
        <v>35</v>
      </c>
    </row>
    <row r="1189" spans="1:8">
      <c r="A1189">
        <v>3</v>
      </c>
      <c r="B1189" t="s">
        <v>147</v>
      </c>
      <c r="C1189">
        <v>2011</v>
      </c>
      <c r="D1189" t="s">
        <v>12</v>
      </c>
      <c r="E1189" t="s">
        <v>139</v>
      </c>
      <c r="F1189" t="s">
        <v>38</v>
      </c>
      <c r="G1189" t="s">
        <v>156</v>
      </c>
      <c r="H1189" s="220" t="s">
        <v>35</v>
      </c>
    </row>
    <row r="1190" spans="1:8">
      <c r="A1190">
        <v>4</v>
      </c>
      <c r="B1190" t="s">
        <v>148</v>
      </c>
      <c r="C1190">
        <v>2011</v>
      </c>
      <c r="D1190" t="s">
        <v>12</v>
      </c>
      <c r="E1190" t="s">
        <v>139</v>
      </c>
      <c r="F1190" t="s">
        <v>38</v>
      </c>
      <c r="G1190" t="s">
        <v>157</v>
      </c>
      <c r="H1190" s="220" t="s">
        <v>35</v>
      </c>
    </row>
    <row r="1191" spans="1:8">
      <c r="A1191">
        <v>0</v>
      </c>
      <c r="B1191" t="s">
        <v>34</v>
      </c>
      <c r="C1191">
        <v>2011</v>
      </c>
      <c r="D1191" t="s">
        <v>12</v>
      </c>
      <c r="E1191" t="s">
        <v>139</v>
      </c>
      <c r="F1191" t="s">
        <v>38</v>
      </c>
      <c r="G1191" t="s">
        <v>158</v>
      </c>
      <c r="H1191" s="220" t="s">
        <v>35</v>
      </c>
    </row>
    <row r="1192" spans="1:8">
      <c r="A1192">
        <v>1</v>
      </c>
      <c r="B1192" t="s">
        <v>145</v>
      </c>
      <c r="C1192">
        <v>2010</v>
      </c>
      <c r="D1192" t="s">
        <v>12</v>
      </c>
      <c r="E1192" t="s">
        <v>139</v>
      </c>
      <c r="F1192" t="s">
        <v>38</v>
      </c>
      <c r="G1192" t="s">
        <v>154</v>
      </c>
      <c r="H1192" s="220" t="s">
        <v>35</v>
      </c>
    </row>
    <row r="1193" spans="1:8">
      <c r="A1193">
        <v>2</v>
      </c>
      <c r="B1193" t="s">
        <v>146</v>
      </c>
      <c r="C1193">
        <v>2010</v>
      </c>
      <c r="D1193" t="s">
        <v>12</v>
      </c>
      <c r="E1193" t="s">
        <v>139</v>
      </c>
      <c r="F1193" t="s">
        <v>38</v>
      </c>
      <c r="G1193" t="s">
        <v>155</v>
      </c>
      <c r="H1193" s="220" t="s">
        <v>35</v>
      </c>
    </row>
    <row r="1194" spans="1:8">
      <c r="A1194">
        <v>3</v>
      </c>
      <c r="B1194" t="s">
        <v>147</v>
      </c>
      <c r="C1194">
        <v>2010</v>
      </c>
      <c r="D1194" t="s">
        <v>12</v>
      </c>
      <c r="E1194" t="s">
        <v>139</v>
      </c>
      <c r="F1194" t="s">
        <v>38</v>
      </c>
      <c r="G1194" t="s">
        <v>156</v>
      </c>
      <c r="H1194" s="220" t="s">
        <v>35</v>
      </c>
    </row>
    <row r="1195" spans="1:8">
      <c r="A1195">
        <v>4</v>
      </c>
      <c r="B1195" t="s">
        <v>148</v>
      </c>
      <c r="C1195">
        <v>2010</v>
      </c>
      <c r="D1195" t="s">
        <v>12</v>
      </c>
      <c r="E1195" t="s">
        <v>139</v>
      </c>
      <c r="F1195" t="s">
        <v>38</v>
      </c>
      <c r="G1195" t="s">
        <v>157</v>
      </c>
      <c r="H1195" s="220" t="s">
        <v>35</v>
      </c>
    </row>
    <row r="1196" spans="1:8">
      <c r="A1196">
        <v>0</v>
      </c>
      <c r="B1196" t="s">
        <v>34</v>
      </c>
      <c r="C1196">
        <v>2010</v>
      </c>
      <c r="D1196" t="s">
        <v>12</v>
      </c>
      <c r="E1196" t="s">
        <v>139</v>
      </c>
      <c r="F1196" t="s">
        <v>38</v>
      </c>
      <c r="G1196" t="s">
        <v>158</v>
      </c>
      <c r="H1196" s="220" t="s">
        <v>35</v>
      </c>
    </row>
    <row r="1197" spans="1:8">
      <c r="A1197">
        <v>1</v>
      </c>
      <c r="B1197" t="s">
        <v>145</v>
      </c>
      <c r="C1197">
        <v>2005</v>
      </c>
      <c r="D1197" t="s">
        <v>12</v>
      </c>
      <c r="E1197" t="s">
        <v>139</v>
      </c>
      <c r="F1197" t="s">
        <v>38</v>
      </c>
      <c r="G1197" t="s">
        <v>154</v>
      </c>
      <c r="H1197" s="220" t="s">
        <v>35</v>
      </c>
    </row>
    <row r="1198" spans="1:8">
      <c r="A1198">
        <v>2</v>
      </c>
      <c r="B1198" t="s">
        <v>146</v>
      </c>
      <c r="C1198">
        <v>2005</v>
      </c>
      <c r="D1198" t="s">
        <v>12</v>
      </c>
      <c r="E1198" t="s">
        <v>139</v>
      </c>
      <c r="F1198" t="s">
        <v>38</v>
      </c>
      <c r="G1198" t="s">
        <v>155</v>
      </c>
      <c r="H1198" s="220" t="s">
        <v>35</v>
      </c>
    </row>
    <row r="1199" spans="1:8">
      <c r="A1199">
        <v>3</v>
      </c>
      <c r="B1199" t="s">
        <v>147</v>
      </c>
      <c r="C1199">
        <v>2005</v>
      </c>
      <c r="D1199" t="s">
        <v>12</v>
      </c>
      <c r="E1199" t="s">
        <v>139</v>
      </c>
      <c r="F1199" t="s">
        <v>38</v>
      </c>
      <c r="G1199" t="s">
        <v>156</v>
      </c>
      <c r="H1199" s="220" t="s">
        <v>35</v>
      </c>
    </row>
    <row r="1200" spans="1:8">
      <c r="A1200">
        <v>4</v>
      </c>
      <c r="B1200" t="s">
        <v>148</v>
      </c>
      <c r="C1200">
        <v>2005</v>
      </c>
      <c r="D1200" t="s">
        <v>12</v>
      </c>
      <c r="E1200" t="s">
        <v>139</v>
      </c>
      <c r="F1200" t="s">
        <v>38</v>
      </c>
      <c r="G1200" t="s">
        <v>157</v>
      </c>
      <c r="H1200" s="220" t="s">
        <v>35</v>
      </c>
    </row>
    <row r="1201" spans="1:8">
      <c r="A1201">
        <v>0</v>
      </c>
      <c r="B1201" t="s">
        <v>34</v>
      </c>
      <c r="C1201">
        <v>2005</v>
      </c>
      <c r="D1201" t="s">
        <v>12</v>
      </c>
      <c r="E1201" t="s">
        <v>139</v>
      </c>
      <c r="F1201" t="s">
        <v>38</v>
      </c>
      <c r="G1201" t="s">
        <v>158</v>
      </c>
      <c r="H1201" s="220" t="s">
        <v>35</v>
      </c>
    </row>
    <row r="1202" spans="1:8">
      <c r="A1202">
        <v>1</v>
      </c>
      <c r="B1202" t="s">
        <v>145</v>
      </c>
      <c r="C1202">
        <v>2020</v>
      </c>
      <c r="D1202" t="s">
        <v>11</v>
      </c>
      <c r="E1202" t="s">
        <v>7</v>
      </c>
      <c r="F1202" t="s">
        <v>38</v>
      </c>
      <c r="G1202" t="s">
        <v>154</v>
      </c>
      <c r="H1202" s="220" t="s">
        <v>1240</v>
      </c>
    </row>
    <row r="1203" spans="1:8">
      <c r="A1203">
        <v>2</v>
      </c>
      <c r="B1203" t="s">
        <v>146</v>
      </c>
      <c r="C1203">
        <v>2020</v>
      </c>
      <c r="D1203" t="s">
        <v>11</v>
      </c>
      <c r="E1203" t="s">
        <v>7</v>
      </c>
      <c r="F1203" t="s">
        <v>38</v>
      </c>
      <c r="G1203" t="s">
        <v>155</v>
      </c>
      <c r="H1203" s="220" t="s">
        <v>1241</v>
      </c>
    </row>
    <row r="1204" spans="1:8">
      <c r="A1204">
        <v>3</v>
      </c>
      <c r="B1204" t="s">
        <v>147</v>
      </c>
      <c r="C1204">
        <v>2020</v>
      </c>
      <c r="D1204" t="s">
        <v>11</v>
      </c>
      <c r="E1204" t="s">
        <v>7</v>
      </c>
      <c r="F1204" t="s">
        <v>38</v>
      </c>
      <c r="G1204" t="s">
        <v>156</v>
      </c>
      <c r="H1204" s="220" t="s">
        <v>1242</v>
      </c>
    </row>
    <row r="1205" spans="1:8">
      <c r="A1205">
        <v>4</v>
      </c>
      <c r="B1205" t="s">
        <v>148</v>
      </c>
      <c r="C1205">
        <v>2020</v>
      </c>
      <c r="D1205" t="s">
        <v>11</v>
      </c>
      <c r="E1205" t="s">
        <v>7</v>
      </c>
      <c r="F1205" t="s">
        <v>38</v>
      </c>
      <c r="G1205" t="s">
        <v>157</v>
      </c>
      <c r="H1205" s="220" t="s">
        <v>1243</v>
      </c>
    </row>
    <row r="1206" spans="1:8">
      <c r="A1206">
        <v>0</v>
      </c>
      <c r="B1206" t="s">
        <v>34</v>
      </c>
      <c r="C1206">
        <v>2020</v>
      </c>
      <c r="D1206" t="s">
        <v>11</v>
      </c>
      <c r="E1206" t="s">
        <v>7</v>
      </c>
      <c r="F1206" t="s">
        <v>38</v>
      </c>
      <c r="G1206" t="s">
        <v>158</v>
      </c>
      <c r="H1206" s="220" t="s">
        <v>1244</v>
      </c>
    </row>
    <row r="1207" spans="1:8">
      <c r="A1207">
        <v>1</v>
      </c>
      <c r="B1207" t="s">
        <v>145</v>
      </c>
      <c r="C1207">
        <v>2019</v>
      </c>
      <c r="D1207" t="s">
        <v>11</v>
      </c>
      <c r="E1207" t="s">
        <v>7</v>
      </c>
      <c r="F1207" t="s">
        <v>38</v>
      </c>
      <c r="G1207" t="s">
        <v>154</v>
      </c>
      <c r="H1207" s="220" t="s">
        <v>1245</v>
      </c>
    </row>
    <row r="1208" spans="1:8">
      <c r="A1208">
        <v>2</v>
      </c>
      <c r="B1208" t="s">
        <v>146</v>
      </c>
      <c r="C1208">
        <v>2019</v>
      </c>
      <c r="D1208" t="s">
        <v>11</v>
      </c>
      <c r="E1208" t="s">
        <v>7</v>
      </c>
      <c r="F1208" t="s">
        <v>38</v>
      </c>
      <c r="G1208" t="s">
        <v>155</v>
      </c>
      <c r="H1208" s="220" t="s">
        <v>1246</v>
      </c>
    </row>
    <row r="1209" spans="1:8">
      <c r="A1209">
        <v>3</v>
      </c>
      <c r="B1209" t="s">
        <v>147</v>
      </c>
      <c r="C1209">
        <v>2019</v>
      </c>
      <c r="D1209" t="s">
        <v>11</v>
      </c>
      <c r="E1209" t="s">
        <v>7</v>
      </c>
      <c r="F1209" t="s">
        <v>38</v>
      </c>
      <c r="G1209" t="s">
        <v>156</v>
      </c>
      <c r="H1209" s="220" t="s">
        <v>1247</v>
      </c>
    </row>
    <row r="1210" spans="1:8">
      <c r="A1210">
        <v>4</v>
      </c>
      <c r="B1210" t="s">
        <v>148</v>
      </c>
      <c r="C1210">
        <v>2019</v>
      </c>
      <c r="D1210" t="s">
        <v>11</v>
      </c>
      <c r="E1210" t="s">
        <v>7</v>
      </c>
      <c r="F1210" t="s">
        <v>38</v>
      </c>
      <c r="G1210" t="s">
        <v>157</v>
      </c>
      <c r="H1210" s="220" t="s">
        <v>1248</v>
      </c>
    </row>
    <row r="1211" spans="1:8">
      <c r="A1211">
        <v>0</v>
      </c>
      <c r="B1211" t="s">
        <v>34</v>
      </c>
      <c r="C1211">
        <v>2019</v>
      </c>
      <c r="D1211" t="s">
        <v>11</v>
      </c>
      <c r="E1211" t="s">
        <v>7</v>
      </c>
      <c r="F1211" t="s">
        <v>38</v>
      </c>
      <c r="G1211" t="s">
        <v>158</v>
      </c>
      <c r="H1211" s="220" t="s">
        <v>1249</v>
      </c>
    </row>
    <row r="1212" spans="1:8">
      <c r="A1212">
        <v>1</v>
      </c>
      <c r="B1212" t="s">
        <v>145</v>
      </c>
      <c r="C1212">
        <v>2018</v>
      </c>
      <c r="D1212" t="s">
        <v>11</v>
      </c>
      <c r="E1212" t="s">
        <v>7</v>
      </c>
      <c r="F1212" t="s">
        <v>38</v>
      </c>
      <c r="G1212" t="s">
        <v>154</v>
      </c>
      <c r="H1212" s="220" t="s">
        <v>1250</v>
      </c>
    </row>
    <row r="1213" spans="1:8">
      <c r="A1213">
        <v>2</v>
      </c>
      <c r="B1213" t="s">
        <v>146</v>
      </c>
      <c r="C1213">
        <v>2018</v>
      </c>
      <c r="D1213" t="s">
        <v>11</v>
      </c>
      <c r="E1213" t="s">
        <v>7</v>
      </c>
      <c r="F1213" t="s">
        <v>38</v>
      </c>
      <c r="G1213" t="s">
        <v>155</v>
      </c>
      <c r="H1213" s="220" t="s">
        <v>1251</v>
      </c>
    </row>
    <row r="1214" spans="1:8">
      <c r="A1214">
        <v>3</v>
      </c>
      <c r="B1214" t="s">
        <v>147</v>
      </c>
      <c r="C1214">
        <v>2018</v>
      </c>
      <c r="D1214" t="s">
        <v>11</v>
      </c>
      <c r="E1214" t="s">
        <v>7</v>
      </c>
      <c r="F1214" t="s">
        <v>38</v>
      </c>
      <c r="G1214" t="s">
        <v>156</v>
      </c>
      <c r="H1214" s="220" t="s">
        <v>1252</v>
      </c>
    </row>
    <row r="1215" spans="1:8">
      <c r="A1215">
        <v>4</v>
      </c>
      <c r="B1215" t="s">
        <v>148</v>
      </c>
      <c r="C1215">
        <v>2018</v>
      </c>
      <c r="D1215" t="s">
        <v>11</v>
      </c>
      <c r="E1215" t="s">
        <v>7</v>
      </c>
      <c r="F1215" t="s">
        <v>38</v>
      </c>
      <c r="G1215" t="s">
        <v>157</v>
      </c>
      <c r="H1215" s="220" t="s">
        <v>1253</v>
      </c>
    </row>
    <row r="1216" spans="1:8">
      <c r="A1216">
        <v>0</v>
      </c>
      <c r="B1216" t="s">
        <v>34</v>
      </c>
      <c r="C1216">
        <v>2018</v>
      </c>
      <c r="D1216" t="s">
        <v>11</v>
      </c>
      <c r="E1216" t="s">
        <v>7</v>
      </c>
      <c r="F1216" t="s">
        <v>38</v>
      </c>
      <c r="G1216" t="s">
        <v>158</v>
      </c>
      <c r="H1216" s="220" t="s">
        <v>1254</v>
      </c>
    </row>
    <row r="1217" spans="1:8">
      <c r="A1217">
        <v>1</v>
      </c>
      <c r="B1217" t="s">
        <v>145</v>
      </c>
      <c r="C1217">
        <v>2017</v>
      </c>
      <c r="D1217" t="s">
        <v>11</v>
      </c>
      <c r="E1217" t="s">
        <v>7</v>
      </c>
      <c r="F1217" t="s">
        <v>38</v>
      </c>
      <c r="G1217" t="s">
        <v>154</v>
      </c>
      <c r="H1217" s="220" t="s">
        <v>1255</v>
      </c>
    </row>
    <row r="1218" spans="1:8">
      <c r="A1218">
        <v>2</v>
      </c>
      <c r="B1218" t="s">
        <v>146</v>
      </c>
      <c r="C1218">
        <v>2017</v>
      </c>
      <c r="D1218" t="s">
        <v>11</v>
      </c>
      <c r="E1218" t="s">
        <v>7</v>
      </c>
      <c r="F1218" t="s">
        <v>38</v>
      </c>
      <c r="G1218" t="s">
        <v>155</v>
      </c>
      <c r="H1218" s="220" t="s">
        <v>1256</v>
      </c>
    </row>
    <row r="1219" spans="1:8">
      <c r="A1219">
        <v>3</v>
      </c>
      <c r="B1219" t="s">
        <v>147</v>
      </c>
      <c r="C1219">
        <v>2017</v>
      </c>
      <c r="D1219" t="s">
        <v>11</v>
      </c>
      <c r="E1219" t="s">
        <v>7</v>
      </c>
      <c r="F1219" t="s">
        <v>38</v>
      </c>
      <c r="G1219" t="s">
        <v>156</v>
      </c>
      <c r="H1219" s="220" t="s">
        <v>1257</v>
      </c>
    </row>
    <row r="1220" spans="1:8">
      <c r="A1220">
        <v>4</v>
      </c>
      <c r="B1220" t="s">
        <v>148</v>
      </c>
      <c r="C1220">
        <v>2017</v>
      </c>
      <c r="D1220" t="s">
        <v>11</v>
      </c>
      <c r="E1220" t="s">
        <v>7</v>
      </c>
      <c r="F1220" t="s">
        <v>38</v>
      </c>
      <c r="G1220" t="s">
        <v>157</v>
      </c>
      <c r="H1220" s="220" t="s">
        <v>1258</v>
      </c>
    </row>
    <row r="1221" spans="1:8">
      <c r="A1221">
        <v>0</v>
      </c>
      <c r="B1221" t="s">
        <v>34</v>
      </c>
      <c r="C1221">
        <v>2017</v>
      </c>
      <c r="D1221" t="s">
        <v>11</v>
      </c>
      <c r="E1221" t="s">
        <v>7</v>
      </c>
      <c r="F1221" t="s">
        <v>38</v>
      </c>
      <c r="G1221" t="s">
        <v>158</v>
      </c>
      <c r="H1221" s="220" t="s">
        <v>1259</v>
      </c>
    </row>
    <row r="1222" spans="1:8">
      <c r="A1222">
        <v>1</v>
      </c>
      <c r="B1222" t="s">
        <v>145</v>
      </c>
      <c r="C1222">
        <v>2016</v>
      </c>
      <c r="D1222" t="s">
        <v>11</v>
      </c>
      <c r="E1222" t="s">
        <v>7</v>
      </c>
      <c r="F1222" t="s">
        <v>38</v>
      </c>
      <c r="G1222" t="s">
        <v>154</v>
      </c>
      <c r="H1222" s="220" t="s">
        <v>1260</v>
      </c>
    </row>
    <row r="1223" spans="1:8">
      <c r="A1223">
        <v>2</v>
      </c>
      <c r="B1223" t="s">
        <v>146</v>
      </c>
      <c r="C1223">
        <v>2016</v>
      </c>
      <c r="D1223" t="s">
        <v>11</v>
      </c>
      <c r="E1223" t="s">
        <v>7</v>
      </c>
      <c r="F1223" t="s">
        <v>38</v>
      </c>
      <c r="G1223" t="s">
        <v>155</v>
      </c>
      <c r="H1223" s="220" t="s">
        <v>1261</v>
      </c>
    </row>
    <row r="1224" spans="1:8">
      <c r="A1224">
        <v>3</v>
      </c>
      <c r="B1224" t="s">
        <v>147</v>
      </c>
      <c r="C1224">
        <v>2016</v>
      </c>
      <c r="D1224" t="s">
        <v>11</v>
      </c>
      <c r="E1224" t="s">
        <v>7</v>
      </c>
      <c r="F1224" t="s">
        <v>38</v>
      </c>
      <c r="G1224" t="s">
        <v>156</v>
      </c>
      <c r="H1224" s="220" t="s">
        <v>1262</v>
      </c>
    </row>
    <row r="1225" spans="1:8">
      <c r="A1225">
        <v>4</v>
      </c>
      <c r="B1225" t="s">
        <v>148</v>
      </c>
      <c r="C1225">
        <v>2016</v>
      </c>
      <c r="D1225" t="s">
        <v>11</v>
      </c>
      <c r="E1225" t="s">
        <v>7</v>
      </c>
      <c r="F1225" t="s">
        <v>38</v>
      </c>
      <c r="G1225" t="s">
        <v>157</v>
      </c>
      <c r="H1225" s="220" t="s">
        <v>1263</v>
      </c>
    </row>
    <row r="1226" spans="1:8">
      <c r="A1226">
        <v>0</v>
      </c>
      <c r="B1226" t="s">
        <v>34</v>
      </c>
      <c r="C1226">
        <v>2016</v>
      </c>
      <c r="D1226" t="s">
        <v>11</v>
      </c>
      <c r="E1226" t="s">
        <v>7</v>
      </c>
      <c r="F1226" t="s">
        <v>38</v>
      </c>
      <c r="G1226" t="s">
        <v>158</v>
      </c>
      <c r="H1226" s="220" t="s">
        <v>1264</v>
      </c>
    </row>
    <row r="1227" spans="1:8">
      <c r="A1227">
        <v>1</v>
      </c>
      <c r="B1227" t="s">
        <v>145</v>
      </c>
      <c r="C1227">
        <v>2015</v>
      </c>
      <c r="D1227" t="s">
        <v>11</v>
      </c>
      <c r="E1227" t="s">
        <v>7</v>
      </c>
      <c r="F1227" t="s">
        <v>38</v>
      </c>
      <c r="G1227" t="s">
        <v>154</v>
      </c>
      <c r="H1227" s="220" t="s">
        <v>1265</v>
      </c>
    </row>
    <row r="1228" spans="1:8">
      <c r="A1228">
        <v>2</v>
      </c>
      <c r="B1228" t="s">
        <v>146</v>
      </c>
      <c r="C1228">
        <v>2015</v>
      </c>
      <c r="D1228" t="s">
        <v>11</v>
      </c>
      <c r="E1228" t="s">
        <v>7</v>
      </c>
      <c r="F1228" t="s">
        <v>38</v>
      </c>
      <c r="G1228" t="s">
        <v>155</v>
      </c>
      <c r="H1228" s="220" t="s">
        <v>1266</v>
      </c>
    </row>
    <row r="1229" spans="1:8">
      <c r="A1229">
        <v>3</v>
      </c>
      <c r="B1229" t="s">
        <v>147</v>
      </c>
      <c r="C1229">
        <v>2015</v>
      </c>
      <c r="D1229" t="s">
        <v>11</v>
      </c>
      <c r="E1229" t="s">
        <v>7</v>
      </c>
      <c r="F1229" t="s">
        <v>38</v>
      </c>
      <c r="G1229" t="s">
        <v>156</v>
      </c>
      <c r="H1229" s="220" t="s">
        <v>1267</v>
      </c>
    </row>
    <row r="1230" spans="1:8">
      <c r="A1230">
        <v>4</v>
      </c>
      <c r="B1230" t="s">
        <v>148</v>
      </c>
      <c r="C1230">
        <v>2015</v>
      </c>
      <c r="D1230" t="s">
        <v>11</v>
      </c>
      <c r="E1230" t="s">
        <v>7</v>
      </c>
      <c r="F1230" t="s">
        <v>38</v>
      </c>
      <c r="G1230" t="s">
        <v>157</v>
      </c>
      <c r="H1230" s="220" t="s">
        <v>1268</v>
      </c>
    </row>
    <row r="1231" spans="1:8">
      <c r="A1231">
        <v>0</v>
      </c>
      <c r="B1231" t="s">
        <v>34</v>
      </c>
      <c r="C1231">
        <v>2015</v>
      </c>
      <c r="D1231" t="s">
        <v>11</v>
      </c>
      <c r="E1231" t="s">
        <v>7</v>
      </c>
      <c r="F1231" t="s">
        <v>38</v>
      </c>
      <c r="G1231" t="s">
        <v>158</v>
      </c>
      <c r="H1231" s="220" t="s">
        <v>1269</v>
      </c>
    </row>
    <row r="1232" spans="1:8">
      <c r="A1232">
        <v>1</v>
      </c>
      <c r="B1232" t="s">
        <v>145</v>
      </c>
      <c r="C1232">
        <v>2014</v>
      </c>
      <c r="D1232" t="s">
        <v>11</v>
      </c>
      <c r="E1232" t="s">
        <v>7</v>
      </c>
      <c r="F1232" t="s">
        <v>38</v>
      </c>
      <c r="G1232" t="s">
        <v>154</v>
      </c>
      <c r="H1232" s="220" t="s">
        <v>1270</v>
      </c>
    </row>
    <row r="1233" spans="1:8">
      <c r="A1233">
        <v>2</v>
      </c>
      <c r="B1233" t="s">
        <v>146</v>
      </c>
      <c r="C1233">
        <v>2014</v>
      </c>
      <c r="D1233" t="s">
        <v>11</v>
      </c>
      <c r="E1233" t="s">
        <v>7</v>
      </c>
      <c r="F1233" t="s">
        <v>38</v>
      </c>
      <c r="G1233" t="s">
        <v>155</v>
      </c>
      <c r="H1233" s="220" t="s">
        <v>1108</v>
      </c>
    </row>
    <row r="1234" spans="1:8">
      <c r="A1234">
        <v>3</v>
      </c>
      <c r="B1234" t="s">
        <v>147</v>
      </c>
      <c r="C1234">
        <v>2014</v>
      </c>
      <c r="D1234" t="s">
        <v>11</v>
      </c>
      <c r="E1234" t="s">
        <v>7</v>
      </c>
      <c r="F1234" t="s">
        <v>38</v>
      </c>
      <c r="G1234" t="s">
        <v>156</v>
      </c>
      <c r="H1234" s="220" t="s">
        <v>1271</v>
      </c>
    </row>
    <row r="1235" spans="1:8">
      <c r="A1235">
        <v>4</v>
      </c>
      <c r="B1235" t="s">
        <v>148</v>
      </c>
      <c r="C1235">
        <v>2014</v>
      </c>
      <c r="D1235" t="s">
        <v>11</v>
      </c>
      <c r="E1235" t="s">
        <v>7</v>
      </c>
      <c r="F1235" t="s">
        <v>38</v>
      </c>
      <c r="G1235" t="s">
        <v>157</v>
      </c>
      <c r="H1235" s="220" t="s">
        <v>1272</v>
      </c>
    </row>
    <row r="1236" spans="1:8">
      <c r="A1236">
        <v>0</v>
      </c>
      <c r="B1236" t="s">
        <v>34</v>
      </c>
      <c r="C1236">
        <v>2014</v>
      </c>
      <c r="D1236" t="s">
        <v>11</v>
      </c>
      <c r="E1236" t="s">
        <v>7</v>
      </c>
      <c r="F1236" t="s">
        <v>38</v>
      </c>
      <c r="G1236" t="s">
        <v>158</v>
      </c>
      <c r="H1236" s="220" t="s">
        <v>1273</v>
      </c>
    </row>
    <row r="1237" spans="1:8">
      <c r="A1237">
        <v>1</v>
      </c>
      <c r="B1237" t="s">
        <v>145</v>
      </c>
      <c r="C1237">
        <v>2013</v>
      </c>
      <c r="D1237" t="s">
        <v>11</v>
      </c>
      <c r="E1237" t="s">
        <v>7</v>
      </c>
      <c r="F1237" t="s">
        <v>38</v>
      </c>
      <c r="G1237" t="s">
        <v>154</v>
      </c>
      <c r="H1237" s="220" t="s">
        <v>1274</v>
      </c>
    </row>
    <row r="1238" spans="1:8">
      <c r="A1238">
        <v>2</v>
      </c>
      <c r="B1238" t="s">
        <v>146</v>
      </c>
      <c r="C1238">
        <v>2013</v>
      </c>
      <c r="D1238" t="s">
        <v>11</v>
      </c>
      <c r="E1238" t="s">
        <v>7</v>
      </c>
      <c r="F1238" t="s">
        <v>38</v>
      </c>
      <c r="G1238" t="s">
        <v>155</v>
      </c>
      <c r="H1238" s="220" t="s">
        <v>1275</v>
      </c>
    </row>
    <row r="1239" spans="1:8">
      <c r="A1239">
        <v>3</v>
      </c>
      <c r="B1239" t="s">
        <v>147</v>
      </c>
      <c r="C1239">
        <v>2013</v>
      </c>
      <c r="D1239" t="s">
        <v>11</v>
      </c>
      <c r="E1239" t="s">
        <v>7</v>
      </c>
      <c r="F1239" t="s">
        <v>38</v>
      </c>
      <c r="G1239" t="s">
        <v>156</v>
      </c>
      <c r="H1239" s="220" t="s">
        <v>1276</v>
      </c>
    </row>
    <row r="1240" spans="1:8">
      <c r="A1240">
        <v>4</v>
      </c>
      <c r="B1240" t="s">
        <v>148</v>
      </c>
      <c r="C1240">
        <v>2013</v>
      </c>
      <c r="D1240" t="s">
        <v>11</v>
      </c>
      <c r="E1240" t="s">
        <v>7</v>
      </c>
      <c r="F1240" t="s">
        <v>38</v>
      </c>
      <c r="G1240" t="s">
        <v>157</v>
      </c>
      <c r="H1240" s="220" t="s">
        <v>1277</v>
      </c>
    </row>
    <row r="1241" spans="1:8">
      <c r="A1241">
        <v>0</v>
      </c>
      <c r="B1241" t="s">
        <v>34</v>
      </c>
      <c r="C1241">
        <v>2013</v>
      </c>
      <c r="D1241" t="s">
        <v>11</v>
      </c>
      <c r="E1241" t="s">
        <v>7</v>
      </c>
      <c r="F1241" t="s">
        <v>38</v>
      </c>
      <c r="G1241" t="s">
        <v>158</v>
      </c>
      <c r="H1241" s="220" t="s">
        <v>1278</v>
      </c>
    </row>
    <row r="1242" spans="1:8">
      <c r="A1242">
        <v>1</v>
      </c>
      <c r="B1242" t="s">
        <v>145</v>
      </c>
      <c r="C1242">
        <v>2012</v>
      </c>
      <c r="D1242" t="s">
        <v>11</v>
      </c>
      <c r="E1242" t="s">
        <v>7</v>
      </c>
      <c r="F1242" t="s">
        <v>38</v>
      </c>
      <c r="G1242" t="s">
        <v>154</v>
      </c>
      <c r="H1242" s="220" t="s">
        <v>1279</v>
      </c>
    </row>
    <row r="1243" spans="1:8">
      <c r="A1243">
        <v>2</v>
      </c>
      <c r="B1243" t="s">
        <v>146</v>
      </c>
      <c r="C1243">
        <v>2012</v>
      </c>
      <c r="D1243" t="s">
        <v>11</v>
      </c>
      <c r="E1243" t="s">
        <v>7</v>
      </c>
      <c r="F1243" t="s">
        <v>38</v>
      </c>
      <c r="G1243" t="s">
        <v>155</v>
      </c>
      <c r="H1243" s="220" t="s">
        <v>1280</v>
      </c>
    </row>
    <row r="1244" spans="1:8">
      <c r="A1244">
        <v>3</v>
      </c>
      <c r="B1244" t="s">
        <v>147</v>
      </c>
      <c r="C1244">
        <v>2012</v>
      </c>
      <c r="D1244" t="s">
        <v>11</v>
      </c>
      <c r="E1244" t="s">
        <v>7</v>
      </c>
      <c r="F1244" t="s">
        <v>38</v>
      </c>
      <c r="G1244" t="s">
        <v>156</v>
      </c>
      <c r="H1244" s="220" t="s">
        <v>1281</v>
      </c>
    </row>
    <row r="1245" spans="1:8">
      <c r="A1245">
        <v>4</v>
      </c>
      <c r="B1245" t="s">
        <v>148</v>
      </c>
      <c r="C1245">
        <v>2012</v>
      </c>
      <c r="D1245" t="s">
        <v>11</v>
      </c>
      <c r="E1245" t="s">
        <v>7</v>
      </c>
      <c r="F1245" t="s">
        <v>38</v>
      </c>
      <c r="G1245" t="s">
        <v>157</v>
      </c>
      <c r="H1245" s="220" t="s">
        <v>1282</v>
      </c>
    </row>
    <row r="1246" spans="1:8">
      <c r="A1246">
        <v>0</v>
      </c>
      <c r="B1246" t="s">
        <v>34</v>
      </c>
      <c r="C1246">
        <v>2012</v>
      </c>
      <c r="D1246" t="s">
        <v>11</v>
      </c>
      <c r="E1246" t="s">
        <v>7</v>
      </c>
      <c r="F1246" t="s">
        <v>38</v>
      </c>
      <c r="G1246" t="s">
        <v>158</v>
      </c>
      <c r="H1246" s="220" t="s">
        <v>1283</v>
      </c>
    </row>
    <row r="1247" spans="1:8">
      <c r="A1247">
        <v>1</v>
      </c>
      <c r="B1247" t="s">
        <v>145</v>
      </c>
      <c r="C1247">
        <v>2011</v>
      </c>
      <c r="D1247" t="s">
        <v>11</v>
      </c>
      <c r="E1247" t="s">
        <v>7</v>
      </c>
      <c r="F1247" t="s">
        <v>38</v>
      </c>
      <c r="G1247" t="s">
        <v>154</v>
      </c>
      <c r="H1247" s="220" t="s">
        <v>1284</v>
      </c>
    </row>
    <row r="1248" spans="1:8">
      <c r="A1248">
        <v>2</v>
      </c>
      <c r="B1248" t="s">
        <v>146</v>
      </c>
      <c r="C1248">
        <v>2011</v>
      </c>
      <c r="D1248" t="s">
        <v>11</v>
      </c>
      <c r="E1248" t="s">
        <v>7</v>
      </c>
      <c r="F1248" t="s">
        <v>38</v>
      </c>
      <c r="G1248" t="s">
        <v>155</v>
      </c>
      <c r="H1248" s="220" t="s">
        <v>1285</v>
      </c>
    </row>
    <row r="1249" spans="1:8">
      <c r="A1249">
        <v>3</v>
      </c>
      <c r="B1249" t="s">
        <v>147</v>
      </c>
      <c r="C1249">
        <v>2011</v>
      </c>
      <c r="D1249" t="s">
        <v>11</v>
      </c>
      <c r="E1249" t="s">
        <v>7</v>
      </c>
      <c r="F1249" t="s">
        <v>38</v>
      </c>
      <c r="G1249" t="s">
        <v>156</v>
      </c>
      <c r="H1249" s="220" t="s">
        <v>1286</v>
      </c>
    </row>
    <row r="1250" spans="1:8">
      <c r="A1250">
        <v>4</v>
      </c>
      <c r="B1250" t="s">
        <v>148</v>
      </c>
      <c r="C1250">
        <v>2011</v>
      </c>
      <c r="D1250" t="s">
        <v>11</v>
      </c>
      <c r="E1250" t="s">
        <v>7</v>
      </c>
      <c r="F1250" t="s">
        <v>38</v>
      </c>
      <c r="G1250" t="s">
        <v>157</v>
      </c>
      <c r="H1250" s="220" t="s">
        <v>1287</v>
      </c>
    </row>
    <row r="1251" spans="1:8">
      <c r="A1251">
        <v>0</v>
      </c>
      <c r="B1251" t="s">
        <v>34</v>
      </c>
      <c r="C1251">
        <v>2011</v>
      </c>
      <c r="D1251" t="s">
        <v>11</v>
      </c>
      <c r="E1251" t="s">
        <v>7</v>
      </c>
      <c r="F1251" t="s">
        <v>38</v>
      </c>
      <c r="G1251" t="s">
        <v>158</v>
      </c>
      <c r="H1251" s="220" t="s">
        <v>1288</v>
      </c>
    </row>
    <row r="1252" spans="1:8">
      <c r="A1252">
        <v>1</v>
      </c>
      <c r="B1252" t="s">
        <v>145</v>
      </c>
      <c r="C1252">
        <v>2010</v>
      </c>
      <c r="D1252" t="s">
        <v>11</v>
      </c>
      <c r="E1252" t="s">
        <v>7</v>
      </c>
      <c r="F1252" t="s">
        <v>38</v>
      </c>
      <c r="G1252" t="s">
        <v>154</v>
      </c>
      <c r="H1252" s="220" t="s">
        <v>1289</v>
      </c>
    </row>
    <row r="1253" spans="1:8">
      <c r="A1253">
        <v>2</v>
      </c>
      <c r="B1253" t="s">
        <v>146</v>
      </c>
      <c r="C1253">
        <v>2010</v>
      </c>
      <c r="D1253" t="s">
        <v>11</v>
      </c>
      <c r="E1253" t="s">
        <v>7</v>
      </c>
      <c r="F1253" t="s">
        <v>38</v>
      </c>
      <c r="G1253" t="s">
        <v>155</v>
      </c>
      <c r="H1253" s="220" t="s">
        <v>1290</v>
      </c>
    </row>
    <row r="1254" spans="1:8">
      <c r="A1254">
        <v>3</v>
      </c>
      <c r="B1254" t="s">
        <v>147</v>
      </c>
      <c r="C1254">
        <v>2010</v>
      </c>
      <c r="D1254" t="s">
        <v>11</v>
      </c>
      <c r="E1254" t="s">
        <v>7</v>
      </c>
      <c r="F1254" t="s">
        <v>38</v>
      </c>
      <c r="G1254" t="s">
        <v>156</v>
      </c>
      <c r="H1254" s="220" t="s">
        <v>1291</v>
      </c>
    </row>
    <row r="1255" spans="1:8">
      <c r="A1255">
        <v>4</v>
      </c>
      <c r="B1255" t="s">
        <v>148</v>
      </c>
      <c r="C1255">
        <v>2010</v>
      </c>
      <c r="D1255" t="s">
        <v>11</v>
      </c>
      <c r="E1255" t="s">
        <v>7</v>
      </c>
      <c r="F1255" t="s">
        <v>38</v>
      </c>
      <c r="G1255" t="s">
        <v>157</v>
      </c>
      <c r="H1255" s="220" t="s">
        <v>1292</v>
      </c>
    </row>
    <row r="1256" spans="1:8">
      <c r="A1256">
        <v>0</v>
      </c>
      <c r="B1256" t="s">
        <v>34</v>
      </c>
      <c r="C1256">
        <v>2010</v>
      </c>
      <c r="D1256" t="s">
        <v>11</v>
      </c>
      <c r="E1256" t="s">
        <v>7</v>
      </c>
      <c r="F1256" t="s">
        <v>38</v>
      </c>
      <c r="G1256" t="s">
        <v>158</v>
      </c>
      <c r="H1256" s="220" t="s">
        <v>1293</v>
      </c>
    </row>
    <row r="1257" spans="1:8">
      <c r="A1257">
        <v>1</v>
      </c>
      <c r="B1257" t="s">
        <v>145</v>
      </c>
      <c r="C1257">
        <v>2005</v>
      </c>
      <c r="D1257" t="s">
        <v>11</v>
      </c>
      <c r="E1257" t="s">
        <v>7</v>
      </c>
      <c r="F1257" t="s">
        <v>38</v>
      </c>
      <c r="G1257" t="s">
        <v>154</v>
      </c>
      <c r="H1257" s="220" t="s">
        <v>1294</v>
      </c>
    </row>
    <row r="1258" spans="1:8">
      <c r="A1258">
        <v>2</v>
      </c>
      <c r="B1258" t="s">
        <v>146</v>
      </c>
      <c r="C1258">
        <v>2005</v>
      </c>
      <c r="D1258" t="s">
        <v>11</v>
      </c>
      <c r="E1258" t="s">
        <v>7</v>
      </c>
      <c r="F1258" t="s">
        <v>38</v>
      </c>
      <c r="G1258" t="s">
        <v>155</v>
      </c>
      <c r="H1258" s="220" t="s">
        <v>1295</v>
      </c>
    </row>
    <row r="1259" spans="1:8">
      <c r="A1259">
        <v>3</v>
      </c>
      <c r="B1259" t="s">
        <v>147</v>
      </c>
      <c r="C1259">
        <v>2005</v>
      </c>
      <c r="D1259" t="s">
        <v>11</v>
      </c>
      <c r="E1259" t="s">
        <v>7</v>
      </c>
      <c r="F1259" t="s">
        <v>38</v>
      </c>
      <c r="G1259" t="s">
        <v>156</v>
      </c>
      <c r="H1259" s="220" t="s">
        <v>1296</v>
      </c>
    </row>
    <row r="1260" spans="1:8">
      <c r="A1260">
        <v>4</v>
      </c>
      <c r="B1260" t="s">
        <v>148</v>
      </c>
      <c r="C1260">
        <v>2005</v>
      </c>
      <c r="D1260" t="s">
        <v>11</v>
      </c>
      <c r="E1260" t="s">
        <v>7</v>
      </c>
      <c r="F1260" t="s">
        <v>38</v>
      </c>
      <c r="G1260" t="s">
        <v>157</v>
      </c>
      <c r="H1260" s="220" t="s">
        <v>1297</v>
      </c>
    </row>
    <row r="1261" spans="1:8">
      <c r="A1261">
        <v>0</v>
      </c>
      <c r="B1261" t="s">
        <v>34</v>
      </c>
      <c r="C1261">
        <v>2005</v>
      </c>
      <c r="D1261" t="s">
        <v>11</v>
      </c>
      <c r="E1261" t="s">
        <v>7</v>
      </c>
      <c r="F1261" t="s">
        <v>38</v>
      </c>
      <c r="G1261" t="s">
        <v>158</v>
      </c>
      <c r="H1261" s="220" t="s">
        <v>1298</v>
      </c>
    </row>
    <row r="1262" spans="1:8">
      <c r="A1262">
        <v>1</v>
      </c>
      <c r="B1262" t="s">
        <v>145</v>
      </c>
      <c r="C1262">
        <v>2020</v>
      </c>
      <c r="D1262" t="s">
        <v>12</v>
      </c>
      <c r="E1262" t="s">
        <v>7</v>
      </c>
      <c r="F1262" t="s">
        <v>38</v>
      </c>
      <c r="G1262" t="s">
        <v>154</v>
      </c>
      <c r="H1262" s="220" t="s">
        <v>1299</v>
      </c>
    </row>
    <row r="1263" spans="1:8">
      <c r="A1263">
        <v>2</v>
      </c>
      <c r="B1263" t="s">
        <v>146</v>
      </c>
      <c r="C1263">
        <v>2020</v>
      </c>
      <c r="D1263" t="s">
        <v>12</v>
      </c>
      <c r="E1263" t="s">
        <v>7</v>
      </c>
      <c r="F1263" t="s">
        <v>38</v>
      </c>
      <c r="G1263" t="s">
        <v>155</v>
      </c>
      <c r="H1263" s="220" t="s">
        <v>1039</v>
      </c>
    </row>
    <row r="1264" spans="1:8">
      <c r="A1264">
        <v>3</v>
      </c>
      <c r="B1264" t="s">
        <v>147</v>
      </c>
      <c r="C1264">
        <v>2020</v>
      </c>
      <c r="D1264" t="s">
        <v>12</v>
      </c>
      <c r="E1264" t="s">
        <v>7</v>
      </c>
      <c r="F1264" t="s">
        <v>38</v>
      </c>
      <c r="G1264" t="s">
        <v>156</v>
      </c>
      <c r="H1264" s="220" t="s">
        <v>1033</v>
      </c>
    </row>
    <row r="1265" spans="1:8">
      <c r="A1265">
        <v>4</v>
      </c>
      <c r="B1265" t="s">
        <v>148</v>
      </c>
      <c r="C1265">
        <v>2020</v>
      </c>
      <c r="D1265" t="s">
        <v>12</v>
      </c>
      <c r="E1265" t="s">
        <v>7</v>
      </c>
      <c r="F1265" t="s">
        <v>38</v>
      </c>
      <c r="G1265" t="s">
        <v>157</v>
      </c>
      <c r="H1265" s="220" t="s">
        <v>1300</v>
      </c>
    </row>
    <row r="1266" spans="1:8">
      <c r="A1266">
        <v>0</v>
      </c>
      <c r="B1266" t="s">
        <v>34</v>
      </c>
      <c r="C1266">
        <v>2020</v>
      </c>
      <c r="D1266" t="s">
        <v>12</v>
      </c>
      <c r="E1266" t="s">
        <v>7</v>
      </c>
      <c r="F1266" t="s">
        <v>38</v>
      </c>
      <c r="G1266" t="s">
        <v>158</v>
      </c>
      <c r="H1266" s="220" t="s">
        <v>1301</v>
      </c>
    </row>
    <row r="1267" spans="1:8">
      <c r="A1267">
        <v>1</v>
      </c>
      <c r="B1267" t="s">
        <v>145</v>
      </c>
      <c r="C1267">
        <v>2019</v>
      </c>
      <c r="D1267" t="s">
        <v>12</v>
      </c>
      <c r="E1267" t="s">
        <v>7</v>
      </c>
      <c r="F1267" t="s">
        <v>38</v>
      </c>
      <c r="G1267" t="s">
        <v>154</v>
      </c>
      <c r="H1267" s="220" t="s">
        <v>1038</v>
      </c>
    </row>
    <row r="1268" spans="1:8">
      <c r="A1268">
        <v>2</v>
      </c>
      <c r="B1268" t="s">
        <v>146</v>
      </c>
      <c r="C1268">
        <v>2019</v>
      </c>
      <c r="D1268" t="s">
        <v>12</v>
      </c>
      <c r="E1268" t="s">
        <v>7</v>
      </c>
      <c r="F1268" t="s">
        <v>38</v>
      </c>
      <c r="G1268" t="s">
        <v>155</v>
      </c>
      <c r="H1268" s="220" t="s">
        <v>1302</v>
      </c>
    </row>
    <row r="1269" spans="1:8">
      <c r="A1269">
        <v>3</v>
      </c>
      <c r="B1269" t="s">
        <v>147</v>
      </c>
      <c r="C1269">
        <v>2019</v>
      </c>
      <c r="D1269" t="s">
        <v>12</v>
      </c>
      <c r="E1269" t="s">
        <v>7</v>
      </c>
      <c r="F1269" t="s">
        <v>38</v>
      </c>
      <c r="G1269" t="s">
        <v>156</v>
      </c>
      <c r="H1269" s="220" t="s">
        <v>1303</v>
      </c>
    </row>
    <row r="1270" spans="1:8">
      <c r="A1270">
        <v>4</v>
      </c>
      <c r="B1270" t="s">
        <v>148</v>
      </c>
      <c r="C1270">
        <v>2019</v>
      </c>
      <c r="D1270" t="s">
        <v>12</v>
      </c>
      <c r="E1270" t="s">
        <v>7</v>
      </c>
      <c r="F1270" t="s">
        <v>38</v>
      </c>
      <c r="G1270" t="s">
        <v>157</v>
      </c>
      <c r="H1270" s="220" t="s">
        <v>1304</v>
      </c>
    </row>
    <row r="1271" spans="1:8">
      <c r="A1271">
        <v>0</v>
      </c>
      <c r="B1271" t="s">
        <v>34</v>
      </c>
      <c r="C1271">
        <v>2019</v>
      </c>
      <c r="D1271" t="s">
        <v>12</v>
      </c>
      <c r="E1271" t="s">
        <v>7</v>
      </c>
      <c r="F1271" t="s">
        <v>38</v>
      </c>
      <c r="G1271" t="s">
        <v>158</v>
      </c>
      <c r="H1271" s="220" t="s">
        <v>1305</v>
      </c>
    </row>
    <row r="1272" spans="1:8">
      <c r="A1272">
        <v>1</v>
      </c>
      <c r="B1272" t="s">
        <v>145</v>
      </c>
      <c r="C1272">
        <v>2018</v>
      </c>
      <c r="D1272" t="s">
        <v>12</v>
      </c>
      <c r="E1272" t="s">
        <v>7</v>
      </c>
      <c r="F1272" t="s">
        <v>38</v>
      </c>
      <c r="G1272" t="s">
        <v>154</v>
      </c>
      <c r="H1272" s="220" t="s">
        <v>1306</v>
      </c>
    </row>
    <row r="1273" spans="1:8">
      <c r="A1273">
        <v>2</v>
      </c>
      <c r="B1273" t="s">
        <v>146</v>
      </c>
      <c r="C1273">
        <v>2018</v>
      </c>
      <c r="D1273" t="s">
        <v>12</v>
      </c>
      <c r="E1273" t="s">
        <v>7</v>
      </c>
      <c r="F1273" t="s">
        <v>38</v>
      </c>
      <c r="G1273" t="s">
        <v>155</v>
      </c>
      <c r="H1273" s="220" t="s">
        <v>1005</v>
      </c>
    </row>
    <row r="1274" spans="1:8">
      <c r="A1274">
        <v>3</v>
      </c>
      <c r="B1274" t="s">
        <v>147</v>
      </c>
      <c r="C1274">
        <v>2018</v>
      </c>
      <c r="D1274" t="s">
        <v>12</v>
      </c>
      <c r="E1274" t="s">
        <v>7</v>
      </c>
      <c r="F1274" t="s">
        <v>38</v>
      </c>
      <c r="G1274" t="s">
        <v>156</v>
      </c>
      <c r="H1274" s="220" t="s">
        <v>1307</v>
      </c>
    </row>
    <row r="1275" spans="1:8">
      <c r="A1275">
        <v>4</v>
      </c>
      <c r="B1275" t="s">
        <v>148</v>
      </c>
      <c r="C1275">
        <v>2018</v>
      </c>
      <c r="D1275" t="s">
        <v>12</v>
      </c>
      <c r="E1275" t="s">
        <v>7</v>
      </c>
      <c r="F1275" t="s">
        <v>38</v>
      </c>
      <c r="G1275" t="s">
        <v>157</v>
      </c>
      <c r="H1275" s="220" t="s">
        <v>1025</v>
      </c>
    </row>
    <row r="1276" spans="1:8">
      <c r="A1276">
        <v>0</v>
      </c>
      <c r="B1276" t="s">
        <v>34</v>
      </c>
      <c r="C1276">
        <v>2018</v>
      </c>
      <c r="D1276" t="s">
        <v>12</v>
      </c>
      <c r="E1276" t="s">
        <v>7</v>
      </c>
      <c r="F1276" t="s">
        <v>38</v>
      </c>
      <c r="G1276" t="s">
        <v>158</v>
      </c>
      <c r="H1276" s="220" t="s">
        <v>1308</v>
      </c>
    </row>
    <row r="1277" spans="1:8">
      <c r="A1277">
        <v>1</v>
      </c>
      <c r="B1277" t="s">
        <v>145</v>
      </c>
      <c r="C1277">
        <v>2017</v>
      </c>
      <c r="D1277" t="s">
        <v>12</v>
      </c>
      <c r="E1277" t="s">
        <v>7</v>
      </c>
      <c r="F1277" t="s">
        <v>38</v>
      </c>
      <c r="G1277" t="s">
        <v>154</v>
      </c>
      <c r="H1277" s="220" t="s">
        <v>1309</v>
      </c>
    </row>
    <row r="1278" spans="1:8">
      <c r="A1278">
        <v>2</v>
      </c>
      <c r="B1278" t="s">
        <v>146</v>
      </c>
      <c r="C1278">
        <v>2017</v>
      </c>
      <c r="D1278" t="s">
        <v>12</v>
      </c>
      <c r="E1278" t="s">
        <v>7</v>
      </c>
      <c r="F1278" t="s">
        <v>38</v>
      </c>
      <c r="G1278" t="s">
        <v>155</v>
      </c>
      <c r="H1278" s="220" t="s">
        <v>1310</v>
      </c>
    </row>
    <row r="1279" spans="1:8">
      <c r="A1279">
        <v>3</v>
      </c>
      <c r="B1279" t="s">
        <v>147</v>
      </c>
      <c r="C1279">
        <v>2017</v>
      </c>
      <c r="D1279" t="s">
        <v>12</v>
      </c>
      <c r="E1279" t="s">
        <v>7</v>
      </c>
      <c r="F1279" t="s">
        <v>38</v>
      </c>
      <c r="G1279" t="s">
        <v>156</v>
      </c>
      <c r="H1279" s="220" t="s">
        <v>1311</v>
      </c>
    </row>
    <row r="1280" spans="1:8">
      <c r="A1280">
        <v>4</v>
      </c>
      <c r="B1280" t="s">
        <v>148</v>
      </c>
      <c r="C1280">
        <v>2017</v>
      </c>
      <c r="D1280" t="s">
        <v>12</v>
      </c>
      <c r="E1280" t="s">
        <v>7</v>
      </c>
      <c r="F1280" t="s">
        <v>38</v>
      </c>
      <c r="G1280" t="s">
        <v>157</v>
      </c>
      <c r="H1280" s="220" t="s">
        <v>1312</v>
      </c>
    </row>
    <row r="1281" spans="1:8">
      <c r="A1281">
        <v>0</v>
      </c>
      <c r="B1281" t="s">
        <v>34</v>
      </c>
      <c r="C1281">
        <v>2017</v>
      </c>
      <c r="D1281" t="s">
        <v>12</v>
      </c>
      <c r="E1281" t="s">
        <v>7</v>
      </c>
      <c r="F1281" t="s">
        <v>38</v>
      </c>
      <c r="G1281" t="s">
        <v>158</v>
      </c>
      <c r="H1281" s="220" t="s">
        <v>1313</v>
      </c>
    </row>
    <row r="1282" spans="1:8">
      <c r="A1282">
        <v>1</v>
      </c>
      <c r="B1282" t="s">
        <v>145</v>
      </c>
      <c r="C1282">
        <v>2016</v>
      </c>
      <c r="D1282" t="s">
        <v>12</v>
      </c>
      <c r="E1282" t="s">
        <v>7</v>
      </c>
      <c r="F1282" t="s">
        <v>38</v>
      </c>
      <c r="G1282" t="s">
        <v>154</v>
      </c>
      <c r="H1282" s="220" t="s">
        <v>1238</v>
      </c>
    </row>
    <row r="1283" spans="1:8">
      <c r="A1283">
        <v>2</v>
      </c>
      <c r="B1283" t="s">
        <v>146</v>
      </c>
      <c r="C1283">
        <v>2016</v>
      </c>
      <c r="D1283" t="s">
        <v>12</v>
      </c>
      <c r="E1283" t="s">
        <v>7</v>
      </c>
      <c r="F1283" t="s">
        <v>38</v>
      </c>
      <c r="G1283" t="s">
        <v>155</v>
      </c>
      <c r="H1283" s="220" t="s">
        <v>1314</v>
      </c>
    </row>
    <row r="1284" spans="1:8">
      <c r="A1284">
        <v>3</v>
      </c>
      <c r="B1284" t="s">
        <v>147</v>
      </c>
      <c r="C1284">
        <v>2016</v>
      </c>
      <c r="D1284" t="s">
        <v>12</v>
      </c>
      <c r="E1284" t="s">
        <v>7</v>
      </c>
      <c r="F1284" t="s">
        <v>38</v>
      </c>
      <c r="G1284" t="s">
        <v>156</v>
      </c>
      <c r="H1284" s="220" t="s">
        <v>1315</v>
      </c>
    </row>
    <row r="1285" spans="1:8">
      <c r="A1285">
        <v>4</v>
      </c>
      <c r="B1285" t="s">
        <v>148</v>
      </c>
      <c r="C1285">
        <v>2016</v>
      </c>
      <c r="D1285" t="s">
        <v>12</v>
      </c>
      <c r="E1285" t="s">
        <v>7</v>
      </c>
      <c r="F1285" t="s">
        <v>38</v>
      </c>
      <c r="G1285" t="s">
        <v>157</v>
      </c>
      <c r="H1285" s="220" t="s">
        <v>1316</v>
      </c>
    </row>
    <row r="1286" spans="1:8">
      <c r="A1286">
        <v>0</v>
      </c>
      <c r="B1286" t="s">
        <v>34</v>
      </c>
      <c r="C1286">
        <v>2016</v>
      </c>
      <c r="D1286" t="s">
        <v>12</v>
      </c>
      <c r="E1286" t="s">
        <v>7</v>
      </c>
      <c r="F1286" t="s">
        <v>38</v>
      </c>
      <c r="G1286" t="s">
        <v>158</v>
      </c>
      <c r="H1286" s="220" t="s">
        <v>1317</v>
      </c>
    </row>
    <row r="1287" spans="1:8">
      <c r="A1287">
        <v>1</v>
      </c>
      <c r="B1287" t="s">
        <v>145</v>
      </c>
      <c r="C1287">
        <v>2015</v>
      </c>
      <c r="D1287" t="s">
        <v>12</v>
      </c>
      <c r="E1287" t="s">
        <v>7</v>
      </c>
      <c r="F1287" t="s">
        <v>38</v>
      </c>
      <c r="G1287" t="s">
        <v>154</v>
      </c>
      <c r="H1287" s="220" t="s">
        <v>1315</v>
      </c>
    </row>
    <row r="1288" spans="1:8">
      <c r="A1288">
        <v>2</v>
      </c>
      <c r="B1288" t="s">
        <v>146</v>
      </c>
      <c r="C1288">
        <v>2015</v>
      </c>
      <c r="D1288" t="s">
        <v>12</v>
      </c>
      <c r="E1288" t="s">
        <v>7</v>
      </c>
      <c r="F1288" t="s">
        <v>38</v>
      </c>
      <c r="G1288" t="s">
        <v>155</v>
      </c>
      <c r="H1288" s="220" t="s">
        <v>1040</v>
      </c>
    </row>
    <row r="1289" spans="1:8">
      <c r="A1289">
        <v>3</v>
      </c>
      <c r="B1289" t="s">
        <v>147</v>
      </c>
      <c r="C1289">
        <v>2015</v>
      </c>
      <c r="D1289" t="s">
        <v>12</v>
      </c>
      <c r="E1289" t="s">
        <v>7</v>
      </c>
      <c r="F1289" t="s">
        <v>38</v>
      </c>
      <c r="G1289" t="s">
        <v>156</v>
      </c>
      <c r="H1289" s="220" t="s">
        <v>1318</v>
      </c>
    </row>
    <row r="1290" spans="1:8">
      <c r="A1290">
        <v>4</v>
      </c>
      <c r="B1290" t="s">
        <v>148</v>
      </c>
      <c r="C1290">
        <v>2015</v>
      </c>
      <c r="D1290" t="s">
        <v>12</v>
      </c>
      <c r="E1290" t="s">
        <v>7</v>
      </c>
      <c r="F1290" t="s">
        <v>38</v>
      </c>
      <c r="G1290" t="s">
        <v>157</v>
      </c>
      <c r="H1290" s="220" t="s">
        <v>1211</v>
      </c>
    </row>
    <row r="1291" spans="1:8">
      <c r="A1291">
        <v>0</v>
      </c>
      <c r="B1291" t="s">
        <v>34</v>
      </c>
      <c r="C1291">
        <v>2015</v>
      </c>
      <c r="D1291" t="s">
        <v>12</v>
      </c>
      <c r="E1291" t="s">
        <v>7</v>
      </c>
      <c r="F1291" t="s">
        <v>38</v>
      </c>
      <c r="G1291" t="s">
        <v>158</v>
      </c>
      <c r="H1291" s="220" t="s">
        <v>1319</v>
      </c>
    </row>
    <row r="1292" spans="1:8">
      <c r="A1292">
        <v>1</v>
      </c>
      <c r="B1292" t="s">
        <v>145</v>
      </c>
      <c r="C1292">
        <v>2014</v>
      </c>
      <c r="D1292" t="s">
        <v>12</v>
      </c>
      <c r="E1292" t="s">
        <v>7</v>
      </c>
      <c r="F1292" t="s">
        <v>38</v>
      </c>
      <c r="G1292" t="s">
        <v>154</v>
      </c>
      <c r="H1292" s="220" t="s">
        <v>1017</v>
      </c>
    </row>
    <row r="1293" spans="1:8">
      <c r="A1293">
        <v>2</v>
      </c>
      <c r="B1293" t="s">
        <v>146</v>
      </c>
      <c r="C1293">
        <v>2014</v>
      </c>
      <c r="D1293" t="s">
        <v>12</v>
      </c>
      <c r="E1293" t="s">
        <v>7</v>
      </c>
      <c r="F1293" t="s">
        <v>38</v>
      </c>
      <c r="G1293" t="s">
        <v>155</v>
      </c>
      <c r="H1293" s="220" t="s">
        <v>1312</v>
      </c>
    </row>
    <row r="1294" spans="1:8">
      <c r="A1294">
        <v>3</v>
      </c>
      <c r="B1294" t="s">
        <v>147</v>
      </c>
      <c r="C1294">
        <v>2014</v>
      </c>
      <c r="D1294" t="s">
        <v>12</v>
      </c>
      <c r="E1294" t="s">
        <v>7</v>
      </c>
      <c r="F1294" t="s">
        <v>38</v>
      </c>
      <c r="G1294" t="s">
        <v>156</v>
      </c>
      <c r="H1294" s="220" t="s">
        <v>1320</v>
      </c>
    </row>
    <row r="1295" spans="1:8">
      <c r="A1295">
        <v>4</v>
      </c>
      <c r="B1295" t="s">
        <v>148</v>
      </c>
      <c r="C1295">
        <v>2014</v>
      </c>
      <c r="D1295" t="s">
        <v>12</v>
      </c>
      <c r="E1295" t="s">
        <v>7</v>
      </c>
      <c r="F1295" t="s">
        <v>38</v>
      </c>
      <c r="G1295" t="s">
        <v>157</v>
      </c>
      <c r="H1295" s="220" t="s">
        <v>1321</v>
      </c>
    </row>
    <row r="1296" spans="1:8">
      <c r="A1296">
        <v>0</v>
      </c>
      <c r="B1296" t="s">
        <v>34</v>
      </c>
      <c r="C1296">
        <v>2014</v>
      </c>
      <c r="D1296" t="s">
        <v>12</v>
      </c>
      <c r="E1296" t="s">
        <v>7</v>
      </c>
      <c r="F1296" t="s">
        <v>38</v>
      </c>
      <c r="G1296" t="s">
        <v>158</v>
      </c>
      <c r="H1296" s="220" t="s">
        <v>1322</v>
      </c>
    </row>
    <row r="1297" spans="1:8">
      <c r="A1297">
        <v>1</v>
      </c>
      <c r="B1297" t="s">
        <v>145</v>
      </c>
      <c r="C1297">
        <v>2013</v>
      </c>
      <c r="D1297" t="s">
        <v>12</v>
      </c>
      <c r="E1297" t="s">
        <v>7</v>
      </c>
      <c r="F1297" t="s">
        <v>38</v>
      </c>
      <c r="G1297" t="s">
        <v>154</v>
      </c>
      <c r="H1297" s="220" t="s">
        <v>1323</v>
      </c>
    </row>
    <row r="1298" spans="1:8">
      <c r="A1298">
        <v>2</v>
      </c>
      <c r="B1298" t="s">
        <v>146</v>
      </c>
      <c r="C1298">
        <v>2013</v>
      </c>
      <c r="D1298" t="s">
        <v>12</v>
      </c>
      <c r="E1298" t="s">
        <v>7</v>
      </c>
      <c r="F1298" t="s">
        <v>38</v>
      </c>
      <c r="G1298" t="s">
        <v>155</v>
      </c>
      <c r="H1298" s="220" t="s">
        <v>1324</v>
      </c>
    </row>
    <row r="1299" spans="1:8">
      <c r="A1299">
        <v>3</v>
      </c>
      <c r="B1299" t="s">
        <v>147</v>
      </c>
      <c r="C1299">
        <v>2013</v>
      </c>
      <c r="D1299" t="s">
        <v>12</v>
      </c>
      <c r="E1299" t="s">
        <v>7</v>
      </c>
      <c r="F1299" t="s">
        <v>38</v>
      </c>
      <c r="G1299" t="s">
        <v>156</v>
      </c>
      <c r="H1299" s="220" t="s">
        <v>1325</v>
      </c>
    </row>
    <row r="1300" spans="1:8">
      <c r="A1300">
        <v>4</v>
      </c>
      <c r="B1300" t="s">
        <v>148</v>
      </c>
      <c r="C1300">
        <v>2013</v>
      </c>
      <c r="D1300" t="s">
        <v>12</v>
      </c>
      <c r="E1300" t="s">
        <v>7</v>
      </c>
      <c r="F1300" t="s">
        <v>38</v>
      </c>
      <c r="G1300" t="s">
        <v>157</v>
      </c>
      <c r="H1300" s="220" t="s">
        <v>1238</v>
      </c>
    </row>
    <row r="1301" spans="1:8">
      <c r="A1301">
        <v>0</v>
      </c>
      <c r="B1301" t="s">
        <v>34</v>
      </c>
      <c r="C1301">
        <v>2013</v>
      </c>
      <c r="D1301" t="s">
        <v>12</v>
      </c>
      <c r="E1301" t="s">
        <v>7</v>
      </c>
      <c r="F1301" t="s">
        <v>38</v>
      </c>
      <c r="G1301" t="s">
        <v>158</v>
      </c>
      <c r="H1301" s="220" t="s">
        <v>1326</v>
      </c>
    </row>
    <row r="1302" spans="1:8">
      <c r="A1302">
        <v>1</v>
      </c>
      <c r="B1302" t="s">
        <v>145</v>
      </c>
      <c r="C1302">
        <v>2012</v>
      </c>
      <c r="D1302" t="s">
        <v>12</v>
      </c>
      <c r="E1302" t="s">
        <v>7</v>
      </c>
      <c r="F1302" t="s">
        <v>38</v>
      </c>
      <c r="G1302" t="s">
        <v>154</v>
      </c>
      <c r="H1302" s="220" t="s">
        <v>1307</v>
      </c>
    </row>
    <row r="1303" spans="1:8">
      <c r="A1303">
        <v>2</v>
      </c>
      <c r="B1303" t="s">
        <v>146</v>
      </c>
      <c r="C1303">
        <v>2012</v>
      </c>
      <c r="D1303" t="s">
        <v>12</v>
      </c>
      <c r="E1303" t="s">
        <v>7</v>
      </c>
      <c r="F1303" t="s">
        <v>38</v>
      </c>
      <c r="G1303" t="s">
        <v>155</v>
      </c>
      <c r="H1303" s="220" t="s">
        <v>1327</v>
      </c>
    </row>
    <row r="1304" spans="1:8">
      <c r="A1304">
        <v>3</v>
      </c>
      <c r="B1304" t="s">
        <v>147</v>
      </c>
      <c r="C1304">
        <v>2012</v>
      </c>
      <c r="D1304" t="s">
        <v>12</v>
      </c>
      <c r="E1304" t="s">
        <v>7</v>
      </c>
      <c r="F1304" t="s">
        <v>38</v>
      </c>
      <c r="G1304" t="s">
        <v>156</v>
      </c>
      <c r="H1304" s="220" t="s">
        <v>1320</v>
      </c>
    </row>
    <row r="1305" spans="1:8">
      <c r="A1305">
        <v>4</v>
      </c>
      <c r="B1305" t="s">
        <v>148</v>
      </c>
      <c r="C1305">
        <v>2012</v>
      </c>
      <c r="D1305" t="s">
        <v>12</v>
      </c>
      <c r="E1305" t="s">
        <v>7</v>
      </c>
      <c r="F1305" t="s">
        <v>38</v>
      </c>
      <c r="G1305" t="s">
        <v>157</v>
      </c>
      <c r="H1305" s="220" t="s">
        <v>1328</v>
      </c>
    </row>
    <row r="1306" spans="1:8">
      <c r="A1306">
        <v>0</v>
      </c>
      <c r="B1306" t="s">
        <v>34</v>
      </c>
      <c r="C1306">
        <v>2012</v>
      </c>
      <c r="D1306" t="s">
        <v>12</v>
      </c>
      <c r="E1306" t="s">
        <v>7</v>
      </c>
      <c r="F1306" t="s">
        <v>38</v>
      </c>
      <c r="G1306" t="s">
        <v>158</v>
      </c>
      <c r="H1306" s="220" t="s">
        <v>1329</v>
      </c>
    </row>
    <row r="1307" spans="1:8">
      <c r="A1307">
        <v>1</v>
      </c>
      <c r="B1307" t="s">
        <v>145</v>
      </c>
      <c r="C1307">
        <v>2011</v>
      </c>
      <c r="D1307" t="s">
        <v>12</v>
      </c>
      <c r="E1307" t="s">
        <v>7</v>
      </c>
      <c r="F1307" t="s">
        <v>38</v>
      </c>
      <c r="G1307" t="s">
        <v>154</v>
      </c>
      <c r="H1307" s="220" t="s">
        <v>1330</v>
      </c>
    </row>
    <row r="1308" spans="1:8">
      <c r="A1308">
        <v>2</v>
      </c>
      <c r="B1308" t="s">
        <v>146</v>
      </c>
      <c r="C1308">
        <v>2011</v>
      </c>
      <c r="D1308" t="s">
        <v>12</v>
      </c>
      <c r="E1308" t="s">
        <v>7</v>
      </c>
      <c r="F1308" t="s">
        <v>38</v>
      </c>
      <c r="G1308" t="s">
        <v>155</v>
      </c>
      <c r="H1308" s="220" t="s">
        <v>1331</v>
      </c>
    </row>
    <row r="1309" spans="1:8">
      <c r="A1309">
        <v>3</v>
      </c>
      <c r="B1309" t="s">
        <v>147</v>
      </c>
      <c r="C1309">
        <v>2011</v>
      </c>
      <c r="D1309" t="s">
        <v>12</v>
      </c>
      <c r="E1309" t="s">
        <v>7</v>
      </c>
      <c r="F1309" t="s">
        <v>38</v>
      </c>
      <c r="G1309" t="s">
        <v>156</v>
      </c>
      <c r="H1309" s="220" t="s">
        <v>1137</v>
      </c>
    </row>
    <row r="1310" spans="1:8">
      <c r="A1310">
        <v>4</v>
      </c>
      <c r="B1310" t="s">
        <v>148</v>
      </c>
      <c r="C1310">
        <v>2011</v>
      </c>
      <c r="D1310" t="s">
        <v>12</v>
      </c>
      <c r="E1310" t="s">
        <v>7</v>
      </c>
      <c r="F1310" t="s">
        <v>38</v>
      </c>
      <c r="G1310" t="s">
        <v>157</v>
      </c>
      <c r="H1310" s="220" t="s">
        <v>1332</v>
      </c>
    </row>
    <row r="1311" spans="1:8">
      <c r="A1311">
        <v>0</v>
      </c>
      <c r="B1311" t="s">
        <v>34</v>
      </c>
      <c r="C1311">
        <v>2011</v>
      </c>
      <c r="D1311" t="s">
        <v>12</v>
      </c>
      <c r="E1311" t="s">
        <v>7</v>
      </c>
      <c r="F1311" t="s">
        <v>38</v>
      </c>
      <c r="G1311" t="s">
        <v>158</v>
      </c>
      <c r="H1311" s="220" t="s">
        <v>1333</v>
      </c>
    </row>
    <row r="1312" spans="1:8">
      <c r="A1312">
        <v>1</v>
      </c>
      <c r="B1312" t="s">
        <v>145</v>
      </c>
      <c r="C1312">
        <v>2010</v>
      </c>
      <c r="D1312" t="s">
        <v>12</v>
      </c>
      <c r="E1312" t="s">
        <v>7</v>
      </c>
      <c r="F1312" t="s">
        <v>38</v>
      </c>
      <c r="G1312" t="s">
        <v>154</v>
      </c>
      <c r="H1312" s="220" t="s">
        <v>1334</v>
      </c>
    </row>
    <row r="1313" spans="1:8">
      <c r="A1313">
        <v>2</v>
      </c>
      <c r="B1313" t="s">
        <v>146</v>
      </c>
      <c r="C1313">
        <v>2010</v>
      </c>
      <c r="D1313" t="s">
        <v>12</v>
      </c>
      <c r="E1313" t="s">
        <v>7</v>
      </c>
      <c r="F1313" t="s">
        <v>38</v>
      </c>
      <c r="G1313" t="s">
        <v>155</v>
      </c>
      <c r="H1313" s="220" t="s">
        <v>1036</v>
      </c>
    </row>
    <row r="1314" spans="1:8">
      <c r="A1314">
        <v>3</v>
      </c>
      <c r="B1314" t="s">
        <v>147</v>
      </c>
      <c r="C1314">
        <v>2010</v>
      </c>
      <c r="D1314" t="s">
        <v>12</v>
      </c>
      <c r="E1314" t="s">
        <v>7</v>
      </c>
      <c r="F1314" t="s">
        <v>38</v>
      </c>
      <c r="G1314" t="s">
        <v>156</v>
      </c>
      <c r="H1314" s="220" t="s">
        <v>1335</v>
      </c>
    </row>
    <row r="1315" spans="1:8">
      <c r="A1315">
        <v>4</v>
      </c>
      <c r="B1315" t="s">
        <v>148</v>
      </c>
      <c r="C1315">
        <v>2010</v>
      </c>
      <c r="D1315" t="s">
        <v>12</v>
      </c>
      <c r="E1315" t="s">
        <v>7</v>
      </c>
      <c r="F1315" t="s">
        <v>38</v>
      </c>
      <c r="G1315" t="s">
        <v>157</v>
      </c>
      <c r="H1315" s="220" t="s">
        <v>1336</v>
      </c>
    </row>
    <row r="1316" spans="1:8">
      <c r="A1316">
        <v>0</v>
      </c>
      <c r="B1316" t="s">
        <v>34</v>
      </c>
      <c r="C1316">
        <v>2010</v>
      </c>
      <c r="D1316" t="s">
        <v>12</v>
      </c>
      <c r="E1316" t="s">
        <v>7</v>
      </c>
      <c r="F1316" t="s">
        <v>38</v>
      </c>
      <c r="G1316" t="s">
        <v>158</v>
      </c>
      <c r="H1316" s="220" t="s">
        <v>1337</v>
      </c>
    </row>
    <row r="1317" spans="1:8">
      <c r="A1317">
        <v>1</v>
      </c>
      <c r="B1317" t="s">
        <v>145</v>
      </c>
      <c r="C1317">
        <v>2005</v>
      </c>
      <c r="D1317" t="s">
        <v>12</v>
      </c>
      <c r="E1317" t="s">
        <v>7</v>
      </c>
      <c r="F1317" t="s">
        <v>38</v>
      </c>
      <c r="G1317" t="s">
        <v>154</v>
      </c>
      <c r="H1317" s="220" t="s">
        <v>1338</v>
      </c>
    </row>
    <row r="1318" spans="1:8">
      <c r="A1318">
        <v>2</v>
      </c>
      <c r="B1318" t="s">
        <v>146</v>
      </c>
      <c r="C1318">
        <v>2005</v>
      </c>
      <c r="D1318" t="s">
        <v>12</v>
      </c>
      <c r="E1318" t="s">
        <v>7</v>
      </c>
      <c r="F1318" t="s">
        <v>38</v>
      </c>
      <c r="G1318" t="s">
        <v>155</v>
      </c>
      <c r="H1318" s="220" t="s">
        <v>1339</v>
      </c>
    </row>
    <row r="1319" spans="1:8">
      <c r="A1319">
        <v>3</v>
      </c>
      <c r="B1319" t="s">
        <v>147</v>
      </c>
      <c r="C1319">
        <v>2005</v>
      </c>
      <c r="D1319" t="s">
        <v>12</v>
      </c>
      <c r="E1319" t="s">
        <v>7</v>
      </c>
      <c r="F1319" t="s">
        <v>38</v>
      </c>
      <c r="G1319" t="s">
        <v>156</v>
      </c>
      <c r="H1319" s="220" t="s">
        <v>1340</v>
      </c>
    </row>
    <row r="1320" spans="1:8">
      <c r="A1320">
        <v>4</v>
      </c>
      <c r="B1320" t="s">
        <v>148</v>
      </c>
      <c r="C1320">
        <v>2005</v>
      </c>
      <c r="D1320" t="s">
        <v>12</v>
      </c>
      <c r="E1320" t="s">
        <v>7</v>
      </c>
      <c r="F1320" t="s">
        <v>38</v>
      </c>
      <c r="G1320" t="s">
        <v>157</v>
      </c>
      <c r="H1320" s="220" t="s">
        <v>1033</v>
      </c>
    </row>
    <row r="1321" spans="1:8">
      <c r="A1321">
        <v>0</v>
      </c>
      <c r="B1321" t="s">
        <v>34</v>
      </c>
      <c r="C1321">
        <v>2005</v>
      </c>
      <c r="D1321" t="s">
        <v>12</v>
      </c>
      <c r="E1321" t="s">
        <v>7</v>
      </c>
      <c r="F1321" t="s">
        <v>38</v>
      </c>
      <c r="G1321" t="s">
        <v>158</v>
      </c>
      <c r="H1321" s="220" t="s">
        <v>1341</v>
      </c>
    </row>
    <row r="1322" spans="1:8">
      <c r="A1322">
        <v>1</v>
      </c>
      <c r="B1322" t="s">
        <v>145</v>
      </c>
      <c r="C1322">
        <v>2020</v>
      </c>
      <c r="D1322" t="s">
        <v>11</v>
      </c>
      <c r="E1322" t="s">
        <v>115</v>
      </c>
      <c r="F1322" t="s">
        <v>38</v>
      </c>
      <c r="G1322" t="s">
        <v>154</v>
      </c>
      <c r="H1322" s="220" t="s">
        <v>1342</v>
      </c>
    </row>
    <row r="1323" spans="1:8">
      <c r="A1323">
        <v>2</v>
      </c>
      <c r="B1323" t="s">
        <v>146</v>
      </c>
      <c r="C1323">
        <v>2020</v>
      </c>
      <c r="D1323" t="s">
        <v>11</v>
      </c>
      <c r="E1323" t="s">
        <v>115</v>
      </c>
      <c r="F1323" t="s">
        <v>38</v>
      </c>
      <c r="G1323" t="s">
        <v>155</v>
      </c>
      <c r="H1323" s="220" t="s">
        <v>1343</v>
      </c>
    </row>
    <row r="1324" spans="1:8">
      <c r="A1324">
        <v>3</v>
      </c>
      <c r="B1324" t="s">
        <v>147</v>
      </c>
      <c r="C1324">
        <v>2020</v>
      </c>
      <c r="D1324" t="s">
        <v>11</v>
      </c>
      <c r="E1324" t="s">
        <v>115</v>
      </c>
      <c r="F1324" t="s">
        <v>38</v>
      </c>
      <c r="G1324" t="s">
        <v>156</v>
      </c>
      <c r="H1324" s="220" t="s">
        <v>1344</v>
      </c>
    </row>
    <row r="1325" spans="1:8">
      <c r="A1325">
        <v>4</v>
      </c>
      <c r="B1325" t="s">
        <v>148</v>
      </c>
      <c r="C1325">
        <v>2020</v>
      </c>
      <c r="D1325" t="s">
        <v>11</v>
      </c>
      <c r="E1325" t="s">
        <v>115</v>
      </c>
      <c r="F1325" t="s">
        <v>38</v>
      </c>
      <c r="G1325" t="s">
        <v>157</v>
      </c>
      <c r="H1325" s="220" t="s">
        <v>1345</v>
      </c>
    </row>
    <row r="1326" spans="1:8">
      <c r="A1326">
        <v>0</v>
      </c>
      <c r="B1326" t="s">
        <v>34</v>
      </c>
      <c r="C1326">
        <v>2020</v>
      </c>
      <c r="D1326" t="s">
        <v>11</v>
      </c>
      <c r="E1326" t="s">
        <v>115</v>
      </c>
      <c r="F1326" t="s">
        <v>38</v>
      </c>
      <c r="G1326" t="s">
        <v>158</v>
      </c>
      <c r="H1326" s="220" t="s">
        <v>1346</v>
      </c>
    </row>
    <row r="1327" spans="1:8">
      <c r="A1327">
        <v>1</v>
      </c>
      <c r="B1327" t="s">
        <v>145</v>
      </c>
      <c r="C1327">
        <v>2019</v>
      </c>
      <c r="D1327" t="s">
        <v>11</v>
      </c>
      <c r="E1327" t="s">
        <v>115</v>
      </c>
      <c r="F1327" t="s">
        <v>38</v>
      </c>
      <c r="G1327" t="s">
        <v>154</v>
      </c>
      <c r="H1327" s="220" t="s">
        <v>1347</v>
      </c>
    </row>
    <row r="1328" spans="1:8">
      <c r="A1328">
        <v>2</v>
      </c>
      <c r="B1328" t="s">
        <v>146</v>
      </c>
      <c r="C1328">
        <v>2019</v>
      </c>
      <c r="D1328" t="s">
        <v>11</v>
      </c>
      <c r="E1328" t="s">
        <v>115</v>
      </c>
      <c r="F1328" t="s">
        <v>38</v>
      </c>
      <c r="G1328" t="s">
        <v>155</v>
      </c>
      <c r="H1328" s="220" t="s">
        <v>1348</v>
      </c>
    </row>
    <row r="1329" spans="1:8">
      <c r="A1329">
        <v>3</v>
      </c>
      <c r="B1329" t="s">
        <v>147</v>
      </c>
      <c r="C1329">
        <v>2019</v>
      </c>
      <c r="D1329" t="s">
        <v>11</v>
      </c>
      <c r="E1329" t="s">
        <v>115</v>
      </c>
      <c r="F1329" t="s">
        <v>38</v>
      </c>
      <c r="G1329" t="s">
        <v>156</v>
      </c>
      <c r="H1329" s="220" t="s">
        <v>1349</v>
      </c>
    </row>
    <row r="1330" spans="1:8">
      <c r="A1330">
        <v>4</v>
      </c>
      <c r="B1330" t="s">
        <v>148</v>
      </c>
      <c r="C1330">
        <v>2019</v>
      </c>
      <c r="D1330" t="s">
        <v>11</v>
      </c>
      <c r="E1330" t="s">
        <v>115</v>
      </c>
      <c r="F1330" t="s">
        <v>38</v>
      </c>
      <c r="G1330" t="s">
        <v>157</v>
      </c>
      <c r="H1330" s="220" t="s">
        <v>1350</v>
      </c>
    </row>
    <row r="1331" spans="1:8">
      <c r="A1331">
        <v>0</v>
      </c>
      <c r="B1331" t="s">
        <v>34</v>
      </c>
      <c r="C1331">
        <v>2019</v>
      </c>
      <c r="D1331" t="s">
        <v>11</v>
      </c>
      <c r="E1331" t="s">
        <v>115</v>
      </c>
      <c r="F1331" t="s">
        <v>38</v>
      </c>
      <c r="G1331" t="s">
        <v>158</v>
      </c>
      <c r="H1331" s="220" t="s">
        <v>1351</v>
      </c>
    </row>
    <row r="1332" spans="1:8">
      <c r="A1332">
        <v>1</v>
      </c>
      <c r="B1332" t="s">
        <v>145</v>
      </c>
      <c r="C1332">
        <v>2018</v>
      </c>
      <c r="D1332" t="s">
        <v>11</v>
      </c>
      <c r="E1332" t="s">
        <v>115</v>
      </c>
      <c r="F1332" t="s">
        <v>38</v>
      </c>
      <c r="G1332" t="s">
        <v>154</v>
      </c>
      <c r="H1332" s="220" t="s">
        <v>1352</v>
      </c>
    </row>
    <row r="1333" spans="1:8">
      <c r="A1333">
        <v>2</v>
      </c>
      <c r="B1333" t="s">
        <v>146</v>
      </c>
      <c r="C1333">
        <v>2018</v>
      </c>
      <c r="D1333" t="s">
        <v>11</v>
      </c>
      <c r="E1333" t="s">
        <v>115</v>
      </c>
      <c r="F1333" t="s">
        <v>38</v>
      </c>
      <c r="G1333" t="s">
        <v>155</v>
      </c>
      <c r="H1333" s="220" t="s">
        <v>1353</v>
      </c>
    </row>
    <row r="1334" spans="1:8">
      <c r="A1334">
        <v>3</v>
      </c>
      <c r="B1334" t="s">
        <v>147</v>
      </c>
      <c r="C1334">
        <v>2018</v>
      </c>
      <c r="D1334" t="s">
        <v>11</v>
      </c>
      <c r="E1334" t="s">
        <v>115</v>
      </c>
      <c r="F1334" t="s">
        <v>38</v>
      </c>
      <c r="G1334" t="s">
        <v>156</v>
      </c>
      <c r="H1334" s="220" t="s">
        <v>1354</v>
      </c>
    </row>
    <row r="1335" spans="1:8">
      <c r="A1335">
        <v>4</v>
      </c>
      <c r="B1335" t="s">
        <v>148</v>
      </c>
      <c r="C1335">
        <v>2018</v>
      </c>
      <c r="D1335" t="s">
        <v>11</v>
      </c>
      <c r="E1335" t="s">
        <v>115</v>
      </c>
      <c r="F1335" t="s">
        <v>38</v>
      </c>
      <c r="G1335" t="s">
        <v>157</v>
      </c>
      <c r="H1335" s="220" t="s">
        <v>1355</v>
      </c>
    </row>
    <row r="1336" spans="1:8">
      <c r="A1336">
        <v>0</v>
      </c>
      <c r="B1336" t="s">
        <v>34</v>
      </c>
      <c r="C1336">
        <v>2018</v>
      </c>
      <c r="D1336" t="s">
        <v>11</v>
      </c>
      <c r="E1336" t="s">
        <v>115</v>
      </c>
      <c r="F1336" t="s">
        <v>38</v>
      </c>
      <c r="G1336" t="s">
        <v>158</v>
      </c>
      <c r="H1336" s="220" t="s">
        <v>1356</v>
      </c>
    </row>
    <row r="1337" spans="1:8">
      <c r="A1337">
        <v>1</v>
      </c>
      <c r="B1337" t="s">
        <v>145</v>
      </c>
      <c r="C1337">
        <v>2017</v>
      </c>
      <c r="D1337" t="s">
        <v>11</v>
      </c>
      <c r="E1337" t="s">
        <v>115</v>
      </c>
      <c r="F1337" t="s">
        <v>38</v>
      </c>
      <c r="G1337" t="s">
        <v>154</v>
      </c>
      <c r="H1337" s="220" t="s">
        <v>1352</v>
      </c>
    </row>
    <row r="1338" spans="1:8">
      <c r="A1338">
        <v>2</v>
      </c>
      <c r="B1338" t="s">
        <v>146</v>
      </c>
      <c r="C1338">
        <v>2017</v>
      </c>
      <c r="D1338" t="s">
        <v>11</v>
      </c>
      <c r="E1338" t="s">
        <v>115</v>
      </c>
      <c r="F1338" t="s">
        <v>38</v>
      </c>
      <c r="G1338" t="s">
        <v>155</v>
      </c>
      <c r="H1338" s="220" t="s">
        <v>1357</v>
      </c>
    </row>
    <row r="1339" spans="1:8">
      <c r="A1339">
        <v>3</v>
      </c>
      <c r="B1339" t="s">
        <v>147</v>
      </c>
      <c r="C1339">
        <v>2017</v>
      </c>
      <c r="D1339" t="s">
        <v>11</v>
      </c>
      <c r="E1339" t="s">
        <v>115</v>
      </c>
      <c r="F1339" t="s">
        <v>38</v>
      </c>
      <c r="G1339" t="s">
        <v>156</v>
      </c>
      <c r="H1339" s="220" t="s">
        <v>1358</v>
      </c>
    </row>
    <row r="1340" spans="1:8">
      <c r="A1340">
        <v>4</v>
      </c>
      <c r="B1340" t="s">
        <v>148</v>
      </c>
      <c r="C1340">
        <v>2017</v>
      </c>
      <c r="D1340" t="s">
        <v>11</v>
      </c>
      <c r="E1340" t="s">
        <v>115</v>
      </c>
      <c r="F1340" t="s">
        <v>38</v>
      </c>
      <c r="G1340" t="s">
        <v>157</v>
      </c>
      <c r="H1340" s="220" t="s">
        <v>1359</v>
      </c>
    </row>
    <row r="1341" spans="1:8">
      <c r="A1341">
        <v>0</v>
      </c>
      <c r="B1341" t="s">
        <v>34</v>
      </c>
      <c r="C1341">
        <v>2017</v>
      </c>
      <c r="D1341" t="s">
        <v>11</v>
      </c>
      <c r="E1341" t="s">
        <v>115</v>
      </c>
      <c r="F1341" t="s">
        <v>38</v>
      </c>
      <c r="G1341" t="s">
        <v>158</v>
      </c>
      <c r="H1341" s="220" t="s">
        <v>1360</v>
      </c>
    </row>
    <row r="1342" spans="1:8">
      <c r="A1342">
        <v>1</v>
      </c>
      <c r="B1342" t="s">
        <v>145</v>
      </c>
      <c r="C1342">
        <v>2016</v>
      </c>
      <c r="D1342" t="s">
        <v>11</v>
      </c>
      <c r="E1342" t="s">
        <v>115</v>
      </c>
      <c r="F1342" t="s">
        <v>38</v>
      </c>
      <c r="G1342" t="s">
        <v>154</v>
      </c>
      <c r="H1342" s="220" t="s">
        <v>1361</v>
      </c>
    </row>
    <row r="1343" spans="1:8">
      <c r="A1343">
        <v>2</v>
      </c>
      <c r="B1343" t="s">
        <v>146</v>
      </c>
      <c r="C1343">
        <v>2016</v>
      </c>
      <c r="D1343" t="s">
        <v>11</v>
      </c>
      <c r="E1343" t="s">
        <v>115</v>
      </c>
      <c r="F1343" t="s">
        <v>38</v>
      </c>
      <c r="G1343" t="s">
        <v>155</v>
      </c>
      <c r="H1343" s="220" t="s">
        <v>1362</v>
      </c>
    </row>
    <row r="1344" spans="1:8">
      <c r="A1344">
        <v>3</v>
      </c>
      <c r="B1344" t="s">
        <v>147</v>
      </c>
      <c r="C1344">
        <v>2016</v>
      </c>
      <c r="D1344" t="s">
        <v>11</v>
      </c>
      <c r="E1344" t="s">
        <v>115</v>
      </c>
      <c r="F1344" t="s">
        <v>38</v>
      </c>
      <c r="G1344" t="s">
        <v>156</v>
      </c>
      <c r="H1344" s="220" t="s">
        <v>1363</v>
      </c>
    </row>
    <row r="1345" spans="1:8">
      <c r="A1345">
        <v>4</v>
      </c>
      <c r="B1345" t="s">
        <v>148</v>
      </c>
      <c r="C1345">
        <v>2016</v>
      </c>
      <c r="D1345" t="s">
        <v>11</v>
      </c>
      <c r="E1345" t="s">
        <v>115</v>
      </c>
      <c r="F1345" t="s">
        <v>38</v>
      </c>
      <c r="G1345" t="s">
        <v>157</v>
      </c>
      <c r="H1345" s="220" t="s">
        <v>1364</v>
      </c>
    </row>
    <row r="1346" spans="1:8">
      <c r="A1346">
        <v>0</v>
      </c>
      <c r="B1346" t="s">
        <v>34</v>
      </c>
      <c r="C1346">
        <v>2016</v>
      </c>
      <c r="D1346" t="s">
        <v>11</v>
      </c>
      <c r="E1346" t="s">
        <v>115</v>
      </c>
      <c r="F1346" t="s">
        <v>38</v>
      </c>
      <c r="G1346" t="s">
        <v>158</v>
      </c>
      <c r="H1346" s="220" t="s">
        <v>1365</v>
      </c>
    </row>
    <row r="1347" spans="1:8">
      <c r="A1347">
        <v>1</v>
      </c>
      <c r="B1347" t="s">
        <v>145</v>
      </c>
      <c r="C1347">
        <v>2015</v>
      </c>
      <c r="D1347" t="s">
        <v>11</v>
      </c>
      <c r="E1347" t="s">
        <v>115</v>
      </c>
      <c r="F1347" t="s">
        <v>38</v>
      </c>
      <c r="G1347" t="s">
        <v>154</v>
      </c>
      <c r="H1347" s="220" t="s">
        <v>1366</v>
      </c>
    </row>
    <row r="1348" spans="1:8">
      <c r="A1348">
        <v>2</v>
      </c>
      <c r="B1348" t="s">
        <v>146</v>
      </c>
      <c r="C1348">
        <v>2015</v>
      </c>
      <c r="D1348" t="s">
        <v>11</v>
      </c>
      <c r="E1348" t="s">
        <v>115</v>
      </c>
      <c r="F1348" t="s">
        <v>38</v>
      </c>
      <c r="G1348" t="s">
        <v>155</v>
      </c>
      <c r="H1348" s="220" t="s">
        <v>1367</v>
      </c>
    </row>
    <row r="1349" spans="1:8">
      <c r="A1349">
        <v>3</v>
      </c>
      <c r="B1349" t="s">
        <v>147</v>
      </c>
      <c r="C1349">
        <v>2015</v>
      </c>
      <c r="D1349" t="s">
        <v>11</v>
      </c>
      <c r="E1349" t="s">
        <v>115</v>
      </c>
      <c r="F1349" t="s">
        <v>38</v>
      </c>
      <c r="G1349" t="s">
        <v>156</v>
      </c>
      <c r="H1349" s="220" t="s">
        <v>1368</v>
      </c>
    </row>
    <row r="1350" spans="1:8">
      <c r="A1350">
        <v>4</v>
      </c>
      <c r="B1350" t="s">
        <v>148</v>
      </c>
      <c r="C1350">
        <v>2015</v>
      </c>
      <c r="D1350" t="s">
        <v>11</v>
      </c>
      <c r="E1350" t="s">
        <v>115</v>
      </c>
      <c r="F1350" t="s">
        <v>38</v>
      </c>
      <c r="G1350" t="s">
        <v>157</v>
      </c>
      <c r="H1350" s="220" t="s">
        <v>1369</v>
      </c>
    </row>
    <row r="1351" spans="1:8">
      <c r="A1351">
        <v>0</v>
      </c>
      <c r="B1351" t="s">
        <v>34</v>
      </c>
      <c r="C1351">
        <v>2015</v>
      </c>
      <c r="D1351" t="s">
        <v>11</v>
      </c>
      <c r="E1351" t="s">
        <v>115</v>
      </c>
      <c r="F1351" t="s">
        <v>38</v>
      </c>
      <c r="G1351" t="s">
        <v>158</v>
      </c>
      <c r="H1351" s="220" t="s">
        <v>1370</v>
      </c>
    </row>
    <row r="1352" spans="1:8">
      <c r="A1352">
        <v>1</v>
      </c>
      <c r="B1352" t="s">
        <v>145</v>
      </c>
      <c r="C1352">
        <v>2014</v>
      </c>
      <c r="D1352" t="s">
        <v>11</v>
      </c>
      <c r="E1352" t="s">
        <v>115</v>
      </c>
      <c r="F1352" t="s">
        <v>38</v>
      </c>
      <c r="G1352" t="s">
        <v>154</v>
      </c>
      <c r="H1352" s="220" t="s">
        <v>1371</v>
      </c>
    </row>
    <row r="1353" spans="1:8">
      <c r="A1353">
        <v>2</v>
      </c>
      <c r="B1353" t="s">
        <v>146</v>
      </c>
      <c r="C1353">
        <v>2014</v>
      </c>
      <c r="D1353" t="s">
        <v>11</v>
      </c>
      <c r="E1353" t="s">
        <v>115</v>
      </c>
      <c r="F1353" t="s">
        <v>38</v>
      </c>
      <c r="G1353" t="s">
        <v>155</v>
      </c>
      <c r="H1353" s="220" t="s">
        <v>1372</v>
      </c>
    </row>
    <row r="1354" spans="1:8">
      <c r="A1354">
        <v>3</v>
      </c>
      <c r="B1354" t="s">
        <v>147</v>
      </c>
      <c r="C1354">
        <v>2014</v>
      </c>
      <c r="D1354" t="s">
        <v>11</v>
      </c>
      <c r="E1354" t="s">
        <v>115</v>
      </c>
      <c r="F1354" t="s">
        <v>38</v>
      </c>
      <c r="G1354" t="s">
        <v>156</v>
      </c>
      <c r="H1354" s="220" t="s">
        <v>1373</v>
      </c>
    </row>
    <row r="1355" spans="1:8">
      <c r="A1355">
        <v>4</v>
      </c>
      <c r="B1355" t="s">
        <v>148</v>
      </c>
      <c r="C1355">
        <v>2014</v>
      </c>
      <c r="D1355" t="s">
        <v>11</v>
      </c>
      <c r="E1355" t="s">
        <v>115</v>
      </c>
      <c r="F1355" t="s">
        <v>38</v>
      </c>
      <c r="G1355" t="s">
        <v>157</v>
      </c>
      <c r="H1355" s="220" t="s">
        <v>1374</v>
      </c>
    </row>
    <row r="1356" spans="1:8">
      <c r="A1356">
        <v>0</v>
      </c>
      <c r="B1356" t="s">
        <v>34</v>
      </c>
      <c r="C1356">
        <v>2014</v>
      </c>
      <c r="D1356" t="s">
        <v>11</v>
      </c>
      <c r="E1356" t="s">
        <v>115</v>
      </c>
      <c r="F1356" t="s">
        <v>38</v>
      </c>
      <c r="G1356" t="s">
        <v>158</v>
      </c>
      <c r="H1356" s="220" t="s">
        <v>1375</v>
      </c>
    </row>
    <row r="1357" spans="1:8">
      <c r="A1357">
        <v>1</v>
      </c>
      <c r="B1357" t="s">
        <v>145</v>
      </c>
      <c r="C1357">
        <v>2013</v>
      </c>
      <c r="D1357" t="s">
        <v>11</v>
      </c>
      <c r="E1357" t="s">
        <v>115</v>
      </c>
      <c r="F1357" t="s">
        <v>38</v>
      </c>
      <c r="G1357" t="s">
        <v>154</v>
      </c>
      <c r="H1357" s="220" t="s">
        <v>1376</v>
      </c>
    </row>
    <row r="1358" spans="1:8">
      <c r="A1358">
        <v>2</v>
      </c>
      <c r="B1358" t="s">
        <v>146</v>
      </c>
      <c r="C1358">
        <v>2013</v>
      </c>
      <c r="D1358" t="s">
        <v>11</v>
      </c>
      <c r="E1358" t="s">
        <v>115</v>
      </c>
      <c r="F1358" t="s">
        <v>38</v>
      </c>
      <c r="G1358" t="s">
        <v>155</v>
      </c>
      <c r="H1358" s="220" t="s">
        <v>1377</v>
      </c>
    </row>
    <row r="1359" spans="1:8">
      <c r="A1359">
        <v>3</v>
      </c>
      <c r="B1359" t="s">
        <v>147</v>
      </c>
      <c r="C1359">
        <v>2013</v>
      </c>
      <c r="D1359" t="s">
        <v>11</v>
      </c>
      <c r="E1359" t="s">
        <v>115</v>
      </c>
      <c r="F1359" t="s">
        <v>38</v>
      </c>
      <c r="G1359" t="s">
        <v>156</v>
      </c>
      <c r="H1359" s="220" t="s">
        <v>1378</v>
      </c>
    </row>
    <row r="1360" spans="1:8">
      <c r="A1360">
        <v>4</v>
      </c>
      <c r="B1360" t="s">
        <v>148</v>
      </c>
      <c r="C1360">
        <v>2013</v>
      </c>
      <c r="D1360" t="s">
        <v>11</v>
      </c>
      <c r="E1360" t="s">
        <v>115</v>
      </c>
      <c r="F1360" t="s">
        <v>38</v>
      </c>
      <c r="G1360" t="s">
        <v>157</v>
      </c>
      <c r="H1360" s="220" t="s">
        <v>1379</v>
      </c>
    </row>
    <row r="1361" spans="1:8">
      <c r="A1361">
        <v>0</v>
      </c>
      <c r="B1361" t="s">
        <v>34</v>
      </c>
      <c r="C1361">
        <v>2013</v>
      </c>
      <c r="D1361" t="s">
        <v>11</v>
      </c>
      <c r="E1361" t="s">
        <v>115</v>
      </c>
      <c r="F1361" t="s">
        <v>38</v>
      </c>
      <c r="G1361" t="s">
        <v>158</v>
      </c>
      <c r="H1361" s="220" t="s">
        <v>1380</v>
      </c>
    </row>
    <row r="1362" spans="1:8">
      <c r="A1362">
        <v>1</v>
      </c>
      <c r="B1362" t="s">
        <v>145</v>
      </c>
      <c r="C1362">
        <v>2012</v>
      </c>
      <c r="D1362" t="s">
        <v>11</v>
      </c>
      <c r="E1362" t="s">
        <v>115</v>
      </c>
      <c r="F1362" t="s">
        <v>38</v>
      </c>
      <c r="G1362" t="s">
        <v>154</v>
      </c>
      <c r="H1362" s="220" t="s">
        <v>1381</v>
      </c>
    </row>
    <row r="1363" spans="1:8">
      <c r="A1363">
        <v>2</v>
      </c>
      <c r="B1363" t="s">
        <v>146</v>
      </c>
      <c r="C1363">
        <v>2012</v>
      </c>
      <c r="D1363" t="s">
        <v>11</v>
      </c>
      <c r="E1363" t="s">
        <v>115</v>
      </c>
      <c r="F1363" t="s">
        <v>38</v>
      </c>
      <c r="G1363" t="s">
        <v>155</v>
      </c>
      <c r="H1363" s="220" t="s">
        <v>1215</v>
      </c>
    </row>
    <row r="1364" spans="1:8">
      <c r="A1364">
        <v>3</v>
      </c>
      <c r="B1364" t="s">
        <v>147</v>
      </c>
      <c r="C1364">
        <v>2012</v>
      </c>
      <c r="D1364" t="s">
        <v>11</v>
      </c>
      <c r="E1364" t="s">
        <v>115</v>
      </c>
      <c r="F1364" t="s">
        <v>38</v>
      </c>
      <c r="G1364" t="s">
        <v>156</v>
      </c>
      <c r="H1364" s="220" t="s">
        <v>1382</v>
      </c>
    </row>
    <row r="1365" spans="1:8">
      <c r="A1365">
        <v>4</v>
      </c>
      <c r="B1365" t="s">
        <v>148</v>
      </c>
      <c r="C1365">
        <v>2012</v>
      </c>
      <c r="D1365" t="s">
        <v>11</v>
      </c>
      <c r="E1365" t="s">
        <v>115</v>
      </c>
      <c r="F1365" t="s">
        <v>38</v>
      </c>
      <c r="G1365" t="s">
        <v>157</v>
      </c>
      <c r="H1365" s="220" t="s">
        <v>1383</v>
      </c>
    </row>
    <row r="1366" spans="1:8">
      <c r="A1366">
        <v>0</v>
      </c>
      <c r="B1366" t="s">
        <v>34</v>
      </c>
      <c r="C1366">
        <v>2012</v>
      </c>
      <c r="D1366" t="s">
        <v>11</v>
      </c>
      <c r="E1366" t="s">
        <v>115</v>
      </c>
      <c r="F1366" t="s">
        <v>38</v>
      </c>
      <c r="G1366" t="s">
        <v>158</v>
      </c>
      <c r="H1366" s="220" t="s">
        <v>1384</v>
      </c>
    </row>
    <row r="1367" spans="1:8">
      <c r="A1367">
        <v>1</v>
      </c>
      <c r="B1367" t="s">
        <v>145</v>
      </c>
      <c r="C1367">
        <v>2011</v>
      </c>
      <c r="D1367" t="s">
        <v>11</v>
      </c>
      <c r="E1367" t="s">
        <v>115</v>
      </c>
      <c r="F1367" t="s">
        <v>38</v>
      </c>
      <c r="G1367" t="s">
        <v>154</v>
      </c>
      <c r="H1367" s="220" t="s">
        <v>1018</v>
      </c>
    </row>
    <row r="1368" spans="1:8">
      <c r="A1368">
        <v>2</v>
      </c>
      <c r="B1368" t="s">
        <v>146</v>
      </c>
      <c r="C1368">
        <v>2011</v>
      </c>
      <c r="D1368" t="s">
        <v>11</v>
      </c>
      <c r="E1368" t="s">
        <v>115</v>
      </c>
      <c r="F1368" t="s">
        <v>38</v>
      </c>
      <c r="G1368" t="s">
        <v>155</v>
      </c>
      <c r="H1368" s="220" t="s">
        <v>1385</v>
      </c>
    </row>
    <row r="1369" spans="1:8">
      <c r="A1369">
        <v>3</v>
      </c>
      <c r="B1369" t="s">
        <v>147</v>
      </c>
      <c r="C1369">
        <v>2011</v>
      </c>
      <c r="D1369" t="s">
        <v>11</v>
      </c>
      <c r="E1369" t="s">
        <v>115</v>
      </c>
      <c r="F1369" t="s">
        <v>38</v>
      </c>
      <c r="G1369" t="s">
        <v>156</v>
      </c>
      <c r="H1369" s="220" t="s">
        <v>1386</v>
      </c>
    </row>
    <row r="1370" spans="1:8">
      <c r="A1370">
        <v>4</v>
      </c>
      <c r="B1370" t="s">
        <v>148</v>
      </c>
      <c r="C1370">
        <v>2011</v>
      </c>
      <c r="D1370" t="s">
        <v>11</v>
      </c>
      <c r="E1370" t="s">
        <v>115</v>
      </c>
      <c r="F1370" t="s">
        <v>38</v>
      </c>
      <c r="G1370" t="s">
        <v>157</v>
      </c>
      <c r="H1370" s="220" t="s">
        <v>1387</v>
      </c>
    </row>
    <row r="1371" spans="1:8">
      <c r="A1371">
        <v>0</v>
      </c>
      <c r="B1371" t="s">
        <v>34</v>
      </c>
      <c r="C1371">
        <v>2011</v>
      </c>
      <c r="D1371" t="s">
        <v>11</v>
      </c>
      <c r="E1371" t="s">
        <v>115</v>
      </c>
      <c r="F1371" t="s">
        <v>38</v>
      </c>
      <c r="G1371" t="s">
        <v>158</v>
      </c>
      <c r="H1371" s="220" t="s">
        <v>1388</v>
      </c>
    </row>
    <row r="1372" spans="1:8">
      <c r="A1372">
        <v>1</v>
      </c>
      <c r="B1372" t="s">
        <v>145</v>
      </c>
      <c r="C1372">
        <v>2010</v>
      </c>
      <c r="D1372" t="s">
        <v>11</v>
      </c>
      <c r="E1372" t="s">
        <v>115</v>
      </c>
      <c r="F1372" t="s">
        <v>38</v>
      </c>
      <c r="G1372" t="s">
        <v>154</v>
      </c>
      <c r="H1372" s="220" t="s">
        <v>1389</v>
      </c>
    </row>
    <row r="1373" spans="1:8">
      <c r="A1373">
        <v>2</v>
      </c>
      <c r="B1373" t="s">
        <v>146</v>
      </c>
      <c r="C1373">
        <v>2010</v>
      </c>
      <c r="D1373" t="s">
        <v>11</v>
      </c>
      <c r="E1373" t="s">
        <v>115</v>
      </c>
      <c r="F1373" t="s">
        <v>38</v>
      </c>
      <c r="G1373" t="s">
        <v>155</v>
      </c>
      <c r="H1373" s="220" t="s">
        <v>1390</v>
      </c>
    </row>
    <row r="1374" spans="1:8">
      <c r="A1374">
        <v>3</v>
      </c>
      <c r="B1374" t="s">
        <v>147</v>
      </c>
      <c r="C1374">
        <v>2010</v>
      </c>
      <c r="D1374" t="s">
        <v>11</v>
      </c>
      <c r="E1374" t="s">
        <v>115</v>
      </c>
      <c r="F1374" t="s">
        <v>38</v>
      </c>
      <c r="G1374" t="s">
        <v>156</v>
      </c>
      <c r="H1374" s="220" t="s">
        <v>1391</v>
      </c>
    </row>
    <row r="1375" spans="1:8">
      <c r="A1375">
        <v>4</v>
      </c>
      <c r="B1375" t="s">
        <v>148</v>
      </c>
      <c r="C1375">
        <v>2010</v>
      </c>
      <c r="D1375" t="s">
        <v>11</v>
      </c>
      <c r="E1375" t="s">
        <v>115</v>
      </c>
      <c r="F1375" t="s">
        <v>38</v>
      </c>
      <c r="G1375" t="s">
        <v>157</v>
      </c>
      <c r="H1375" s="220" t="s">
        <v>1392</v>
      </c>
    </row>
    <row r="1376" spans="1:8">
      <c r="A1376">
        <v>0</v>
      </c>
      <c r="B1376" t="s">
        <v>34</v>
      </c>
      <c r="C1376">
        <v>2010</v>
      </c>
      <c r="D1376" t="s">
        <v>11</v>
      </c>
      <c r="E1376" t="s">
        <v>115</v>
      </c>
      <c r="F1376" t="s">
        <v>38</v>
      </c>
      <c r="G1376" t="s">
        <v>158</v>
      </c>
      <c r="H1376" s="220" t="s">
        <v>1393</v>
      </c>
    </row>
    <row r="1377" spans="1:8">
      <c r="A1377">
        <v>1</v>
      </c>
      <c r="B1377" t="s">
        <v>145</v>
      </c>
      <c r="C1377">
        <v>2005</v>
      </c>
      <c r="D1377" t="s">
        <v>11</v>
      </c>
      <c r="E1377" t="s">
        <v>115</v>
      </c>
      <c r="F1377" t="s">
        <v>38</v>
      </c>
      <c r="G1377" t="s">
        <v>154</v>
      </c>
      <c r="H1377" s="220" t="s">
        <v>1394</v>
      </c>
    </row>
    <row r="1378" spans="1:8">
      <c r="A1378">
        <v>2</v>
      </c>
      <c r="B1378" t="s">
        <v>146</v>
      </c>
      <c r="C1378">
        <v>2005</v>
      </c>
      <c r="D1378" t="s">
        <v>11</v>
      </c>
      <c r="E1378" t="s">
        <v>115</v>
      </c>
      <c r="F1378" t="s">
        <v>38</v>
      </c>
      <c r="G1378" t="s">
        <v>155</v>
      </c>
      <c r="H1378" s="220" t="s">
        <v>1395</v>
      </c>
    </row>
    <row r="1379" spans="1:8">
      <c r="A1379">
        <v>3</v>
      </c>
      <c r="B1379" t="s">
        <v>147</v>
      </c>
      <c r="C1379">
        <v>2005</v>
      </c>
      <c r="D1379" t="s">
        <v>11</v>
      </c>
      <c r="E1379" t="s">
        <v>115</v>
      </c>
      <c r="F1379" t="s">
        <v>38</v>
      </c>
      <c r="G1379" t="s">
        <v>156</v>
      </c>
      <c r="H1379" s="220" t="s">
        <v>1396</v>
      </c>
    </row>
    <row r="1380" spans="1:8">
      <c r="A1380">
        <v>4</v>
      </c>
      <c r="B1380" t="s">
        <v>148</v>
      </c>
      <c r="C1380">
        <v>2005</v>
      </c>
      <c r="D1380" t="s">
        <v>11</v>
      </c>
      <c r="E1380" t="s">
        <v>115</v>
      </c>
      <c r="F1380" t="s">
        <v>38</v>
      </c>
      <c r="G1380" t="s">
        <v>157</v>
      </c>
      <c r="H1380" s="220" t="s">
        <v>1397</v>
      </c>
    </row>
    <row r="1381" spans="1:8">
      <c r="A1381">
        <v>0</v>
      </c>
      <c r="B1381" t="s">
        <v>34</v>
      </c>
      <c r="C1381">
        <v>2005</v>
      </c>
      <c r="D1381" t="s">
        <v>11</v>
      </c>
      <c r="E1381" t="s">
        <v>115</v>
      </c>
      <c r="F1381" t="s">
        <v>38</v>
      </c>
      <c r="G1381" t="s">
        <v>158</v>
      </c>
      <c r="H1381" s="220" t="s">
        <v>1204</v>
      </c>
    </row>
    <row r="1382" spans="1:8">
      <c r="A1382">
        <v>1</v>
      </c>
      <c r="B1382" t="s">
        <v>145</v>
      </c>
      <c r="C1382">
        <v>2020</v>
      </c>
      <c r="D1382" t="s">
        <v>12</v>
      </c>
      <c r="E1382" t="s">
        <v>115</v>
      </c>
      <c r="F1382" t="s">
        <v>38</v>
      </c>
      <c r="G1382" t="s">
        <v>154</v>
      </c>
      <c r="H1382" s="220" t="s">
        <v>1398</v>
      </c>
    </row>
    <row r="1383" spans="1:8">
      <c r="A1383">
        <v>2</v>
      </c>
      <c r="B1383" t="s">
        <v>146</v>
      </c>
      <c r="C1383">
        <v>2020</v>
      </c>
      <c r="D1383" t="s">
        <v>12</v>
      </c>
      <c r="E1383" t="s">
        <v>115</v>
      </c>
      <c r="F1383" t="s">
        <v>38</v>
      </c>
      <c r="G1383" t="s">
        <v>155</v>
      </c>
      <c r="H1383" s="220" t="s">
        <v>1161</v>
      </c>
    </row>
    <row r="1384" spans="1:8">
      <c r="A1384">
        <v>3</v>
      </c>
      <c r="B1384" t="s">
        <v>147</v>
      </c>
      <c r="C1384">
        <v>2020</v>
      </c>
      <c r="D1384" t="s">
        <v>12</v>
      </c>
      <c r="E1384" t="s">
        <v>115</v>
      </c>
      <c r="F1384" t="s">
        <v>38</v>
      </c>
      <c r="G1384" t="s">
        <v>156</v>
      </c>
      <c r="H1384" s="220" t="s">
        <v>1399</v>
      </c>
    </row>
    <row r="1385" spans="1:8">
      <c r="A1385">
        <v>4</v>
      </c>
      <c r="B1385" t="s">
        <v>148</v>
      </c>
      <c r="C1385">
        <v>2020</v>
      </c>
      <c r="D1385" t="s">
        <v>12</v>
      </c>
      <c r="E1385" t="s">
        <v>115</v>
      </c>
      <c r="F1385" t="s">
        <v>38</v>
      </c>
      <c r="G1385" t="s">
        <v>157</v>
      </c>
      <c r="H1385" s="220" t="s">
        <v>1400</v>
      </c>
    </row>
    <row r="1386" spans="1:8">
      <c r="A1386">
        <v>0</v>
      </c>
      <c r="B1386" t="s">
        <v>34</v>
      </c>
      <c r="C1386">
        <v>2020</v>
      </c>
      <c r="D1386" t="s">
        <v>12</v>
      </c>
      <c r="E1386" t="s">
        <v>115</v>
      </c>
      <c r="F1386" t="s">
        <v>38</v>
      </c>
      <c r="G1386" t="s">
        <v>158</v>
      </c>
      <c r="H1386" s="220" t="s">
        <v>1401</v>
      </c>
    </row>
    <row r="1387" spans="1:8">
      <c r="A1387">
        <v>1</v>
      </c>
      <c r="B1387" t="s">
        <v>145</v>
      </c>
      <c r="C1387">
        <v>2019</v>
      </c>
      <c r="D1387" t="s">
        <v>12</v>
      </c>
      <c r="E1387" t="s">
        <v>115</v>
      </c>
      <c r="F1387" t="s">
        <v>38</v>
      </c>
      <c r="G1387" t="s">
        <v>154</v>
      </c>
      <c r="H1387" s="220" t="s">
        <v>1402</v>
      </c>
    </row>
    <row r="1388" spans="1:8">
      <c r="A1388">
        <v>2</v>
      </c>
      <c r="B1388" t="s">
        <v>146</v>
      </c>
      <c r="C1388">
        <v>2019</v>
      </c>
      <c r="D1388" t="s">
        <v>12</v>
      </c>
      <c r="E1388" t="s">
        <v>115</v>
      </c>
      <c r="F1388" t="s">
        <v>38</v>
      </c>
      <c r="G1388" t="s">
        <v>155</v>
      </c>
      <c r="H1388" s="220" t="s">
        <v>1403</v>
      </c>
    </row>
    <row r="1389" spans="1:8">
      <c r="A1389">
        <v>3</v>
      </c>
      <c r="B1389" t="s">
        <v>147</v>
      </c>
      <c r="C1389">
        <v>2019</v>
      </c>
      <c r="D1389" t="s">
        <v>12</v>
      </c>
      <c r="E1389" t="s">
        <v>115</v>
      </c>
      <c r="F1389" t="s">
        <v>38</v>
      </c>
      <c r="G1389" t="s">
        <v>156</v>
      </c>
      <c r="H1389" s="220" t="s">
        <v>1404</v>
      </c>
    </row>
    <row r="1390" spans="1:8">
      <c r="A1390">
        <v>4</v>
      </c>
      <c r="B1390" t="s">
        <v>148</v>
      </c>
      <c r="C1390">
        <v>2019</v>
      </c>
      <c r="D1390" t="s">
        <v>12</v>
      </c>
      <c r="E1390" t="s">
        <v>115</v>
      </c>
      <c r="F1390" t="s">
        <v>38</v>
      </c>
      <c r="G1390" t="s">
        <v>157</v>
      </c>
      <c r="H1390" s="220" t="s">
        <v>1330</v>
      </c>
    </row>
    <row r="1391" spans="1:8">
      <c r="A1391">
        <v>0</v>
      </c>
      <c r="B1391" t="s">
        <v>34</v>
      </c>
      <c r="C1391">
        <v>2019</v>
      </c>
      <c r="D1391" t="s">
        <v>12</v>
      </c>
      <c r="E1391" t="s">
        <v>115</v>
      </c>
      <c r="F1391" t="s">
        <v>38</v>
      </c>
      <c r="G1391" t="s">
        <v>158</v>
      </c>
      <c r="H1391" s="220" t="s">
        <v>1405</v>
      </c>
    </row>
    <row r="1392" spans="1:8">
      <c r="A1392">
        <v>1</v>
      </c>
      <c r="B1392" t="s">
        <v>145</v>
      </c>
      <c r="C1392">
        <v>2018</v>
      </c>
      <c r="D1392" t="s">
        <v>12</v>
      </c>
      <c r="E1392" t="s">
        <v>115</v>
      </c>
      <c r="F1392" t="s">
        <v>38</v>
      </c>
      <c r="G1392" t="s">
        <v>154</v>
      </c>
      <c r="H1392" s="220" t="s">
        <v>1406</v>
      </c>
    </row>
    <row r="1393" spans="1:8">
      <c r="A1393">
        <v>2</v>
      </c>
      <c r="B1393" t="s">
        <v>146</v>
      </c>
      <c r="C1393">
        <v>2018</v>
      </c>
      <c r="D1393" t="s">
        <v>12</v>
      </c>
      <c r="E1393" t="s">
        <v>115</v>
      </c>
      <c r="F1393" t="s">
        <v>38</v>
      </c>
      <c r="G1393" t="s">
        <v>155</v>
      </c>
      <c r="H1393" s="220" t="s">
        <v>1407</v>
      </c>
    </row>
    <row r="1394" spans="1:8">
      <c r="A1394">
        <v>3</v>
      </c>
      <c r="B1394" t="s">
        <v>147</v>
      </c>
      <c r="C1394">
        <v>2018</v>
      </c>
      <c r="D1394" t="s">
        <v>12</v>
      </c>
      <c r="E1394" t="s">
        <v>115</v>
      </c>
      <c r="F1394" t="s">
        <v>38</v>
      </c>
      <c r="G1394" t="s">
        <v>156</v>
      </c>
      <c r="H1394" s="220" t="s">
        <v>1408</v>
      </c>
    </row>
    <row r="1395" spans="1:8">
      <c r="A1395">
        <v>4</v>
      </c>
      <c r="B1395" t="s">
        <v>148</v>
      </c>
      <c r="C1395">
        <v>2018</v>
      </c>
      <c r="D1395" t="s">
        <v>12</v>
      </c>
      <c r="E1395" t="s">
        <v>115</v>
      </c>
      <c r="F1395" t="s">
        <v>38</v>
      </c>
      <c r="G1395" t="s">
        <v>157</v>
      </c>
      <c r="H1395" s="220" t="s">
        <v>1399</v>
      </c>
    </row>
    <row r="1396" spans="1:8">
      <c r="A1396">
        <v>0</v>
      </c>
      <c r="B1396" t="s">
        <v>34</v>
      </c>
      <c r="C1396">
        <v>2018</v>
      </c>
      <c r="D1396" t="s">
        <v>12</v>
      </c>
      <c r="E1396" t="s">
        <v>115</v>
      </c>
      <c r="F1396" t="s">
        <v>38</v>
      </c>
      <c r="G1396" t="s">
        <v>158</v>
      </c>
      <c r="H1396" s="220" t="s">
        <v>1409</v>
      </c>
    </row>
    <row r="1397" spans="1:8">
      <c r="A1397">
        <v>1</v>
      </c>
      <c r="B1397" t="s">
        <v>145</v>
      </c>
      <c r="C1397">
        <v>2017</v>
      </c>
      <c r="D1397" t="s">
        <v>12</v>
      </c>
      <c r="E1397" t="s">
        <v>115</v>
      </c>
      <c r="F1397" t="s">
        <v>38</v>
      </c>
      <c r="G1397" t="s">
        <v>154</v>
      </c>
      <c r="H1397" s="220" t="s">
        <v>1410</v>
      </c>
    </row>
    <row r="1398" spans="1:8">
      <c r="A1398">
        <v>2</v>
      </c>
      <c r="B1398" t="s">
        <v>146</v>
      </c>
      <c r="C1398">
        <v>2017</v>
      </c>
      <c r="D1398" t="s">
        <v>12</v>
      </c>
      <c r="E1398" t="s">
        <v>115</v>
      </c>
      <c r="F1398" t="s">
        <v>38</v>
      </c>
      <c r="G1398" t="s">
        <v>155</v>
      </c>
      <c r="H1398" s="220" t="s">
        <v>1411</v>
      </c>
    </row>
    <row r="1399" spans="1:8">
      <c r="A1399">
        <v>3</v>
      </c>
      <c r="B1399" t="s">
        <v>147</v>
      </c>
      <c r="C1399">
        <v>2017</v>
      </c>
      <c r="D1399" t="s">
        <v>12</v>
      </c>
      <c r="E1399" t="s">
        <v>115</v>
      </c>
      <c r="F1399" t="s">
        <v>38</v>
      </c>
      <c r="G1399" t="s">
        <v>156</v>
      </c>
      <c r="H1399" s="220" t="s">
        <v>1412</v>
      </c>
    </row>
    <row r="1400" spans="1:8">
      <c r="A1400">
        <v>4</v>
      </c>
      <c r="B1400" t="s">
        <v>148</v>
      </c>
      <c r="C1400">
        <v>2017</v>
      </c>
      <c r="D1400" t="s">
        <v>12</v>
      </c>
      <c r="E1400" t="s">
        <v>115</v>
      </c>
      <c r="F1400" t="s">
        <v>38</v>
      </c>
      <c r="G1400" t="s">
        <v>157</v>
      </c>
      <c r="H1400" s="220" t="s">
        <v>1413</v>
      </c>
    </row>
    <row r="1401" spans="1:8">
      <c r="A1401">
        <v>0</v>
      </c>
      <c r="B1401" t="s">
        <v>34</v>
      </c>
      <c r="C1401">
        <v>2017</v>
      </c>
      <c r="D1401" t="s">
        <v>12</v>
      </c>
      <c r="E1401" t="s">
        <v>115</v>
      </c>
      <c r="F1401" t="s">
        <v>38</v>
      </c>
      <c r="G1401" t="s">
        <v>158</v>
      </c>
      <c r="H1401" s="220" t="s">
        <v>1414</v>
      </c>
    </row>
    <row r="1402" spans="1:8">
      <c r="A1402">
        <v>1</v>
      </c>
      <c r="B1402" t="s">
        <v>145</v>
      </c>
      <c r="C1402">
        <v>2016</v>
      </c>
      <c r="D1402" t="s">
        <v>12</v>
      </c>
      <c r="E1402" t="s">
        <v>115</v>
      </c>
      <c r="F1402" t="s">
        <v>38</v>
      </c>
      <c r="G1402" t="s">
        <v>154</v>
      </c>
      <c r="H1402" s="220" t="s">
        <v>1415</v>
      </c>
    </row>
    <row r="1403" spans="1:8">
      <c r="A1403">
        <v>2</v>
      </c>
      <c r="B1403" t="s">
        <v>146</v>
      </c>
      <c r="C1403">
        <v>2016</v>
      </c>
      <c r="D1403" t="s">
        <v>12</v>
      </c>
      <c r="E1403" t="s">
        <v>115</v>
      </c>
      <c r="F1403" t="s">
        <v>38</v>
      </c>
      <c r="G1403" t="s">
        <v>155</v>
      </c>
      <c r="H1403" s="220" t="s">
        <v>1416</v>
      </c>
    </row>
    <row r="1404" spans="1:8">
      <c r="A1404">
        <v>3</v>
      </c>
      <c r="B1404" t="s">
        <v>147</v>
      </c>
      <c r="C1404">
        <v>2016</v>
      </c>
      <c r="D1404" t="s">
        <v>12</v>
      </c>
      <c r="E1404" t="s">
        <v>115</v>
      </c>
      <c r="F1404" t="s">
        <v>38</v>
      </c>
      <c r="G1404" t="s">
        <v>156</v>
      </c>
      <c r="H1404" s="220" t="s">
        <v>1417</v>
      </c>
    </row>
    <row r="1405" spans="1:8">
      <c r="A1405">
        <v>4</v>
      </c>
      <c r="B1405" t="s">
        <v>148</v>
      </c>
      <c r="C1405">
        <v>2016</v>
      </c>
      <c r="D1405" t="s">
        <v>12</v>
      </c>
      <c r="E1405" t="s">
        <v>115</v>
      </c>
      <c r="F1405" t="s">
        <v>38</v>
      </c>
      <c r="G1405" t="s">
        <v>157</v>
      </c>
      <c r="H1405" s="220" t="s">
        <v>1418</v>
      </c>
    </row>
    <row r="1406" spans="1:8">
      <c r="A1406">
        <v>0</v>
      </c>
      <c r="B1406" t="s">
        <v>34</v>
      </c>
      <c r="C1406">
        <v>2016</v>
      </c>
      <c r="D1406" t="s">
        <v>12</v>
      </c>
      <c r="E1406" t="s">
        <v>115</v>
      </c>
      <c r="F1406" t="s">
        <v>38</v>
      </c>
      <c r="G1406" t="s">
        <v>158</v>
      </c>
      <c r="H1406" s="220" t="s">
        <v>1419</v>
      </c>
    </row>
    <row r="1407" spans="1:8">
      <c r="A1407">
        <v>1</v>
      </c>
      <c r="B1407" t="s">
        <v>145</v>
      </c>
      <c r="C1407">
        <v>2015</v>
      </c>
      <c r="D1407" t="s">
        <v>12</v>
      </c>
      <c r="E1407" t="s">
        <v>115</v>
      </c>
      <c r="F1407" t="s">
        <v>38</v>
      </c>
      <c r="G1407" t="s">
        <v>154</v>
      </c>
      <c r="H1407" s="220" t="s">
        <v>1420</v>
      </c>
    </row>
    <row r="1408" spans="1:8">
      <c r="A1408">
        <v>2</v>
      </c>
      <c r="B1408" t="s">
        <v>146</v>
      </c>
      <c r="C1408">
        <v>2015</v>
      </c>
      <c r="D1408" t="s">
        <v>12</v>
      </c>
      <c r="E1408" t="s">
        <v>115</v>
      </c>
      <c r="F1408" t="s">
        <v>38</v>
      </c>
      <c r="G1408" t="s">
        <v>155</v>
      </c>
      <c r="H1408" s="220" t="s">
        <v>1421</v>
      </c>
    </row>
    <row r="1409" spans="1:8">
      <c r="A1409">
        <v>3</v>
      </c>
      <c r="B1409" t="s">
        <v>147</v>
      </c>
      <c r="C1409">
        <v>2015</v>
      </c>
      <c r="D1409" t="s">
        <v>12</v>
      </c>
      <c r="E1409" t="s">
        <v>115</v>
      </c>
      <c r="F1409" t="s">
        <v>38</v>
      </c>
      <c r="G1409" t="s">
        <v>156</v>
      </c>
      <c r="H1409" s="220" t="s">
        <v>1417</v>
      </c>
    </row>
    <row r="1410" spans="1:8">
      <c r="A1410">
        <v>4</v>
      </c>
      <c r="B1410" t="s">
        <v>148</v>
      </c>
      <c r="C1410">
        <v>2015</v>
      </c>
      <c r="D1410" t="s">
        <v>12</v>
      </c>
      <c r="E1410" t="s">
        <v>115</v>
      </c>
      <c r="F1410" t="s">
        <v>38</v>
      </c>
      <c r="G1410" t="s">
        <v>157</v>
      </c>
      <c r="H1410" s="220" t="s">
        <v>1422</v>
      </c>
    </row>
    <row r="1411" spans="1:8">
      <c r="A1411">
        <v>0</v>
      </c>
      <c r="B1411" t="s">
        <v>34</v>
      </c>
      <c r="C1411">
        <v>2015</v>
      </c>
      <c r="D1411" t="s">
        <v>12</v>
      </c>
      <c r="E1411" t="s">
        <v>115</v>
      </c>
      <c r="F1411" t="s">
        <v>38</v>
      </c>
      <c r="G1411" t="s">
        <v>158</v>
      </c>
      <c r="H1411" s="220" t="s">
        <v>1423</v>
      </c>
    </row>
    <row r="1412" spans="1:8">
      <c r="A1412">
        <v>1</v>
      </c>
      <c r="B1412" t="s">
        <v>145</v>
      </c>
      <c r="C1412">
        <v>2014</v>
      </c>
      <c r="D1412" t="s">
        <v>12</v>
      </c>
      <c r="E1412" t="s">
        <v>115</v>
      </c>
      <c r="F1412" t="s">
        <v>38</v>
      </c>
      <c r="G1412" t="s">
        <v>154</v>
      </c>
      <c r="H1412" s="220" t="s">
        <v>1424</v>
      </c>
    </row>
    <row r="1413" spans="1:8">
      <c r="A1413">
        <v>2</v>
      </c>
      <c r="B1413" t="s">
        <v>146</v>
      </c>
      <c r="C1413">
        <v>2014</v>
      </c>
      <c r="D1413" t="s">
        <v>12</v>
      </c>
      <c r="E1413" t="s">
        <v>115</v>
      </c>
      <c r="F1413" t="s">
        <v>38</v>
      </c>
      <c r="G1413" t="s">
        <v>155</v>
      </c>
      <c r="H1413" s="220" t="s">
        <v>1158</v>
      </c>
    </row>
    <row r="1414" spans="1:8">
      <c r="A1414">
        <v>3</v>
      </c>
      <c r="B1414" t="s">
        <v>147</v>
      </c>
      <c r="C1414">
        <v>2014</v>
      </c>
      <c r="D1414" t="s">
        <v>12</v>
      </c>
      <c r="E1414" t="s">
        <v>115</v>
      </c>
      <c r="F1414" t="s">
        <v>38</v>
      </c>
      <c r="G1414" t="s">
        <v>156</v>
      </c>
      <c r="H1414" s="220" t="s">
        <v>1425</v>
      </c>
    </row>
    <row r="1415" spans="1:8">
      <c r="A1415">
        <v>4</v>
      </c>
      <c r="B1415" t="s">
        <v>148</v>
      </c>
      <c r="C1415">
        <v>2014</v>
      </c>
      <c r="D1415" t="s">
        <v>12</v>
      </c>
      <c r="E1415" t="s">
        <v>115</v>
      </c>
      <c r="F1415" t="s">
        <v>38</v>
      </c>
      <c r="G1415" t="s">
        <v>157</v>
      </c>
      <c r="H1415" s="220" t="s">
        <v>1426</v>
      </c>
    </row>
    <row r="1416" spans="1:8">
      <c r="A1416">
        <v>0</v>
      </c>
      <c r="B1416" t="s">
        <v>34</v>
      </c>
      <c r="C1416">
        <v>2014</v>
      </c>
      <c r="D1416" t="s">
        <v>12</v>
      </c>
      <c r="E1416" t="s">
        <v>115</v>
      </c>
      <c r="F1416" t="s">
        <v>38</v>
      </c>
      <c r="G1416" t="s">
        <v>158</v>
      </c>
      <c r="H1416" s="220" t="s">
        <v>1427</v>
      </c>
    </row>
    <row r="1417" spans="1:8">
      <c r="A1417">
        <v>1</v>
      </c>
      <c r="B1417" t="s">
        <v>145</v>
      </c>
      <c r="C1417">
        <v>2013</v>
      </c>
      <c r="D1417" t="s">
        <v>12</v>
      </c>
      <c r="E1417" t="s">
        <v>115</v>
      </c>
      <c r="F1417" t="s">
        <v>38</v>
      </c>
      <c r="G1417" t="s">
        <v>154</v>
      </c>
      <c r="H1417" s="220" t="s">
        <v>1428</v>
      </c>
    </row>
    <row r="1418" spans="1:8">
      <c r="A1418">
        <v>2</v>
      </c>
      <c r="B1418" t="s">
        <v>146</v>
      </c>
      <c r="C1418">
        <v>2013</v>
      </c>
      <c r="D1418" t="s">
        <v>12</v>
      </c>
      <c r="E1418" t="s">
        <v>115</v>
      </c>
      <c r="F1418" t="s">
        <v>38</v>
      </c>
      <c r="G1418" t="s">
        <v>155</v>
      </c>
      <c r="H1418" s="220" t="s">
        <v>1128</v>
      </c>
    </row>
    <row r="1419" spans="1:8">
      <c r="A1419">
        <v>3</v>
      </c>
      <c r="B1419" t="s">
        <v>147</v>
      </c>
      <c r="C1419">
        <v>2013</v>
      </c>
      <c r="D1419" t="s">
        <v>12</v>
      </c>
      <c r="E1419" t="s">
        <v>115</v>
      </c>
      <c r="F1419" t="s">
        <v>38</v>
      </c>
      <c r="G1419" t="s">
        <v>156</v>
      </c>
      <c r="H1419" s="220" t="s">
        <v>26</v>
      </c>
    </row>
    <row r="1420" spans="1:8">
      <c r="A1420">
        <v>4</v>
      </c>
      <c r="B1420" t="s">
        <v>148</v>
      </c>
      <c r="C1420">
        <v>2013</v>
      </c>
      <c r="D1420" t="s">
        <v>12</v>
      </c>
      <c r="E1420" t="s">
        <v>115</v>
      </c>
      <c r="F1420" t="s">
        <v>38</v>
      </c>
      <c r="G1420" t="s">
        <v>157</v>
      </c>
      <c r="H1420" s="220" t="s">
        <v>1429</v>
      </c>
    </row>
    <row r="1421" spans="1:8">
      <c r="A1421">
        <v>0</v>
      </c>
      <c r="B1421" t="s">
        <v>34</v>
      </c>
      <c r="C1421">
        <v>2013</v>
      </c>
      <c r="D1421" t="s">
        <v>12</v>
      </c>
      <c r="E1421" t="s">
        <v>115</v>
      </c>
      <c r="F1421" t="s">
        <v>38</v>
      </c>
      <c r="G1421" t="s">
        <v>158</v>
      </c>
      <c r="H1421" s="220" t="s">
        <v>1430</v>
      </c>
    </row>
    <row r="1422" spans="1:8">
      <c r="A1422">
        <v>1</v>
      </c>
      <c r="B1422" t="s">
        <v>145</v>
      </c>
      <c r="C1422">
        <v>2012</v>
      </c>
      <c r="D1422" t="s">
        <v>12</v>
      </c>
      <c r="E1422" t="s">
        <v>115</v>
      </c>
      <c r="F1422" t="s">
        <v>38</v>
      </c>
      <c r="G1422" t="s">
        <v>154</v>
      </c>
      <c r="H1422" s="220" t="s">
        <v>1325</v>
      </c>
    </row>
    <row r="1423" spans="1:8">
      <c r="A1423">
        <v>2</v>
      </c>
      <c r="B1423" t="s">
        <v>146</v>
      </c>
      <c r="C1423">
        <v>2012</v>
      </c>
      <c r="D1423" t="s">
        <v>12</v>
      </c>
      <c r="E1423" t="s">
        <v>115</v>
      </c>
      <c r="F1423" t="s">
        <v>38</v>
      </c>
      <c r="G1423" t="s">
        <v>155</v>
      </c>
      <c r="H1423" s="220" t="s">
        <v>1147</v>
      </c>
    </row>
    <row r="1424" spans="1:8">
      <c r="A1424">
        <v>3</v>
      </c>
      <c r="B1424" t="s">
        <v>147</v>
      </c>
      <c r="C1424">
        <v>2012</v>
      </c>
      <c r="D1424" t="s">
        <v>12</v>
      </c>
      <c r="E1424" t="s">
        <v>115</v>
      </c>
      <c r="F1424" t="s">
        <v>38</v>
      </c>
      <c r="G1424" t="s">
        <v>156</v>
      </c>
      <c r="H1424" s="220" t="s">
        <v>19</v>
      </c>
    </row>
    <row r="1425" spans="1:8">
      <c r="A1425">
        <v>4</v>
      </c>
      <c r="B1425" t="s">
        <v>148</v>
      </c>
      <c r="C1425">
        <v>2012</v>
      </c>
      <c r="D1425" t="s">
        <v>12</v>
      </c>
      <c r="E1425" t="s">
        <v>115</v>
      </c>
      <c r="F1425" t="s">
        <v>38</v>
      </c>
      <c r="G1425" t="s">
        <v>157</v>
      </c>
      <c r="H1425" s="220" t="s">
        <v>1431</v>
      </c>
    </row>
    <row r="1426" spans="1:8">
      <c r="A1426">
        <v>0</v>
      </c>
      <c r="B1426" t="s">
        <v>34</v>
      </c>
      <c r="C1426">
        <v>2012</v>
      </c>
      <c r="D1426" t="s">
        <v>12</v>
      </c>
      <c r="E1426" t="s">
        <v>115</v>
      </c>
      <c r="F1426" t="s">
        <v>38</v>
      </c>
      <c r="G1426" t="s">
        <v>158</v>
      </c>
      <c r="H1426" s="220" t="s">
        <v>1432</v>
      </c>
    </row>
    <row r="1427" spans="1:8">
      <c r="A1427">
        <v>1</v>
      </c>
      <c r="B1427" t="s">
        <v>145</v>
      </c>
      <c r="C1427">
        <v>2011</v>
      </c>
      <c r="D1427" t="s">
        <v>12</v>
      </c>
      <c r="E1427" t="s">
        <v>115</v>
      </c>
      <c r="F1427" t="s">
        <v>38</v>
      </c>
      <c r="G1427" t="s">
        <v>154</v>
      </c>
      <c r="H1427" s="220" t="s">
        <v>1433</v>
      </c>
    </row>
    <row r="1428" spans="1:8">
      <c r="A1428">
        <v>2</v>
      </c>
      <c r="B1428" t="s">
        <v>146</v>
      </c>
      <c r="C1428">
        <v>2011</v>
      </c>
      <c r="D1428" t="s">
        <v>12</v>
      </c>
      <c r="E1428" t="s">
        <v>115</v>
      </c>
      <c r="F1428" t="s">
        <v>38</v>
      </c>
      <c r="G1428" t="s">
        <v>155</v>
      </c>
      <c r="H1428" s="220" t="s">
        <v>1434</v>
      </c>
    </row>
    <row r="1429" spans="1:8">
      <c r="A1429">
        <v>3</v>
      </c>
      <c r="B1429" t="s">
        <v>147</v>
      </c>
      <c r="C1429">
        <v>2011</v>
      </c>
      <c r="D1429" t="s">
        <v>12</v>
      </c>
      <c r="E1429" t="s">
        <v>115</v>
      </c>
      <c r="F1429" t="s">
        <v>38</v>
      </c>
      <c r="G1429" t="s">
        <v>156</v>
      </c>
      <c r="H1429" s="220" t="s">
        <v>14</v>
      </c>
    </row>
    <row r="1430" spans="1:8">
      <c r="A1430">
        <v>4</v>
      </c>
      <c r="B1430" t="s">
        <v>148</v>
      </c>
      <c r="C1430">
        <v>2011</v>
      </c>
      <c r="D1430" t="s">
        <v>12</v>
      </c>
      <c r="E1430" t="s">
        <v>115</v>
      </c>
      <c r="F1430" t="s">
        <v>38</v>
      </c>
      <c r="G1430" t="s">
        <v>157</v>
      </c>
      <c r="H1430" s="220" t="s">
        <v>1435</v>
      </c>
    </row>
    <row r="1431" spans="1:8">
      <c r="A1431">
        <v>0</v>
      </c>
      <c r="B1431" t="s">
        <v>34</v>
      </c>
      <c r="C1431">
        <v>2011</v>
      </c>
      <c r="D1431" t="s">
        <v>12</v>
      </c>
      <c r="E1431" t="s">
        <v>115</v>
      </c>
      <c r="F1431" t="s">
        <v>38</v>
      </c>
      <c r="G1431" t="s">
        <v>158</v>
      </c>
      <c r="H1431" s="220" t="s">
        <v>1436</v>
      </c>
    </row>
    <row r="1432" spans="1:8">
      <c r="A1432">
        <v>1</v>
      </c>
      <c r="B1432" t="s">
        <v>145</v>
      </c>
      <c r="C1432">
        <v>2010</v>
      </c>
      <c r="D1432" t="s">
        <v>12</v>
      </c>
      <c r="E1432" t="s">
        <v>115</v>
      </c>
      <c r="F1432" t="s">
        <v>38</v>
      </c>
      <c r="G1432" t="s">
        <v>154</v>
      </c>
      <c r="H1432" s="220" t="s">
        <v>1437</v>
      </c>
    </row>
    <row r="1433" spans="1:8">
      <c r="A1433">
        <v>2</v>
      </c>
      <c r="B1433" t="s">
        <v>146</v>
      </c>
      <c r="C1433">
        <v>2010</v>
      </c>
      <c r="D1433" t="s">
        <v>12</v>
      </c>
      <c r="E1433" t="s">
        <v>115</v>
      </c>
      <c r="F1433" t="s">
        <v>38</v>
      </c>
      <c r="G1433" t="s">
        <v>155</v>
      </c>
      <c r="H1433" s="220" t="s">
        <v>1315</v>
      </c>
    </row>
    <row r="1434" spans="1:8">
      <c r="A1434">
        <v>3</v>
      </c>
      <c r="B1434" t="s">
        <v>147</v>
      </c>
      <c r="C1434">
        <v>2010</v>
      </c>
      <c r="D1434" t="s">
        <v>12</v>
      </c>
      <c r="E1434" t="s">
        <v>115</v>
      </c>
      <c r="F1434" t="s">
        <v>38</v>
      </c>
      <c r="G1434" t="s">
        <v>156</v>
      </c>
      <c r="H1434" s="220" t="s">
        <v>15</v>
      </c>
    </row>
    <row r="1435" spans="1:8">
      <c r="A1435">
        <v>4</v>
      </c>
      <c r="B1435" t="s">
        <v>148</v>
      </c>
      <c r="C1435">
        <v>2010</v>
      </c>
      <c r="D1435" t="s">
        <v>12</v>
      </c>
      <c r="E1435" t="s">
        <v>115</v>
      </c>
      <c r="F1435" t="s">
        <v>38</v>
      </c>
      <c r="G1435" t="s">
        <v>157</v>
      </c>
      <c r="H1435" s="220" t="s">
        <v>1438</v>
      </c>
    </row>
    <row r="1436" spans="1:8">
      <c r="A1436">
        <v>0</v>
      </c>
      <c r="B1436" t="s">
        <v>34</v>
      </c>
      <c r="C1436">
        <v>2010</v>
      </c>
      <c r="D1436" t="s">
        <v>12</v>
      </c>
      <c r="E1436" t="s">
        <v>115</v>
      </c>
      <c r="F1436" t="s">
        <v>38</v>
      </c>
      <c r="G1436" t="s">
        <v>158</v>
      </c>
      <c r="H1436" s="220" t="s">
        <v>1439</v>
      </c>
    </row>
    <row r="1437" spans="1:8">
      <c r="A1437">
        <v>1</v>
      </c>
      <c r="B1437" t="s">
        <v>145</v>
      </c>
      <c r="C1437">
        <v>2005</v>
      </c>
      <c r="D1437" t="s">
        <v>12</v>
      </c>
      <c r="E1437" t="s">
        <v>115</v>
      </c>
      <c r="F1437" t="s">
        <v>38</v>
      </c>
      <c r="G1437" t="s">
        <v>154</v>
      </c>
      <c r="H1437" s="220" t="s">
        <v>1426</v>
      </c>
    </row>
    <row r="1438" spans="1:8">
      <c r="A1438">
        <v>2</v>
      </c>
      <c r="B1438" t="s">
        <v>146</v>
      </c>
      <c r="C1438">
        <v>2005</v>
      </c>
      <c r="D1438" t="s">
        <v>12</v>
      </c>
      <c r="E1438" t="s">
        <v>115</v>
      </c>
      <c r="F1438" t="s">
        <v>38</v>
      </c>
      <c r="G1438" t="s">
        <v>155</v>
      </c>
      <c r="H1438" s="220" t="s">
        <v>1440</v>
      </c>
    </row>
    <row r="1439" spans="1:8">
      <c r="A1439">
        <v>3</v>
      </c>
      <c r="B1439" t="s">
        <v>147</v>
      </c>
      <c r="C1439">
        <v>2005</v>
      </c>
      <c r="D1439" t="s">
        <v>12</v>
      </c>
      <c r="E1439" t="s">
        <v>115</v>
      </c>
      <c r="F1439" t="s">
        <v>38</v>
      </c>
      <c r="G1439" t="s">
        <v>156</v>
      </c>
      <c r="H1439" s="220" t="s">
        <v>705</v>
      </c>
    </row>
    <row r="1440" spans="1:8">
      <c r="A1440">
        <v>4</v>
      </c>
      <c r="B1440" t="s">
        <v>148</v>
      </c>
      <c r="C1440">
        <v>2005</v>
      </c>
      <c r="D1440" t="s">
        <v>12</v>
      </c>
      <c r="E1440" t="s">
        <v>115</v>
      </c>
      <c r="F1440" t="s">
        <v>38</v>
      </c>
      <c r="G1440" t="s">
        <v>157</v>
      </c>
      <c r="H1440" s="220" t="s">
        <v>1441</v>
      </c>
    </row>
    <row r="1441" spans="1:8">
      <c r="A1441">
        <v>0</v>
      </c>
      <c r="B1441" t="s">
        <v>34</v>
      </c>
      <c r="C1441">
        <v>2005</v>
      </c>
      <c r="D1441" t="s">
        <v>12</v>
      </c>
      <c r="E1441" t="s">
        <v>115</v>
      </c>
      <c r="F1441" t="s">
        <v>38</v>
      </c>
      <c r="G1441" t="s">
        <v>158</v>
      </c>
      <c r="H1441" s="220" t="s">
        <v>1309</v>
      </c>
    </row>
    <row r="1442" spans="1:8">
      <c r="A1442">
        <v>1</v>
      </c>
      <c r="B1442" t="s">
        <v>145</v>
      </c>
      <c r="C1442">
        <v>2020</v>
      </c>
      <c r="D1442" t="s">
        <v>11</v>
      </c>
      <c r="E1442" t="s">
        <v>9</v>
      </c>
      <c r="F1442" t="s">
        <v>38</v>
      </c>
      <c r="G1442" t="s">
        <v>154</v>
      </c>
      <c r="H1442" s="220" t="s">
        <v>1442</v>
      </c>
    </row>
    <row r="1443" spans="1:8">
      <c r="A1443">
        <v>2</v>
      </c>
      <c r="B1443" t="s">
        <v>146</v>
      </c>
      <c r="C1443">
        <v>2020</v>
      </c>
      <c r="D1443" t="s">
        <v>11</v>
      </c>
      <c r="E1443" t="s">
        <v>9</v>
      </c>
      <c r="F1443" t="s">
        <v>38</v>
      </c>
      <c r="G1443" t="s">
        <v>155</v>
      </c>
      <c r="H1443" s="220" t="s">
        <v>1416</v>
      </c>
    </row>
    <row r="1444" spans="1:8">
      <c r="A1444">
        <v>3</v>
      </c>
      <c r="B1444" t="s">
        <v>147</v>
      </c>
      <c r="C1444">
        <v>2020</v>
      </c>
      <c r="D1444" t="s">
        <v>11</v>
      </c>
      <c r="E1444" t="s">
        <v>9</v>
      </c>
      <c r="F1444" t="s">
        <v>38</v>
      </c>
      <c r="G1444" t="s">
        <v>156</v>
      </c>
      <c r="H1444" s="220" t="s">
        <v>1443</v>
      </c>
    </row>
    <row r="1445" spans="1:8">
      <c r="A1445">
        <v>4</v>
      </c>
      <c r="B1445" t="s">
        <v>148</v>
      </c>
      <c r="C1445">
        <v>2020</v>
      </c>
      <c r="D1445" t="s">
        <v>11</v>
      </c>
      <c r="E1445" t="s">
        <v>9</v>
      </c>
      <c r="F1445" t="s">
        <v>38</v>
      </c>
      <c r="G1445" t="s">
        <v>157</v>
      </c>
      <c r="H1445" s="220" t="s">
        <v>1444</v>
      </c>
    </row>
    <row r="1446" spans="1:8">
      <c r="A1446">
        <v>0</v>
      </c>
      <c r="B1446" t="s">
        <v>34</v>
      </c>
      <c r="C1446">
        <v>2020</v>
      </c>
      <c r="D1446" t="s">
        <v>11</v>
      </c>
      <c r="E1446" t="s">
        <v>9</v>
      </c>
      <c r="F1446" t="s">
        <v>38</v>
      </c>
      <c r="G1446" t="s">
        <v>158</v>
      </c>
      <c r="H1446" s="220" t="s">
        <v>1445</v>
      </c>
    </row>
    <row r="1447" spans="1:8">
      <c r="A1447">
        <v>1</v>
      </c>
      <c r="B1447" t="s">
        <v>145</v>
      </c>
      <c r="C1447">
        <v>2019</v>
      </c>
      <c r="D1447" t="s">
        <v>11</v>
      </c>
      <c r="E1447" t="s">
        <v>9</v>
      </c>
      <c r="F1447" t="s">
        <v>38</v>
      </c>
      <c r="G1447" t="s">
        <v>154</v>
      </c>
      <c r="H1447" s="220" t="s">
        <v>1411</v>
      </c>
    </row>
    <row r="1448" spans="1:8">
      <c r="A1448">
        <v>2</v>
      </c>
      <c r="B1448" t="s">
        <v>146</v>
      </c>
      <c r="C1448">
        <v>2019</v>
      </c>
      <c r="D1448" t="s">
        <v>11</v>
      </c>
      <c r="E1448" t="s">
        <v>9</v>
      </c>
      <c r="F1448" t="s">
        <v>38</v>
      </c>
      <c r="G1448" t="s">
        <v>155</v>
      </c>
      <c r="H1448" s="220" t="s">
        <v>1446</v>
      </c>
    </row>
    <row r="1449" spans="1:8">
      <c r="A1449">
        <v>3</v>
      </c>
      <c r="B1449" t="s">
        <v>147</v>
      </c>
      <c r="C1449">
        <v>2019</v>
      </c>
      <c r="D1449" t="s">
        <v>11</v>
      </c>
      <c r="E1449" t="s">
        <v>9</v>
      </c>
      <c r="F1449" t="s">
        <v>38</v>
      </c>
      <c r="G1449" t="s">
        <v>156</v>
      </c>
      <c r="H1449" s="220" t="s">
        <v>1008</v>
      </c>
    </row>
    <row r="1450" spans="1:8">
      <c r="A1450">
        <v>4</v>
      </c>
      <c r="B1450" t="s">
        <v>148</v>
      </c>
      <c r="C1450">
        <v>2019</v>
      </c>
      <c r="D1450" t="s">
        <v>11</v>
      </c>
      <c r="E1450" t="s">
        <v>9</v>
      </c>
      <c r="F1450" t="s">
        <v>38</v>
      </c>
      <c r="G1450" t="s">
        <v>157</v>
      </c>
      <c r="H1450" s="220" t="s">
        <v>1447</v>
      </c>
    </row>
    <row r="1451" spans="1:8">
      <c r="A1451">
        <v>0</v>
      </c>
      <c r="B1451" t="s">
        <v>34</v>
      </c>
      <c r="C1451">
        <v>2019</v>
      </c>
      <c r="D1451" t="s">
        <v>11</v>
      </c>
      <c r="E1451" t="s">
        <v>9</v>
      </c>
      <c r="F1451" t="s">
        <v>38</v>
      </c>
      <c r="G1451" t="s">
        <v>158</v>
      </c>
      <c r="H1451" s="220" t="s">
        <v>1448</v>
      </c>
    </row>
    <row r="1452" spans="1:8">
      <c r="A1452">
        <v>1</v>
      </c>
      <c r="B1452" t="s">
        <v>145</v>
      </c>
      <c r="C1452">
        <v>2018</v>
      </c>
      <c r="D1452" t="s">
        <v>11</v>
      </c>
      <c r="E1452" t="s">
        <v>9</v>
      </c>
      <c r="F1452" t="s">
        <v>38</v>
      </c>
      <c r="G1452" t="s">
        <v>154</v>
      </c>
      <c r="H1452" s="220" t="s">
        <v>1449</v>
      </c>
    </row>
    <row r="1453" spans="1:8">
      <c r="A1453">
        <v>2</v>
      </c>
      <c r="B1453" t="s">
        <v>146</v>
      </c>
      <c r="C1453">
        <v>2018</v>
      </c>
      <c r="D1453" t="s">
        <v>11</v>
      </c>
      <c r="E1453" t="s">
        <v>9</v>
      </c>
      <c r="F1453" t="s">
        <v>38</v>
      </c>
      <c r="G1453" t="s">
        <v>155</v>
      </c>
      <c r="H1453" s="220" t="s">
        <v>1450</v>
      </c>
    </row>
    <row r="1454" spans="1:8">
      <c r="A1454">
        <v>3</v>
      </c>
      <c r="B1454" t="s">
        <v>147</v>
      </c>
      <c r="C1454">
        <v>2018</v>
      </c>
      <c r="D1454" t="s">
        <v>11</v>
      </c>
      <c r="E1454" t="s">
        <v>9</v>
      </c>
      <c r="F1454" t="s">
        <v>38</v>
      </c>
      <c r="G1454" t="s">
        <v>156</v>
      </c>
      <c r="H1454" s="220" t="s">
        <v>1451</v>
      </c>
    </row>
    <row r="1455" spans="1:8">
      <c r="A1455">
        <v>4</v>
      </c>
      <c r="B1455" t="s">
        <v>148</v>
      </c>
      <c r="C1455">
        <v>2018</v>
      </c>
      <c r="D1455" t="s">
        <v>11</v>
      </c>
      <c r="E1455" t="s">
        <v>9</v>
      </c>
      <c r="F1455" t="s">
        <v>38</v>
      </c>
      <c r="G1455" t="s">
        <v>157</v>
      </c>
      <c r="H1455" s="220" t="s">
        <v>1452</v>
      </c>
    </row>
    <row r="1456" spans="1:8">
      <c r="A1456">
        <v>0</v>
      </c>
      <c r="B1456" t="s">
        <v>34</v>
      </c>
      <c r="C1456">
        <v>2018</v>
      </c>
      <c r="D1456" t="s">
        <v>11</v>
      </c>
      <c r="E1456" t="s">
        <v>9</v>
      </c>
      <c r="F1456" t="s">
        <v>38</v>
      </c>
      <c r="G1456" t="s">
        <v>158</v>
      </c>
      <c r="H1456" s="220" t="s">
        <v>981</v>
      </c>
    </row>
    <row r="1457" spans="1:8">
      <c r="A1457">
        <v>1</v>
      </c>
      <c r="B1457" t="s">
        <v>145</v>
      </c>
      <c r="C1457">
        <v>2017</v>
      </c>
      <c r="D1457" t="s">
        <v>11</v>
      </c>
      <c r="E1457" t="s">
        <v>9</v>
      </c>
      <c r="F1457" t="s">
        <v>38</v>
      </c>
      <c r="G1457" t="s">
        <v>154</v>
      </c>
      <c r="H1457" s="220" t="s">
        <v>1453</v>
      </c>
    </row>
    <row r="1458" spans="1:8">
      <c r="A1458">
        <v>2</v>
      </c>
      <c r="B1458" t="s">
        <v>146</v>
      </c>
      <c r="C1458">
        <v>2017</v>
      </c>
      <c r="D1458" t="s">
        <v>11</v>
      </c>
      <c r="E1458" t="s">
        <v>9</v>
      </c>
      <c r="F1458" t="s">
        <v>38</v>
      </c>
      <c r="G1458" t="s">
        <v>155</v>
      </c>
      <c r="H1458" s="220" t="s">
        <v>1454</v>
      </c>
    </row>
    <row r="1459" spans="1:8">
      <c r="A1459">
        <v>3</v>
      </c>
      <c r="B1459" t="s">
        <v>147</v>
      </c>
      <c r="C1459">
        <v>2017</v>
      </c>
      <c r="D1459" t="s">
        <v>11</v>
      </c>
      <c r="E1459" t="s">
        <v>9</v>
      </c>
      <c r="F1459" t="s">
        <v>38</v>
      </c>
      <c r="G1459" t="s">
        <v>156</v>
      </c>
      <c r="H1459" s="220" t="s">
        <v>1455</v>
      </c>
    </row>
    <row r="1460" spans="1:8">
      <c r="A1460">
        <v>4</v>
      </c>
      <c r="B1460" t="s">
        <v>148</v>
      </c>
      <c r="C1460">
        <v>2017</v>
      </c>
      <c r="D1460" t="s">
        <v>11</v>
      </c>
      <c r="E1460" t="s">
        <v>9</v>
      </c>
      <c r="F1460" t="s">
        <v>38</v>
      </c>
      <c r="G1460" t="s">
        <v>157</v>
      </c>
      <c r="H1460" s="220" t="s">
        <v>1456</v>
      </c>
    </row>
    <row r="1461" spans="1:8">
      <c r="A1461">
        <v>0</v>
      </c>
      <c r="B1461" t="s">
        <v>34</v>
      </c>
      <c r="C1461">
        <v>2017</v>
      </c>
      <c r="D1461" t="s">
        <v>11</v>
      </c>
      <c r="E1461" t="s">
        <v>9</v>
      </c>
      <c r="F1461" t="s">
        <v>38</v>
      </c>
      <c r="G1461" t="s">
        <v>158</v>
      </c>
      <c r="H1461" s="220" t="s">
        <v>1457</v>
      </c>
    </row>
    <row r="1462" spans="1:8">
      <c r="A1462">
        <v>1</v>
      </c>
      <c r="B1462" t="s">
        <v>145</v>
      </c>
      <c r="C1462">
        <v>2016</v>
      </c>
      <c r="D1462" t="s">
        <v>11</v>
      </c>
      <c r="E1462" t="s">
        <v>9</v>
      </c>
      <c r="F1462" t="s">
        <v>38</v>
      </c>
      <c r="G1462" t="s">
        <v>154</v>
      </c>
      <c r="H1462" s="220" t="s">
        <v>1458</v>
      </c>
    </row>
    <row r="1463" spans="1:8">
      <c r="A1463">
        <v>2</v>
      </c>
      <c r="B1463" t="s">
        <v>146</v>
      </c>
      <c r="C1463">
        <v>2016</v>
      </c>
      <c r="D1463" t="s">
        <v>11</v>
      </c>
      <c r="E1463" t="s">
        <v>9</v>
      </c>
      <c r="F1463" t="s">
        <v>38</v>
      </c>
      <c r="G1463" t="s">
        <v>155</v>
      </c>
      <c r="H1463" s="220" t="s">
        <v>1459</v>
      </c>
    </row>
    <row r="1464" spans="1:8">
      <c r="A1464">
        <v>3</v>
      </c>
      <c r="B1464" t="s">
        <v>147</v>
      </c>
      <c r="C1464">
        <v>2016</v>
      </c>
      <c r="D1464" t="s">
        <v>11</v>
      </c>
      <c r="E1464" t="s">
        <v>9</v>
      </c>
      <c r="F1464" t="s">
        <v>38</v>
      </c>
      <c r="G1464" t="s">
        <v>156</v>
      </c>
      <c r="H1464" s="220" t="s">
        <v>1460</v>
      </c>
    </row>
    <row r="1465" spans="1:8">
      <c r="A1465">
        <v>4</v>
      </c>
      <c r="B1465" t="s">
        <v>148</v>
      </c>
      <c r="C1465">
        <v>2016</v>
      </c>
      <c r="D1465" t="s">
        <v>11</v>
      </c>
      <c r="E1465" t="s">
        <v>9</v>
      </c>
      <c r="F1465" t="s">
        <v>38</v>
      </c>
      <c r="G1465" t="s">
        <v>157</v>
      </c>
      <c r="H1465" s="220" t="s">
        <v>1461</v>
      </c>
    </row>
    <row r="1466" spans="1:8">
      <c r="A1466">
        <v>0</v>
      </c>
      <c r="B1466" t="s">
        <v>34</v>
      </c>
      <c r="C1466">
        <v>2016</v>
      </c>
      <c r="D1466" t="s">
        <v>11</v>
      </c>
      <c r="E1466" t="s">
        <v>9</v>
      </c>
      <c r="F1466" t="s">
        <v>38</v>
      </c>
      <c r="G1466" t="s">
        <v>158</v>
      </c>
      <c r="H1466" s="220" t="s">
        <v>1462</v>
      </c>
    </row>
    <row r="1467" spans="1:8">
      <c r="A1467">
        <v>1</v>
      </c>
      <c r="B1467" t="s">
        <v>145</v>
      </c>
      <c r="C1467">
        <v>2015</v>
      </c>
      <c r="D1467" t="s">
        <v>11</v>
      </c>
      <c r="E1467" t="s">
        <v>9</v>
      </c>
      <c r="F1467" t="s">
        <v>38</v>
      </c>
      <c r="G1467" t="s">
        <v>154</v>
      </c>
      <c r="H1467" s="220" t="s">
        <v>1463</v>
      </c>
    </row>
    <row r="1468" spans="1:8">
      <c r="A1468">
        <v>2</v>
      </c>
      <c r="B1468" t="s">
        <v>146</v>
      </c>
      <c r="C1468">
        <v>2015</v>
      </c>
      <c r="D1468" t="s">
        <v>11</v>
      </c>
      <c r="E1468" t="s">
        <v>9</v>
      </c>
      <c r="F1468" t="s">
        <v>38</v>
      </c>
      <c r="G1468" t="s">
        <v>155</v>
      </c>
      <c r="H1468" s="220" t="s">
        <v>1464</v>
      </c>
    </row>
    <row r="1469" spans="1:8">
      <c r="A1469">
        <v>3</v>
      </c>
      <c r="B1469" t="s">
        <v>147</v>
      </c>
      <c r="C1469">
        <v>2015</v>
      </c>
      <c r="D1469" t="s">
        <v>11</v>
      </c>
      <c r="E1469" t="s">
        <v>9</v>
      </c>
      <c r="F1469" t="s">
        <v>38</v>
      </c>
      <c r="G1469" t="s">
        <v>156</v>
      </c>
      <c r="H1469" s="220" t="s">
        <v>1039</v>
      </c>
    </row>
    <row r="1470" spans="1:8">
      <c r="A1470">
        <v>4</v>
      </c>
      <c r="B1470" t="s">
        <v>148</v>
      </c>
      <c r="C1470">
        <v>2015</v>
      </c>
      <c r="D1470" t="s">
        <v>11</v>
      </c>
      <c r="E1470" t="s">
        <v>9</v>
      </c>
      <c r="F1470" t="s">
        <v>38</v>
      </c>
      <c r="G1470" t="s">
        <v>157</v>
      </c>
      <c r="H1470" s="220" t="s">
        <v>1465</v>
      </c>
    </row>
    <row r="1471" spans="1:8">
      <c r="A1471">
        <v>0</v>
      </c>
      <c r="B1471" t="s">
        <v>34</v>
      </c>
      <c r="C1471">
        <v>2015</v>
      </c>
      <c r="D1471" t="s">
        <v>11</v>
      </c>
      <c r="E1471" t="s">
        <v>9</v>
      </c>
      <c r="F1471" t="s">
        <v>38</v>
      </c>
      <c r="G1471" t="s">
        <v>158</v>
      </c>
      <c r="H1471" s="220" t="s">
        <v>1466</v>
      </c>
    </row>
    <row r="1472" spans="1:8">
      <c r="A1472">
        <v>1</v>
      </c>
      <c r="B1472" t="s">
        <v>145</v>
      </c>
      <c r="C1472">
        <v>2014</v>
      </c>
      <c r="D1472" t="s">
        <v>11</v>
      </c>
      <c r="E1472" t="s">
        <v>9</v>
      </c>
      <c r="F1472" t="s">
        <v>38</v>
      </c>
      <c r="G1472" t="s">
        <v>154</v>
      </c>
      <c r="H1472" s="220" t="s">
        <v>1467</v>
      </c>
    </row>
    <row r="1473" spans="1:8">
      <c r="A1473">
        <v>2</v>
      </c>
      <c r="B1473" t="s">
        <v>146</v>
      </c>
      <c r="C1473">
        <v>2014</v>
      </c>
      <c r="D1473" t="s">
        <v>11</v>
      </c>
      <c r="E1473" t="s">
        <v>9</v>
      </c>
      <c r="F1473" t="s">
        <v>38</v>
      </c>
      <c r="G1473" t="s">
        <v>155</v>
      </c>
      <c r="H1473" s="220" t="s">
        <v>1468</v>
      </c>
    </row>
    <row r="1474" spans="1:8">
      <c r="A1474">
        <v>3</v>
      </c>
      <c r="B1474" t="s">
        <v>147</v>
      </c>
      <c r="C1474">
        <v>2014</v>
      </c>
      <c r="D1474" t="s">
        <v>11</v>
      </c>
      <c r="E1474" t="s">
        <v>9</v>
      </c>
      <c r="F1474" t="s">
        <v>38</v>
      </c>
      <c r="G1474" t="s">
        <v>156</v>
      </c>
      <c r="H1474" s="220" t="s">
        <v>1469</v>
      </c>
    </row>
    <row r="1475" spans="1:8">
      <c r="A1475">
        <v>4</v>
      </c>
      <c r="B1475" t="s">
        <v>148</v>
      </c>
      <c r="C1475">
        <v>2014</v>
      </c>
      <c r="D1475" t="s">
        <v>11</v>
      </c>
      <c r="E1475" t="s">
        <v>9</v>
      </c>
      <c r="F1475" t="s">
        <v>38</v>
      </c>
      <c r="G1475" t="s">
        <v>157</v>
      </c>
      <c r="H1475" s="220" t="s">
        <v>1470</v>
      </c>
    </row>
    <row r="1476" spans="1:8">
      <c r="A1476">
        <v>0</v>
      </c>
      <c r="B1476" t="s">
        <v>34</v>
      </c>
      <c r="C1476">
        <v>2014</v>
      </c>
      <c r="D1476" t="s">
        <v>11</v>
      </c>
      <c r="E1476" t="s">
        <v>9</v>
      </c>
      <c r="F1476" t="s">
        <v>38</v>
      </c>
      <c r="G1476" t="s">
        <v>158</v>
      </c>
      <c r="H1476" s="220" t="s">
        <v>1471</v>
      </c>
    </row>
    <row r="1477" spans="1:8">
      <c r="A1477">
        <v>1</v>
      </c>
      <c r="B1477" t="s">
        <v>145</v>
      </c>
      <c r="C1477">
        <v>2013</v>
      </c>
      <c r="D1477" t="s">
        <v>11</v>
      </c>
      <c r="E1477" t="s">
        <v>9</v>
      </c>
      <c r="F1477" t="s">
        <v>38</v>
      </c>
      <c r="G1477" t="s">
        <v>154</v>
      </c>
      <c r="H1477" s="220" t="s">
        <v>1153</v>
      </c>
    </row>
    <row r="1478" spans="1:8">
      <c r="A1478">
        <v>2</v>
      </c>
      <c r="B1478" t="s">
        <v>146</v>
      </c>
      <c r="C1478">
        <v>2013</v>
      </c>
      <c r="D1478" t="s">
        <v>11</v>
      </c>
      <c r="E1478" t="s">
        <v>9</v>
      </c>
      <c r="F1478" t="s">
        <v>38</v>
      </c>
      <c r="G1478" t="s">
        <v>155</v>
      </c>
      <c r="H1478" s="220" t="s">
        <v>1472</v>
      </c>
    </row>
    <row r="1479" spans="1:8">
      <c r="A1479">
        <v>3</v>
      </c>
      <c r="B1479" t="s">
        <v>147</v>
      </c>
      <c r="C1479">
        <v>2013</v>
      </c>
      <c r="D1479" t="s">
        <v>11</v>
      </c>
      <c r="E1479" t="s">
        <v>9</v>
      </c>
      <c r="F1479" t="s">
        <v>38</v>
      </c>
      <c r="G1479" t="s">
        <v>156</v>
      </c>
      <c r="H1479" s="220" t="s">
        <v>1473</v>
      </c>
    </row>
    <row r="1480" spans="1:8">
      <c r="A1480">
        <v>4</v>
      </c>
      <c r="B1480" t="s">
        <v>148</v>
      </c>
      <c r="C1480">
        <v>2013</v>
      </c>
      <c r="D1480" t="s">
        <v>11</v>
      </c>
      <c r="E1480" t="s">
        <v>9</v>
      </c>
      <c r="F1480" t="s">
        <v>38</v>
      </c>
      <c r="G1480" t="s">
        <v>157</v>
      </c>
      <c r="H1480" s="220" t="s">
        <v>1474</v>
      </c>
    </row>
    <row r="1481" spans="1:8">
      <c r="A1481">
        <v>0</v>
      </c>
      <c r="B1481" t="s">
        <v>34</v>
      </c>
      <c r="C1481">
        <v>2013</v>
      </c>
      <c r="D1481" t="s">
        <v>11</v>
      </c>
      <c r="E1481" t="s">
        <v>9</v>
      </c>
      <c r="F1481" t="s">
        <v>38</v>
      </c>
      <c r="G1481" t="s">
        <v>158</v>
      </c>
      <c r="H1481" s="220" t="s">
        <v>1475</v>
      </c>
    </row>
    <row r="1482" spans="1:8">
      <c r="A1482">
        <v>1</v>
      </c>
      <c r="B1482" t="s">
        <v>145</v>
      </c>
      <c r="C1482">
        <v>2012</v>
      </c>
      <c r="D1482" t="s">
        <v>11</v>
      </c>
      <c r="E1482" t="s">
        <v>9</v>
      </c>
      <c r="F1482" t="s">
        <v>38</v>
      </c>
      <c r="G1482" t="s">
        <v>154</v>
      </c>
      <c r="H1482" s="220" t="s">
        <v>1218</v>
      </c>
    </row>
    <row r="1483" spans="1:8">
      <c r="A1483">
        <v>2</v>
      </c>
      <c r="B1483" t="s">
        <v>146</v>
      </c>
      <c r="C1483">
        <v>2012</v>
      </c>
      <c r="D1483" t="s">
        <v>11</v>
      </c>
      <c r="E1483" t="s">
        <v>9</v>
      </c>
      <c r="F1483" t="s">
        <v>38</v>
      </c>
      <c r="G1483" t="s">
        <v>155</v>
      </c>
      <c r="H1483" s="220" t="s">
        <v>1476</v>
      </c>
    </row>
    <row r="1484" spans="1:8">
      <c r="A1484">
        <v>3</v>
      </c>
      <c r="B1484" t="s">
        <v>147</v>
      </c>
      <c r="C1484">
        <v>2012</v>
      </c>
      <c r="D1484" t="s">
        <v>11</v>
      </c>
      <c r="E1484" t="s">
        <v>9</v>
      </c>
      <c r="F1484" t="s">
        <v>38</v>
      </c>
      <c r="G1484" t="s">
        <v>156</v>
      </c>
      <c r="H1484" s="220" t="s">
        <v>1477</v>
      </c>
    </row>
    <row r="1485" spans="1:8">
      <c r="A1485">
        <v>4</v>
      </c>
      <c r="B1485" t="s">
        <v>148</v>
      </c>
      <c r="C1485">
        <v>2012</v>
      </c>
      <c r="D1485" t="s">
        <v>11</v>
      </c>
      <c r="E1485" t="s">
        <v>9</v>
      </c>
      <c r="F1485" t="s">
        <v>38</v>
      </c>
      <c r="G1485" t="s">
        <v>157</v>
      </c>
      <c r="H1485" s="220" t="s">
        <v>1478</v>
      </c>
    </row>
    <row r="1486" spans="1:8">
      <c r="A1486">
        <v>0</v>
      </c>
      <c r="B1486" t="s">
        <v>34</v>
      </c>
      <c r="C1486">
        <v>2012</v>
      </c>
      <c r="D1486" t="s">
        <v>11</v>
      </c>
      <c r="E1486" t="s">
        <v>9</v>
      </c>
      <c r="F1486" t="s">
        <v>38</v>
      </c>
      <c r="G1486" t="s">
        <v>158</v>
      </c>
      <c r="H1486" s="220" t="s">
        <v>1479</v>
      </c>
    </row>
    <row r="1487" spans="1:8">
      <c r="A1487">
        <v>1</v>
      </c>
      <c r="B1487" t="s">
        <v>145</v>
      </c>
      <c r="C1487">
        <v>2011</v>
      </c>
      <c r="D1487" t="s">
        <v>11</v>
      </c>
      <c r="E1487" t="s">
        <v>9</v>
      </c>
      <c r="F1487" t="s">
        <v>38</v>
      </c>
      <c r="G1487" t="s">
        <v>154</v>
      </c>
      <c r="H1487" s="220" t="s">
        <v>1469</v>
      </c>
    </row>
    <row r="1488" spans="1:8">
      <c r="A1488">
        <v>2</v>
      </c>
      <c r="B1488" t="s">
        <v>146</v>
      </c>
      <c r="C1488">
        <v>2011</v>
      </c>
      <c r="D1488" t="s">
        <v>11</v>
      </c>
      <c r="E1488" t="s">
        <v>9</v>
      </c>
      <c r="F1488" t="s">
        <v>38</v>
      </c>
      <c r="G1488" t="s">
        <v>155</v>
      </c>
      <c r="H1488" s="220" t="s">
        <v>1480</v>
      </c>
    </row>
    <row r="1489" spans="1:8">
      <c r="A1489">
        <v>3</v>
      </c>
      <c r="B1489" t="s">
        <v>147</v>
      </c>
      <c r="C1489">
        <v>2011</v>
      </c>
      <c r="D1489" t="s">
        <v>11</v>
      </c>
      <c r="E1489" t="s">
        <v>9</v>
      </c>
      <c r="F1489" t="s">
        <v>38</v>
      </c>
      <c r="G1489" t="s">
        <v>156</v>
      </c>
      <c r="H1489" s="220" t="s">
        <v>1481</v>
      </c>
    </row>
    <row r="1490" spans="1:8">
      <c r="A1490">
        <v>4</v>
      </c>
      <c r="B1490" t="s">
        <v>148</v>
      </c>
      <c r="C1490">
        <v>2011</v>
      </c>
      <c r="D1490" t="s">
        <v>11</v>
      </c>
      <c r="E1490" t="s">
        <v>9</v>
      </c>
      <c r="F1490" t="s">
        <v>38</v>
      </c>
      <c r="G1490" t="s">
        <v>157</v>
      </c>
      <c r="H1490" s="220" t="s">
        <v>972</v>
      </c>
    </row>
    <row r="1491" spans="1:8">
      <c r="A1491">
        <v>0</v>
      </c>
      <c r="B1491" t="s">
        <v>34</v>
      </c>
      <c r="C1491">
        <v>2011</v>
      </c>
      <c r="D1491" t="s">
        <v>11</v>
      </c>
      <c r="E1491" t="s">
        <v>9</v>
      </c>
      <c r="F1491" t="s">
        <v>38</v>
      </c>
      <c r="G1491" t="s">
        <v>158</v>
      </c>
      <c r="H1491" s="220" t="s">
        <v>1482</v>
      </c>
    </row>
    <row r="1492" spans="1:8">
      <c r="A1492">
        <v>1</v>
      </c>
      <c r="B1492" t="s">
        <v>145</v>
      </c>
      <c r="C1492">
        <v>2010</v>
      </c>
      <c r="D1492" t="s">
        <v>11</v>
      </c>
      <c r="E1492" t="s">
        <v>9</v>
      </c>
      <c r="F1492" t="s">
        <v>38</v>
      </c>
      <c r="G1492" t="s">
        <v>154</v>
      </c>
      <c r="H1492" s="220" t="s">
        <v>1483</v>
      </c>
    </row>
    <row r="1493" spans="1:8">
      <c r="A1493">
        <v>2</v>
      </c>
      <c r="B1493" t="s">
        <v>146</v>
      </c>
      <c r="C1493">
        <v>2010</v>
      </c>
      <c r="D1493" t="s">
        <v>11</v>
      </c>
      <c r="E1493" t="s">
        <v>9</v>
      </c>
      <c r="F1493" t="s">
        <v>38</v>
      </c>
      <c r="G1493" t="s">
        <v>155</v>
      </c>
      <c r="H1493" s="220" t="s">
        <v>1484</v>
      </c>
    </row>
    <row r="1494" spans="1:8">
      <c r="A1494">
        <v>3</v>
      </c>
      <c r="B1494" t="s">
        <v>147</v>
      </c>
      <c r="C1494">
        <v>2010</v>
      </c>
      <c r="D1494" t="s">
        <v>11</v>
      </c>
      <c r="E1494" t="s">
        <v>9</v>
      </c>
      <c r="F1494" t="s">
        <v>38</v>
      </c>
      <c r="G1494" t="s">
        <v>156</v>
      </c>
      <c r="H1494" s="220" t="s">
        <v>1485</v>
      </c>
    </row>
    <row r="1495" spans="1:8">
      <c r="A1495">
        <v>4</v>
      </c>
      <c r="B1495" t="s">
        <v>148</v>
      </c>
      <c r="C1495">
        <v>2010</v>
      </c>
      <c r="D1495" t="s">
        <v>11</v>
      </c>
      <c r="E1495" t="s">
        <v>9</v>
      </c>
      <c r="F1495" t="s">
        <v>38</v>
      </c>
      <c r="G1495" t="s">
        <v>157</v>
      </c>
      <c r="H1495" s="220" t="s">
        <v>1486</v>
      </c>
    </row>
    <row r="1496" spans="1:8">
      <c r="A1496">
        <v>0</v>
      </c>
      <c r="B1496" t="s">
        <v>34</v>
      </c>
      <c r="C1496">
        <v>2010</v>
      </c>
      <c r="D1496" t="s">
        <v>11</v>
      </c>
      <c r="E1496" t="s">
        <v>9</v>
      </c>
      <c r="F1496" t="s">
        <v>38</v>
      </c>
      <c r="G1496" t="s">
        <v>158</v>
      </c>
      <c r="H1496" s="220" t="s">
        <v>1487</v>
      </c>
    </row>
    <row r="1497" spans="1:8">
      <c r="A1497">
        <v>1</v>
      </c>
      <c r="B1497" t="s">
        <v>145</v>
      </c>
      <c r="C1497">
        <v>2005</v>
      </c>
      <c r="D1497" t="s">
        <v>11</v>
      </c>
      <c r="E1497" t="s">
        <v>9</v>
      </c>
      <c r="F1497" t="s">
        <v>38</v>
      </c>
      <c r="G1497" t="s">
        <v>154</v>
      </c>
      <c r="H1497" s="220" t="s">
        <v>1488</v>
      </c>
    </row>
    <row r="1498" spans="1:8">
      <c r="A1498">
        <v>2</v>
      </c>
      <c r="B1498" t="s">
        <v>146</v>
      </c>
      <c r="C1498">
        <v>2005</v>
      </c>
      <c r="D1498" t="s">
        <v>11</v>
      </c>
      <c r="E1498" t="s">
        <v>9</v>
      </c>
      <c r="F1498" t="s">
        <v>38</v>
      </c>
      <c r="G1498" t="s">
        <v>155</v>
      </c>
      <c r="H1498" s="220" t="s">
        <v>1489</v>
      </c>
    </row>
    <row r="1499" spans="1:8">
      <c r="A1499">
        <v>3</v>
      </c>
      <c r="B1499" t="s">
        <v>147</v>
      </c>
      <c r="C1499">
        <v>2005</v>
      </c>
      <c r="D1499" t="s">
        <v>11</v>
      </c>
      <c r="E1499" t="s">
        <v>9</v>
      </c>
      <c r="F1499" t="s">
        <v>38</v>
      </c>
      <c r="G1499" t="s">
        <v>156</v>
      </c>
      <c r="H1499" s="220" t="s">
        <v>1490</v>
      </c>
    </row>
    <row r="1500" spans="1:8">
      <c r="A1500">
        <v>4</v>
      </c>
      <c r="B1500" t="s">
        <v>148</v>
      </c>
      <c r="C1500">
        <v>2005</v>
      </c>
      <c r="D1500" t="s">
        <v>11</v>
      </c>
      <c r="E1500" t="s">
        <v>9</v>
      </c>
      <c r="F1500" t="s">
        <v>38</v>
      </c>
      <c r="G1500" t="s">
        <v>157</v>
      </c>
      <c r="H1500" s="220" t="s">
        <v>1491</v>
      </c>
    </row>
    <row r="1501" spans="1:8">
      <c r="A1501">
        <v>0</v>
      </c>
      <c r="B1501" t="s">
        <v>34</v>
      </c>
      <c r="C1501">
        <v>2005</v>
      </c>
      <c r="D1501" t="s">
        <v>11</v>
      </c>
      <c r="E1501" t="s">
        <v>9</v>
      </c>
      <c r="F1501" t="s">
        <v>38</v>
      </c>
      <c r="G1501" t="s">
        <v>158</v>
      </c>
      <c r="H1501" s="220" t="s">
        <v>1492</v>
      </c>
    </row>
    <row r="1502" spans="1:8">
      <c r="A1502">
        <v>1</v>
      </c>
      <c r="B1502" t="s">
        <v>145</v>
      </c>
      <c r="C1502">
        <v>2020</v>
      </c>
      <c r="D1502" t="s">
        <v>12</v>
      </c>
      <c r="E1502" t="s">
        <v>9</v>
      </c>
      <c r="F1502" t="s">
        <v>38</v>
      </c>
      <c r="G1502" t="s">
        <v>154</v>
      </c>
      <c r="H1502" s="220" t="s">
        <v>1493</v>
      </c>
    </row>
    <row r="1503" spans="1:8">
      <c r="A1503">
        <v>2</v>
      </c>
      <c r="B1503" t="s">
        <v>146</v>
      </c>
      <c r="C1503">
        <v>2020</v>
      </c>
      <c r="D1503" t="s">
        <v>12</v>
      </c>
      <c r="E1503" t="s">
        <v>9</v>
      </c>
      <c r="F1503" t="s">
        <v>38</v>
      </c>
      <c r="G1503" t="s">
        <v>155</v>
      </c>
      <c r="H1503" s="220" t="s">
        <v>1417</v>
      </c>
    </row>
    <row r="1504" spans="1:8">
      <c r="A1504">
        <v>3</v>
      </c>
      <c r="B1504" t="s">
        <v>147</v>
      </c>
      <c r="C1504">
        <v>2020</v>
      </c>
      <c r="D1504" t="s">
        <v>12</v>
      </c>
      <c r="E1504" t="s">
        <v>9</v>
      </c>
      <c r="F1504" t="s">
        <v>38</v>
      </c>
      <c r="G1504" t="s">
        <v>156</v>
      </c>
      <c r="H1504" s="220" t="s">
        <v>18</v>
      </c>
    </row>
    <row r="1505" spans="1:8">
      <c r="A1505">
        <v>4</v>
      </c>
      <c r="B1505" t="s">
        <v>148</v>
      </c>
      <c r="C1505">
        <v>2020</v>
      </c>
      <c r="D1505" t="s">
        <v>12</v>
      </c>
      <c r="E1505" t="s">
        <v>9</v>
      </c>
      <c r="F1505" t="s">
        <v>38</v>
      </c>
      <c r="G1505" t="s">
        <v>157</v>
      </c>
      <c r="H1505" s="220" t="s">
        <v>1433</v>
      </c>
    </row>
    <row r="1506" spans="1:8">
      <c r="A1506">
        <v>0</v>
      </c>
      <c r="B1506" t="s">
        <v>34</v>
      </c>
      <c r="C1506">
        <v>2020</v>
      </c>
      <c r="D1506" t="s">
        <v>12</v>
      </c>
      <c r="E1506" t="s">
        <v>9</v>
      </c>
      <c r="F1506" t="s">
        <v>38</v>
      </c>
      <c r="G1506" t="s">
        <v>158</v>
      </c>
      <c r="H1506" s="220" t="s">
        <v>1494</v>
      </c>
    </row>
    <row r="1507" spans="1:8">
      <c r="A1507">
        <v>1</v>
      </c>
      <c r="B1507" t="s">
        <v>145</v>
      </c>
      <c r="C1507">
        <v>2019</v>
      </c>
      <c r="D1507" t="s">
        <v>12</v>
      </c>
      <c r="E1507" t="s">
        <v>9</v>
      </c>
      <c r="F1507" t="s">
        <v>38</v>
      </c>
      <c r="G1507" t="s">
        <v>154</v>
      </c>
      <c r="H1507" s="220" t="s">
        <v>1495</v>
      </c>
    </row>
    <row r="1508" spans="1:8">
      <c r="A1508">
        <v>2</v>
      </c>
      <c r="B1508" t="s">
        <v>146</v>
      </c>
      <c r="C1508">
        <v>2019</v>
      </c>
      <c r="D1508" t="s">
        <v>12</v>
      </c>
      <c r="E1508" t="s">
        <v>9</v>
      </c>
      <c r="F1508" t="s">
        <v>38</v>
      </c>
      <c r="G1508" t="s">
        <v>155</v>
      </c>
      <c r="H1508" s="220" t="s">
        <v>1235</v>
      </c>
    </row>
    <row r="1509" spans="1:8">
      <c r="A1509">
        <v>3</v>
      </c>
      <c r="B1509" t="s">
        <v>147</v>
      </c>
      <c r="C1509">
        <v>2019</v>
      </c>
      <c r="D1509" t="s">
        <v>12</v>
      </c>
      <c r="E1509" t="s">
        <v>9</v>
      </c>
      <c r="F1509" t="s">
        <v>38</v>
      </c>
      <c r="G1509" t="s">
        <v>156</v>
      </c>
      <c r="H1509" s="220" t="s">
        <v>1496</v>
      </c>
    </row>
    <row r="1510" spans="1:8">
      <c r="A1510">
        <v>4</v>
      </c>
      <c r="B1510" t="s">
        <v>148</v>
      </c>
      <c r="C1510">
        <v>2019</v>
      </c>
      <c r="D1510" t="s">
        <v>12</v>
      </c>
      <c r="E1510" t="s">
        <v>9</v>
      </c>
      <c r="F1510" t="s">
        <v>38</v>
      </c>
      <c r="G1510" t="s">
        <v>157</v>
      </c>
      <c r="H1510" s="220" t="s">
        <v>1497</v>
      </c>
    </row>
    <row r="1511" spans="1:8">
      <c r="A1511">
        <v>0</v>
      </c>
      <c r="B1511" t="s">
        <v>34</v>
      </c>
      <c r="C1511">
        <v>2019</v>
      </c>
      <c r="D1511" t="s">
        <v>12</v>
      </c>
      <c r="E1511" t="s">
        <v>9</v>
      </c>
      <c r="F1511" t="s">
        <v>38</v>
      </c>
      <c r="G1511" t="s">
        <v>158</v>
      </c>
      <c r="H1511" s="220" t="s">
        <v>1303</v>
      </c>
    </row>
    <row r="1512" spans="1:8">
      <c r="A1512">
        <v>1</v>
      </c>
      <c r="B1512" t="s">
        <v>145</v>
      </c>
      <c r="C1512">
        <v>2018</v>
      </c>
      <c r="D1512" t="s">
        <v>12</v>
      </c>
      <c r="E1512" t="s">
        <v>9</v>
      </c>
      <c r="F1512" t="s">
        <v>38</v>
      </c>
      <c r="G1512" t="s">
        <v>154</v>
      </c>
      <c r="H1512" s="220" t="s">
        <v>1498</v>
      </c>
    </row>
    <row r="1513" spans="1:8">
      <c r="A1513">
        <v>2</v>
      </c>
      <c r="B1513" t="s">
        <v>146</v>
      </c>
      <c r="C1513">
        <v>2018</v>
      </c>
      <c r="D1513" t="s">
        <v>12</v>
      </c>
      <c r="E1513" t="s">
        <v>9</v>
      </c>
      <c r="F1513" t="s">
        <v>38</v>
      </c>
      <c r="G1513" t="s">
        <v>155</v>
      </c>
      <c r="H1513" s="220" t="s">
        <v>1499</v>
      </c>
    </row>
    <row r="1514" spans="1:8">
      <c r="A1514">
        <v>3</v>
      </c>
      <c r="B1514" t="s">
        <v>147</v>
      </c>
      <c r="C1514">
        <v>2018</v>
      </c>
      <c r="D1514" t="s">
        <v>12</v>
      </c>
      <c r="E1514" t="s">
        <v>9</v>
      </c>
      <c r="F1514" t="s">
        <v>38</v>
      </c>
      <c r="G1514" t="s">
        <v>156</v>
      </c>
      <c r="H1514" s="220" t="s">
        <v>1496</v>
      </c>
    </row>
    <row r="1515" spans="1:8">
      <c r="A1515">
        <v>4</v>
      </c>
      <c r="B1515" t="s">
        <v>148</v>
      </c>
      <c r="C1515">
        <v>2018</v>
      </c>
      <c r="D1515" t="s">
        <v>12</v>
      </c>
      <c r="E1515" t="s">
        <v>9</v>
      </c>
      <c r="F1515" t="s">
        <v>38</v>
      </c>
      <c r="G1515" t="s">
        <v>157</v>
      </c>
      <c r="H1515" s="220" t="s">
        <v>1500</v>
      </c>
    </row>
    <row r="1516" spans="1:8">
      <c r="A1516">
        <v>0</v>
      </c>
      <c r="B1516" t="s">
        <v>34</v>
      </c>
      <c r="C1516">
        <v>2018</v>
      </c>
      <c r="D1516" t="s">
        <v>12</v>
      </c>
      <c r="E1516" t="s">
        <v>9</v>
      </c>
      <c r="F1516" t="s">
        <v>38</v>
      </c>
      <c r="G1516" t="s">
        <v>158</v>
      </c>
      <c r="H1516" s="220" t="s">
        <v>1026</v>
      </c>
    </row>
    <row r="1517" spans="1:8">
      <c r="A1517">
        <v>1</v>
      </c>
      <c r="B1517" t="s">
        <v>145</v>
      </c>
      <c r="C1517">
        <v>2017</v>
      </c>
      <c r="D1517" t="s">
        <v>12</v>
      </c>
      <c r="E1517" t="s">
        <v>9</v>
      </c>
      <c r="F1517" t="s">
        <v>38</v>
      </c>
      <c r="G1517" t="s">
        <v>154</v>
      </c>
      <c r="H1517" s="220" t="s">
        <v>1501</v>
      </c>
    </row>
    <row r="1518" spans="1:8">
      <c r="A1518">
        <v>2</v>
      </c>
      <c r="B1518" t="s">
        <v>146</v>
      </c>
      <c r="C1518">
        <v>2017</v>
      </c>
      <c r="D1518" t="s">
        <v>12</v>
      </c>
      <c r="E1518" t="s">
        <v>9</v>
      </c>
      <c r="F1518" t="s">
        <v>38</v>
      </c>
      <c r="G1518" t="s">
        <v>155</v>
      </c>
      <c r="H1518" s="220" t="s">
        <v>1429</v>
      </c>
    </row>
    <row r="1519" spans="1:8">
      <c r="A1519">
        <v>3</v>
      </c>
      <c r="B1519" t="s">
        <v>147</v>
      </c>
      <c r="C1519">
        <v>2017</v>
      </c>
      <c r="D1519" t="s">
        <v>12</v>
      </c>
      <c r="E1519" t="s">
        <v>9</v>
      </c>
      <c r="F1519" t="s">
        <v>38</v>
      </c>
      <c r="G1519" t="s">
        <v>156</v>
      </c>
      <c r="H1519" s="220" t="s">
        <v>1502</v>
      </c>
    </row>
    <row r="1520" spans="1:8">
      <c r="A1520">
        <v>4</v>
      </c>
      <c r="B1520" t="s">
        <v>148</v>
      </c>
      <c r="C1520">
        <v>2017</v>
      </c>
      <c r="D1520" t="s">
        <v>12</v>
      </c>
      <c r="E1520" t="s">
        <v>9</v>
      </c>
      <c r="F1520" t="s">
        <v>38</v>
      </c>
      <c r="G1520" t="s">
        <v>157</v>
      </c>
      <c r="H1520" s="220" t="s">
        <v>1503</v>
      </c>
    </row>
    <row r="1521" spans="1:8">
      <c r="A1521">
        <v>0</v>
      </c>
      <c r="B1521" t="s">
        <v>34</v>
      </c>
      <c r="C1521">
        <v>2017</v>
      </c>
      <c r="D1521" t="s">
        <v>12</v>
      </c>
      <c r="E1521" t="s">
        <v>9</v>
      </c>
      <c r="F1521" t="s">
        <v>38</v>
      </c>
      <c r="G1521" t="s">
        <v>158</v>
      </c>
      <c r="H1521" s="220" t="s">
        <v>1443</v>
      </c>
    </row>
    <row r="1522" spans="1:8">
      <c r="A1522">
        <v>1</v>
      </c>
      <c r="B1522" t="s">
        <v>145</v>
      </c>
      <c r="C1522">
        <v>2016</v>
      </c>
      <c r="D1522" t="s">
        <v>12</v>
      </c>
      <c r="E1522" t="s">
        <v>9</v>
      </c>
      <c r="F1522" t="s">
        <v>38</v>
      </c>
      <c r="G1522" t="s">
        <v>154</v>
      </c>
      <c r="H1522" s="220" t="s">
        <v>1498</v>
      </c>
    </row>
    <row r="1523" spans="1:8">
      <c r="A1523">
        <v>2</v>
      </c>
      <c r="B1523" t="s">
        <v>146</v>
      </c>
      <c r="C1523">
        <v>2016</v>
      </c>
      <c r="D1523" t="s">
        <v>12</v>
      </c>
      <c r="E1523" t="s">
        <v>9</v>
      </c>
      <c r="F1523" t="s">
        <v>38</v>
      </c>
      <c r="G1523" t="s">
        <v>155</v>
      </c>
      <c r="H1523" s="220" t="s">
        <v>1504</v>
      </c>
    </row>
    <row r="1524" spans="1:8">
      <c r="A1524">
        <v>3</v>
      </c>
      <c r="B1524" t="s">
        <v>147</v>
      </c>
      <c r="C1524">
        <v>2016</v>
      </c>
      <c r="D1524" t="s">
        <v>12</v>
      </c>
      <c r="E1524" t="s">
        <v>9</v>
      </c>
      <c r="F1524" t="s">
        <v>38</v>
      </c>
      <c r="G1524" t="s">
        <v>156</v>
      </c>
      <c r="H1524" s="220" t="s">
        <v>1505</v>
      </c>
    </row>
    <row r="1525" spans="1:8">
      <c r="A1525">
        <v>4</v>
      </c>
      <c r="B1525" t="s">
        <v>148</v>
      </c>
      <c r="C1525">
        <v>2016</v>
      </c>
      <c r="D1525" t="s">
        <v>12</v>
      </c>
      <c r="E1525" t="s">
        <v>9</v>
      </c>
      <c r="F1525" t="s">
        <v>38</v>
      </c>
      <c r="G1525" t="s">
        <v>157</v>
      </c>
      <c r="H1525" s="220" t="s">
        <v>1506</v>
      </c>
    </row>
    <row r="1526" spans="1:8">
      <c r="A1526">
        <v>0</v>
      </c>
      <c r="B1526" t="s">
        <v>34</v>
      </c>
      <c r="C1526">
        <v>2016</v>
      </c>
      <c r="D1526" t="s">
        <v>12</v>
      </c>
      <c r="E1526" t="s">
        <v>9</v>
      </c>
      <c r="F1526" t="s">
        <v>38</v>
      </c>
      <c r="G1526" t="s">
        <v>158</v>
      </c>
      <c r="H1526" s="220" t="s">
        <v>1434</v>
      </c>
    </row>
    <row r="1527" spans="1:8">
      <c r="A1527">
        <v>1</v>
      </c>
      <c r="B1527" t="s">
        <v>145</v>
      </c>
      <c r="C1527">
        <v>2015</v>
      </c>
      <c r="D1527" t="s">
        <v>12</v>
      </c>
      <c r="E1527" t="s">
        <v>9</v>
      </c>
      <c r="F1527" t="s">
        <v>38</v>
      </c>
      <c r="G1527" t="s">
        <v>154</v>
      </c>
      <c r="H1527" s="220" t="s">
        <v>1507</v>
      </c>
    </row>
    <row r="1528" spans="1:8">
      <c r="A1528">
        <v>2</v>
      </c>
      <c r="B1528" t="s">
        <v>146</v>
      </c>
      <c r="C1528">
        <v>2015</v>
      </c>
      <c r="D1528" t="s">
        <v>12</v>
      </c>
      <c r="E1528" t="s">
        <v>9</v>
      </c>
      <c r="F1528" t="s">
        <v>38</v>
      </c>
      <c r="G1528" t="s">
        <v>155</v>
      </c>
      <c r="H1528" s="220" t="s">
        <v>1437</v>
      </c>
    </row>
    <row r="1529" spans="1:8">
      <c r="A1529">
        <v>3</v>
      </c>
      <c r="B1529" t="s">
        <v>147</v>
      </c>
      <c r="C1529">
        <v>2015</v>
      </c>
      <c r="D1529" t="s">
        <v>12</v>
      </c>
      <c r="E1529" t="s">
        <v>9</v>
      </c>
      <c r="F1529" t="s">
        <v>38</v>
      </c>
      <c r="G1529" t="s">
        <v>156</v>
      </c>
      <c r="H1529" s="220" t="s">
        <v>1425</v>
      </c>
    </row>
    <row r="1530" spans="1:8">
      <c r="A1530">
        <v>4</v>
      </c>
      <c r="B1530" t="s">
        <v>148</v>
      </c>
      <c r="C1530">
        <v>2015</v>
      </c>
      <c r="D1530" t="s">
        <v>12</v>
      </c>
      <c r="E1530" t="s">
        <v>9</v>
      </c>
      <c r="F1530" t="s">
        <v>38</v>
      </c>
      <c r="G1530" t="s">
        <v>157</v>
      </c>
      <c r="H1530" s="220" t="s">
        <v>1508</v>
      </c>
    </row>
    <row r="1531" spans="1:8">
      <c r="A1531">
        <v>0</v>
      </c>
      <c r="B1531" t="s">
        <v>34</v>
      </c>
      <c r="C1531">
        <v>2015</v>
      </c>
      <c r="D1531" t="s">
        <v>12</v>
      </c>
      <c r="E1531" t="s">
        <v>9</v>
      </c>
      <c r="F1531" t="s">
        <v>38</v>
      </c>
      <c r="G1531" t="s">
        <v>158</v>
      </c>
      <c r="H1531" s="220" t="s">
        <v>1316</v>
      </c>
    </row>
    <row r="1532" spans="1:8">
      <c r="A1532">
        <v>1</v>
      </c>
      <c r="B1532" t="s">
        <v>145</v>
      </c>
      <c r="C1532">
        <v>2014</v>
      </c>
      <c r="D1532" t="s">
        <v>12</v>
      </c>
      <c r="E1532" t="s">
        <v>9</v>
      </c>
      <c r="F1532" t="s">
        <v>38</v>
      </c>
      <c r="G1532" t="s">
        <v>154</v>
      </c>
      <c r="H1532" s="220" t="s">
        <v>1499</v>
      </c>
    </row>
    <row r="1533" spans="1:8">
      <c r="A1533">
        <v>2</v>
      </c>
      <c r="B1533" t="s">
        <v>146</v>
      </c>
      <c r="C1533">
        <v>2014</v>
      </c>
      <c r="D1533" t="s">
        <v>12</v>
      </c>
      <c r="E1533" t="s">
        <v>9</v>
      </c>
      <c r="F1533" t="s">
        <v>38</v>
      </c>
      <c r="G1533" t="s">
        <v>155</v>
      </c>
      <c r="H1533" s="220" t="s">
        <v>1509</v>
      </c>
    </row>
    <row r="1534" spans="1:8">
      <c r="A1534">
        <v>3</v>
      </c>
      <c r="B1534" t="s">
        <v>147</v>
      </c>
      <c r="C1534">
        <v>2014</v>
      </c>
      <c r="D1534" t="s">
        <v>12</v>
      </c>
      <c r="E1534" t="s">
        <v>9</v>
      </c>
      <c r="F1534" t="s">
        <v>38</v>
      </c>
      <c r="G1534" t="s">
        <v>156</v>
      </c>
      <c r="H1534" s="220" t="s">
        <v>1510</v>
      </c>
    </row>
    <row r="1535" spans="1:8">
      <c r="A1535">
        <v>4</v>
      </c>
      <c r="B1535" t="s">
        <v>148</v>
      </c>
      <c r="C1535">
        <v>2014</v>
      </c>
      <c r="D1535" t="s">
        <v>12</v>
      </c>
      <c r="E1535" t="s">
        <v>9</v>
      </c>
      <c r="F1535" t="s">
        <v>38</v>
      </c>
      <c r="G1535" t="s">
        <v>157</v>
      </c>
      <c r="H1535" s="220" t="s">
        <v>1509</v>
      </c>
    </row>
    <row r="1536" spans="1:8">
      <c r="A1536">
        <v>0</v>
      </c>
      <c r="B1536" t="s">
        <v>34</v>
      </c>
      <c r="C1536">
        <v>2014</v>
      </c>
      <c r="D1536" t="s">
        <v>12</v>
      </c>
      <c r="E1536" t="s">
        <v>9</v>
      </c>
      <c r="F1536" t="s">
        <v>38</v>
      </c>
      <c r="G1536" t="s">
        <v>158</v>
      </c>
      <c r="H1536" s="220" t="s">
        <v>1453</v>
      </c>
    </row>
    <row r="1537" spans="1:8">
      <c r="A1537">
        <v>1</v>
      </c>
      <c r="B1537" t="s">
        <v>145</v>
      </c>
      <c r="C1537">
        <v>2013</v>
      </c>
      <c r="D1537" t="s">
        <v>12</v>
      </c>
      <c r="E1537" t="s">
        <v>9</v>
      </c>
      <c r="F1537" t="s">
        <v>38</v>
      </c>
      <c r="G1537" t="s">
        <v>154</v>
      </c>
      <c r="H1537" s="220" t="s">
        <v>1511</v>
      </c>
    </row>
    <row r="1538" spans="1:8">
      <c r="A1538">
        <v>2</v>
      </c>
      <c r="B1538" t="s">
        <v>146</v>
      </c>
      <c r="C1538">
        <v>2013</v>
      </c>
      <c r="D1538" t="s">
        <v>12</v>
      </c>
      <c r="E1538" t="s">
        <v>9</v>
      </c>
      <c r="F1538" t="s">
        <v>38</v>
      </c>
      <c r="G1538" t="s">
        <v>155</v>
      </c>
      <c r="H1538" s="220" t="s">
        <v>1509</v>
      </c>
    </row>
    <row r="1539" spans="1:8">
      <c r="A1539">
        <v>3</v>
      </c>
      <c r="B1539" t="s">
        <v>147</v>
      </c>
      <c r="C1539">
        <v>2013</v>
      </c>
      <c r="D1539" t="s">
        <v>12</v>
      </c>
      <c r="E1539" t="s">
        <v>9</v>
      </c>
      <c r="F1539" t="s">
        <v>38</v>
      </c>
      <c r="G1539" t="s">
        <v>156</v>
      </c>
      <c r="H1539" s="220" t="s">
        <v>1512</v>
      </c>
    </row>
    <row r="1540" spans="1:8">
      <c r="A1540">
        <v>4</v>
      </c>
      <c r="B1540" t="s">
        <v>148</v>
      </c>
      <c r="C1540">
        <v>2013</v>
      </c>
      <c r="D1540" t="s">
        <v>12</v>
      </c>
      <c r="E1540" t="s">
        <v>9</v>
      </c>
      <c r="F1540" t="s">
        <v>38</v>
      </c>
      <c r="G1540" t="s">
        <v>157</v>
      </c>
      <c r="H1540" s="220" t="s">
        <v>1320</v>
      </c>
    </row>
    <row r="1541" spans="1:8">
      <c r="A1541">
        <v>0</v>
      </c>
      <c r="B1541" t="s">
        <v>34</v>
      </c>
      <c r="C1541">
        <v>2013</v>
      </c>
      <c r="D1541" t="s">
        <v>12</v>
      </c>
      <c r="E1541" t="s">
        <v>9</v>
      </c>
      <c r="F1541" t="s">
        <v>38</v>
      </c>
      <c r="G1541" t="s">
        <v>158</v>
      </c>
      <c r="H1541" s="220" t="s">
        <v>1513</v>
      </c>
    </row>
    <row r="1542" spans="1:8">
      <c r="A1542">
        <v>1</v>
      </c>
      <c r="B1542" t="s">
        <v>145</v>
      </c>
      <c r="C1542">
        <v>2012</v>
      </c>
      <c r="D1542" t="s">
        <v>12</v>
      </c>
      <c r="E1542" t="s">
        <v>9</v>
      </c>
      <c r="F1542" t="s">
        <v>38</v>
      </c>
      <c r="G1542" t="s">
        <v>154</v>
      </c>
      <c r="H1542" s="220" t="s">
        <v>1428</v>
      </c>
    </row>
    <row r="1543" spans="1:8">
      <c r="A1543">
        <v>2</v>
      </c>
      <c r="B1543" t="s">
        <v>146</v>
      </c>
      <c r="C1543">
        <v>2012</v>
      </c>
      <c r="D1543" t="s">
        <v>12</v>
      </c>
      <c r="E1543" t="s">
        <v>9</v>
      </c>
      <c r="F1543" t="s">
        <v>38</v>
      </c>
      <c r="G1543" t="s">
        <v>155</v>
      </c>
      <c r="H1543" s="220" t="s">
        <v>1017</v>
      </c>
    </row>
    <row r="1544" spans="1:8">
      <c r="A1544">
        <v>3</v>
      </c>
      <c r="B1544" t="s">
        <v>147</v>
      </c>
      <c r="C1544">
        <v>2012</v>
      </c>
      <c r="D1544" t="s">
        <v>12</v>
      </c>
      <c r="E1544" t="s">
        <v>9</v>
      </c>
      <c r="F1544" t="s">
        <v>38</v>
      </c>
      <c r="G1544" t="s">
        <v>156</v>
      </c>
      <c r="H1544" s="220" t="s">
        <v>1514</v>
      </c>
    </row>
    <row r="1545" spans="1:8">
      <c r="A1545">
        <v>4</v>
      </c>
      <c r="B1545" t="s">
        <v>148</v>
      </c>
      <c r="C1545">
        <v>2012</v>
      </c>
      <c r="D1545" t="s">
        <v>12</v>
      </c>
      <c r="E1545" t="s">
        <v>9</v>
      </c>
      <c r="F1545" t="s">
        <v>38</v>
      </c>
      <c r="G1545" t="s">
        <v>157</v>
      </c>
      <c r="H1545" s="220" t="s">
        <v>1335</v>
      </c>
    </row>
    <row r="1546" spans="1:8">
      <c r="A1546">
        <v>0</v>
      </c>
      <c r="B1546" t="s">
        <v>34</v>
      </c>
      <c r="C1546">
        <v>2012</v>
      </c>
      <c r="D1546" t="s">
        <v>12</v>
      </c>
      <c r="E1546" t="s">
        <v>9</v>
      </c>
      <c r="F1546" t="s">
        <v>38</v>
      </c>
      <c r="G1546" t="s">
        <v>158</v>
      </c>
      <c r="H1546" s="220" t="s">
        <v>1515</v>
      </c>
    </row>
    <row r="1547" spans="1:8">
      <c r="A1547">
        <v>1</v>
      </c>
      <c r="B1547" t="s">
        <v>145</v>
      </c>
      <c r="C1547">
        <v>2011</v>
      </c>
      <c r="D1547" t="s">
        <v>12</v>
      </c>
      <c r="E1547" t="s">
        <v>9</v>
      </c>
      <c r="F1547" t="s">
        <v>38</v>
      </c>
      <c r="G1547" t="s">
        <v>154</v>
      </c>
      <c r="H1547" s="220" t="s">
        <v>1516</v>
      </c>
    </row>
    <row r="1548" spans="1:8">
      <c r="A1548">
        <v>2</v>
      </c>
      <c r="B1548" t="s">
        <v>146</v>
      </c>
      <c r="C1548">
        <v>2011</v>
      </c>
      <c r="D1548" t="s">
        <v>12</v>
      </c>
      <c r="E1548" t="s">
        <v>9</v>
      </c>
      <c r="F1548" t="s">
        <v>38</v>
      </c>
      <c r="G1548" t="s">
        <v>155</v>
      </c>
      <c r="H1548" s="220" t="s">
        <v>1338</v>
      </c>
    </row>
    <row r="1549" spans="1:8">
      <c r="A1549">
        <v>3</v>
      </c>
      <c r="B1549" t="s">
        <v>147</v>
      </c>
      <c r="C1549">
        <v>2011</v>
      </c>
      <c r="D1549" t="s">
        <v>12</v>
      </c>
      <c r="E1549" t="s">
        <v>9</v>
      </c>
      <c r="F1549" t="s">
        <v>38</v>
      </c>
      <c r="G1549" t="s">
        <v>156</v>
      </c>
      <c r="H1549" s="220" t="s">
        <v>1517</v>
      </c>
    </row>
    <row r="1550" spans="1:8">
      <c r="A1550">
        <v>4</v>
      </c>
      <c r="B1550" t="s">
        <v>148</v>
      </c>
      <c r="C1550">
        <v>2011</v>
      </c>
      <c r="D1550" t="s">
        <v>12</v>
      </c>
      <c r="E1550" t="s">
        <v>9</v>
      </c>
      <c r="F1550" t="s">
        <v>38</v>
      </c>
      <c r="G1550" t="s">
        <v>157</v>
      </c>
      <c r="H1550" s="220" t="s">
        <v>1518</v>
      </c>
    </row>
    <row r="1551" spans="1:8">
      <c r="A1551">
        <v>0</v>
      </c>
      <c r="B1551" t="s">
        <v>34</v>
      </c>
      <c r="C1551">
        <v>2011</v>
      </c>
      <c r="D1551" t="s">
        <v>12</v>
      </c>
      <c r="E1551" t="s">
        <v>9</v>
      </c>
      <c r="F1551" t="s">
        <v>38</v>
      </c>
      <c r="G1551" t="s">
        <v>158</v>
      </c>
      <c r="H1551" s="220" t="s">
        <v>1403</v>
      </c>
    </row>
    <row r="1552" spans="1:8">
      <c r="A1552">
        <v>1</v>
      </c>
      <c r="B1552" t="s">
        <v>145</v>
      </c>
      <c r="C1552">
        <v>2010</v>
      </c>
      <c r="D1552" t="s">
        <v>12</v>
      </c>
      <c r="E1552" t="s">
        <v>9</v>
      </c>
      <c r="F1552" t="s">
        <v>38</v>
      </c>
      <c r="G1552" t="s">
        <v>154</v>
      </c>
      <c r="H1552" s="220" t="s">
        <v>1415</v>
      </c>
    </row>
    <row r="1553" spans="1:8">
      <c r="A1553">
        <v>2</v>
      </c>
      <c r="B1553" t="s">
        <v>146</v>
      </c>
      <c r="C1553">
        <v>2010</v>
      </c>
      <c r="D1553" t="s">
        <v>12</v>
      </c>
      <c r="E1553" t="s">
        <v>9</v>
      </c>
      <c r="F1553" t="s">
        <v>38</v>
      </c>
      <c r="G1553" t="s">
        <v>155</v>
      </c>
      <c r="H1553" s="220" t="s">
        <v>1519</v>
      </c>
    </row>
    <row r="1554" spans="1:8">
      <c r="A1554">
        <v>3</v>
      </c>
      <c r="B1554" t="s">
        <v>147</v>
      </c>
      <c r="C1554">
        <v>2010</v>
      </c>
      <c r="D1554" t="s">
        <v>12</v>
      </c>
      <c r="E1554" t="s">
        <v>9</v>
      </c>
      <c r="F1554" t="s">
        <v>38</v>
      </c>
      <c r="G1554" t="s">
        <v>156</v>
      </c>
      <c r="H1554" s="220" t="s">
        <v>1520</v>
      </c>
    </row>
    <row r="1555" spans="1:8">
      <c r="A1555">
        <v>4</v>
      </c>
      <c r="B1555" t="s">
        <v>148</v>
      </c>
      <c r="C1555">
        <v>2010</v>
      </c>
      <c r="D1555" t="s">
        <v>12</v>
      </c>
      <c r="E1555" t="s">
        <v>9</v>
      </c>
      <c r="F1555" t="s">
        <v>38</v>
      </c>
      <c r="G1555" t="s">
        <v>157</v>
      </c>
      <c r="H1555" s="220" t="s">
        <v>1521</v>
      </c>
    </row>
    <row r="1556" spans="1:8">
      <c r="A1556">
        <v>0</v>
      </c>
      <c r="B1556" t="s">
        <v>34</v>
      </c>
      <c r="C1556">
        <v>2010</v>
      </c>
      <c r="D1556" t="s">
        <v>12</v>
      </c>
      <c r="E1556" t="s">
        <v>9</v>
      </c>
      <c r="F1556" t="s">
        <v>38</v>
      </c>
      <c r="G1556" t="s">
        <v>158</v>
      </c>
      <c r="H1556" s="220" t="s">
        <v>1522</v>
      </c>
    </row>
    <row r="1557" spans="1:8">
      <c r="A1557">
        <v>1</v>
      </c>
      <c r="B1557" t="s">
        <v>145</v>
      </c>
      <c r="C1557">
        <v>2005</v>
      </c>
      <c r="D1557" t="s">
        <v>12</v>
      </c>
      <c r="E1557" t="s">
        <v>9</v>
      </c>
      <c r="F1557" t="s">
        <v>38</v>
      </c>
      <c r="G1557" t="s">
        <v>154</v>
      </c>
      <c r="H1557" s="220" t="s">
        <v>1017</v>
      </c>
    </row>
    <row r="1558" spans="1:8">
      <c r="A1558">
        <v>2</v>
      </c>
      <c r="B1558" t="s">
        <v>146</v>
      </c>
      <c r="C1558">
        <v>2005</v>
      </c>
      <c r="D1558" t="s">
        <v>12</v>
      </c>
      <c r="E1558" t="s">
        <v>9</v>
      </c>
      <c r="F1558" t="s">
        <v>38</v>
      </c>
      <c r="G1558" t="s">
        <v>155</v>
      </c>
      <c r="H1558" s="220" t="s">
        <v>1523</v>
      </c>
    </row>
    <row r="1559" spans="1:8">
      <c r="A1559">
        <v>3</v>
      </c>
      <c r="B1559" t="s">
        <v>147</v>
      </c>
      <c r="C1559">
        <v>2005</v>
      </c>
      <c r="D1559" t="s">
        <v>12</v>
      </c>
      <c r="E1559" t="s">
        <v>9</v>
      </c>
      <c r="F1559" t="s">
        <v>38</v>
      </c>
      <c r="G1559" t="s">
        <v>156</v>
      </c>
      <c r="H1559" s="220" t="s">
        <v>1524</v>
      </c>
    </row>
    <row r="1560" spans="1:8">
      <c r="A1560">
        <v>4</v>
      </c>
      <c r="B1560" t="s">
        <v>148</v>
      </c>
      <c r="C1560">
        <v>2005</v>
      </c>
      <c r="D1560" t="s">
        <v>12</v>
      </c>
      <c r="E1560" t="s">
        <v>9</v>
      </c>
      <c r="F1560" t="s">
        <v>38</v>
      </c>
      <c r="G1560" t="s">
        <v>157</v>
      </c>
      <c r="H1560" s="220" t="s">
        <v>1130</v>
      </c>
    </row>
    <row r="1561" spans="1:8">
      <c r="A1561">
        <v>0</v>
      </c>
      <c r="B1561" t="s">
        <v>34</v>
      </c>
      <c r="C1561">
        <v>2005</v>
      </c>
      <c r="D1561" t="s">
        <v>12</v>
      </c>
      <c r="E1561" t="s">
        <v>9</v>
      </c>
      <c r="F1561" t="s">
        <v>38</v>
      </c>
      <c r="G1561" t="s">
        <v>158</v>
      </c>
      <c r="H1561" s="220" t="s">
        <v>1525</v>
      </c>
    </row>
    <row r="1562" spans="1:8">
      <c r="A1562">
        <v>1</v>
      </c>
      <c r="B1562" t="s">
        <v>145</v>
      </c>
      <c r="C1562">
        <v>2020</v>
      </c>
      <c r="D1562" t="s">
        <v>11</v>
      </c>
      <c r="E1562" t="s">
        <v>10</v>
      </c>
      <c r="F1562" t="s">
        <v>38</v>
      </c>
      <c r="G1562" t="s">
        <v>154</v>
      </c>
      <c r="H1562" s="220" t="s">
        <v>1526</v>
      </c>
    </row>
    <row r="1563" spans="1:8">
      <c r="A1563">
        <v>2</v>
      </c>
      <c r="B1563" t="s">
        <v>146</v>
      </c>
      <c r="C1563">
        <v>2020</v>
      </c>
      <c r="D1563" t="s">
        <v>11</v>
      </c>
      <c r="E1563" t="s">
        <v>10</v>
      </c>
      <c r="F1563" t="s">
        <v>38</v>
      </c>
      <c r="G1563" t="s">
        <v>155</v>
      </c>
      <c r="H1563" s="220" t="s">
        <v>1527</v>
      </c>
    </row>
    <row r="1564" spans="1:8">
      <c r="A1564">
        <v>3</v>
      </c>
      <c r="B1564" t="s">
        <v>147</v>
      </c>
      <c r="C1564">
        <v>2020</v>
      </c>
      <c r="D1564" t="s">
        <v>11</v>
      </c>
      <c r="E1564" t="s">
        <v>10</v>
      </c>
      <c r="F1564" t="s">
        <v>38</v>
      </c>
      <c r="G1564" t="s">
        <v>156</v>
      </c>
      <c r="H1564" s="220" t="s">
        <v>1528</v>
      </c>
    </row>
    <row r="1565" spans="1:8">
      <c r="A1565">
        <v>4</v>
      </c>
      <c r="B1565" t="s">
        <v>148</v>
      </c>
      <c r="C1565">
        <v>2020</v>
      </c>
      <c r="D1565" t="s">
        <v>11</v>
      </c>
      <c r="E1565" t="s">
        <v>10</v>
      </c>
      <c r="F1565" t="s">
        <v>38</v>
      </c>
      <c r="G1565" t="s">
        <v>157</v>
      </c>
      <c r="H1565" s="220" t="s">
        <v>1529</v>
      </c>
    </row>
    <row r="1566" spans="1:8">
      <c r="A1566">
        <v>0</v>
      </c>
      <c r="B1566" t="s">
        <v>34</v>
      </c>
      <c r="C1566">
        <v>2020</v>
      </c>
      <c r="D1566" t="s">
        <v>11</v>
      </c>
      <c r="E1566" t="s">
        <v>10</v>
      </c>
      <c r="F1566" t="s">
        <v>38</v>
      </c>
      <c r="G1566" t="s">
        <v>158</v>
      </c>
      <c r="H1566" s="220" t="s">
        <v>1530</v>
      </c>
    </row>
    <row r="1567" spans="1:8">
      <c r="A1567">
        <v>1</v>
      </c>
      <c r="B1567" t="s">
        <v>145</v>
      </c>
      <c r="C1567">
        <v>2019</v>
      </c>
      <c r="D1567" t="s">
        <v>11</v>
      </c>
      <c r="E1567" t="s">
        <v>10</v>
      </c>
      <c r="F1567" t="s">
        <v>38</v>
      </c>
      <c r="G1567" t="s">
        <v>154</v>
      </c>
      <c r="H1567" s="220" t="s">
        <v>1531</v>
      </c>
    </row>
    <row r="1568" spans="1:8">
      <c r="A1568">
        <v>2</v>
      </c>
      <c r="B1568" t="s">
        <v>146</v>
      </c>
      <c r="C1568">
        <v>2019</v>
      </c>
      <c r="D1568" t="s">
        <v>11</v>
      </c>
      <c r="E1568" t="s">
        <v>10</v>
      </c>
      <c r="F1568" t="s">
        <v>38</v>
      </c>
      <c r="G1568" t="s">
        <v>155</v>
      </c>
      <c r="H1568" s="220" t="s">
        <v>1532</v>
      </c>
    </row>
    <row r="1569" spans="1:8">
      <c r="A1569">
        <v>3</v>
      </c>
      <c r="B1569" t="s">
        <v>147</v>
      </c>
      <c r="C1569">
        <v>2019</v>
      </c>
      <c r="D1569" t="s">
        <v>11</v>
      </c>
      <c r="E1569" t="s">
        <v>10</v>
      </c>
      <c r="F1569" t="s">
        <v>38</v>
      </c>
      <c r="G1569" t="s">
        <v>156</v>
      </c>
      <c r="H1569" s="220" t="s">
        <v>1533</v>
      </c>
    </row>
    <row r="1570" spans="1:8">
      <c r="A1570">
        <v>4</v>
      </c>
      <c r="B1570" t="s">
        <v>148</v>
      </c>
      <c r="C1570">
        <v>2019</v>
      </c>
      <c r="D1570" t="s">
        <v>11</v>
      </c>
      <c r="E1570" t="s">
        <v>10</v>
      </c>
      <c r="F1570" t="s">
        <v>38</v>
      </c>
      <c r="G1570" t="s">
        <v>157</v>
      </c>
      <c r="H1570" s="220" t="s">
        <v>1534</v>
      </c>
    </row>
    <row r="1571" spans="1:8">
      <c r="A1571">
        <v>0</v>
      </c>
      <c r="B1571" t="s">
        <v>34</v>
      </c>
      <c r="C1571">
        <v>2019</v>
      </c>
      <c r="D1571" t="s">
        <v>11</v>
      </c>
      <c r="E1571" t="s">
        <v>10</v>
      </c>
      <c r="F1571" t="s">
        <v>38</v>
      </c>
      <c r="G1571" t="s">
        <v>158</v>
      </c>
      <c r="H1571" s="220" t="s">
        <v>1535</v>
      </c>
    </row>
    <row r="1572" spans="1:8">
      <c r="A1572">
        <v>1</v>
      </c>
      <c r="B1572" t="s">
        <v>145</v>
      </c>
      <c r="C1572">
        <v>2018</v>
      </c>
      <c r="D1572" t="s">
        <v>11</v>
      </c>
      <c r="E1572" t="s">
        <v>10</v>
      </c>
      <c r="F1572" t="s">
        <v>38</v>
      </c>
      <c r="G1572" t="s">
        <v>154</v>
      </c>
      <c r="H1572" s="220" t="s">
        <v>1536</v>
      </c>
    </row>
    <row r="1573" spans="1:8">
      <c r="A1573">
        <v>2</v>
      </c>
      <c r="B1573" t="s">
        <v>146</v>
      </c>
      <c r="C1573">
        <v>2018</v>
      </c>
      <c r="D1573" t="s">
        <v>11</v>
      </c>
      <c r="E1573" t="s">
        <v>10</v>
      </c>
      <c r="F1573" t="s">
        <v>38</v>
      </c>
      <c r="G1573" t="s">
        <v>155</v>
      </c>
      <c r="H1573" s="220" t="s">
        <v>1537</v>
      </c>
    </row>
    <row r="1574" spans="1:8">
      <c r="A1574">
        <v>3</v>
      </c>
      <c r="B1574" t="s">
        <v>147</v>
      </c>
      <c r="C1574">
        <v>2018</v>
      </c>
      <c r="D1574" t="s">
        <v>11</v>
      </c>
      <c r="E1574" t="s">
        <v>10</v>
      </c>
      <c r="F1574" t="s">
        <v>38</v>
      </c>
      <c r="G1574" t="s">
        <v>156</v>
      </c>
      <c r="H1574" s="220" t="s">
        <v>1538</v>
      </c>
    </row>
    <row r="1575" spans="1:8">
      <c r="A1575">
        <v>4</v>
      </c>
      <c r="B1575" t="s">
        <v>148</v>
      </c>
      <c r="C1575">
        <v>2018</v>
      </c>
      <c r="D1575" t="s">
        <v>11</v>
      </c>
      <c r="E1575" t="s">
        <v>10</v>
      </c>
      <c r="F1575" t="s">
        <v>38</v>
      </c>
      <c r="G1575" t="s">
        <v>157</v>
      </c>
      <c r="H1575" s="220" t="s">
        <v>1539</v>
      </c>
    </row>
    <row r="1576" spans="1:8">
      <c r="A1576">
        <v>0</v>
      </c>
      <c r="B1576" t="s">
        <v>34</v>
      </c>
      <c r="C1576">
        <v>2018</v>
      </c>
      <c r="D1576" t="s">
        <v>11</v>
      </c>
      <c r="E1576" t="s">
        <v>10</v>
      </c>
      <c r="F1576" t="s">
        <v>38</v>
      </c>
      <c r="G1576" t="s">
        <v>158</v>
      </c>
      <c r="H1576" s="220" t="s">
        <v>1540</v>
      </c>
    </row>
    <row r="1577" spans="1:8">
      <c r="A1577">
        <v>1</v>
      </c>
      <c r="B1577" t="s">
        <v>145</v>
      </c>
      <c r="C1577">
        <v>2017</v>
      </c>
      <c r="D1577" t="s">
        <v>11</v>
      </c>
      <c r="E1577" t="s">
        <v>10</v>
      </c>
      <c r="F1577" t="s">
        <v>38</v>
      </c>
      <c r="G1577" t="s">
        <v>154</v>
      </c>
      <c r="H1577" s="220" t="s">
        <v>1541</v>
      </c>
    </row>
    <row r="1578" spans="1:8">
      <c r="A1578">
        <v>2</v>
      </c>
      <c r="B1578" t="s">
        <v>146</v>
      </c>
      <c r="C1578">
        <v>2017</v>
      </c>
      <c r="D1578" t="s">
        <v>11</v>
      </c>
      <c r="E1578" t="s">
        <v>10</v>
      </c>
      <c r="F1578" t="s">
        <v>38</v>
      </c>
      <c r="G1578" t="s">
        <v>155</v>
      </c>
      <c r="H1578" s="220" t="s">
        <v>1542</v>
      </c>
    </row>
    <row r="1579" spans="1:8">
      <c r="A1579">
        <v>3</v>
      </c>
      <c r="B1579" t="s">
        <v>147</v>
      </c>
      <c r="C1579">
        <v>2017</v>
      </c>
      <c r="D1579" t="s">
        <v>11</v>
      </c>
      <c r="E1579" t="s">
        <v>10</v>
      </c>
      <c r="F1579" t="s">
        <v>38</v>
      </c>
      <c r="G1579" t="s">
        <v>156</v>
      </c>
      <c r="H1579" s="220" t="s">
        <v>1543</v>
      </c>
    </row>
    <row r="1580" spans="1:8">
      <c r="A1580">
        <v>4</v>
      </c>
      <c r="B1580" t="s">
        <v>148</v>
      </c>
      <c r="C1580">
        <v>2017</v>
      </c>
      <c r="D1580" t="s">
        <v>11</v>
      </c>
      <c r="E1580" t="s">
        <v>10</v>
      </c>
      <c r="F1580" t="s">
        <v>38</v>
      </c>
      <c r="G1580" t="s">
        <v>157</v>
      </c>
      <c r="H1580" s="220" t="s">
        <v>1544</v>
      </c>
    </row>
    <row r="1581" spans="1:8">
      <c r="A1581">
        <v>0</v>
      </c>
      <c r="B1581" t="s">
        <v>34</v>
      </c>
      <c r="C1581">
        <v>2017</v>
      </c>
      <c r="D1581" t="s">
        <v>11</v>
      </c>
      <c r="E1581" t="s">
        <v>10</v>
      </c>
      <c r="F1581" t="s">
        <v>38</v>
      </c>
      <c r="G1581" t="s">
        <v>158</v>
      </c>
      <c r="H1581" s="220" t="s">
        <v>1545</v>
      </c>
    </row>
    <row r="1582" spans="1:8">
      <c r="A1582">
        <v>1</v>
      </c>
      <c r="B1582" t="s">
        <v>145</v>
      </c>
      <c r="C1582">
        <v>2016</v>
      </c>
      <c r="D1582" t="s">
        <v>11</v>
      </c>
      <c r="E1582" t="s">
        <v>10</v>
      </c>
      <c r="F1582" t="s">
        <v>38</v>
      </c>
      <c r="G1582" t="s">
        <v>154</v>
      </c>
      <c r="H1582" s="220" t="s">
        <v>1546</v>
      </c>
    </row>
    <row r="1583" spans="1:8">
      <c r="A1583">
        <v>2</v>
      </c>
      <c r="B1583" t="s">
        <v>146</v>
      </c>
      <c r="C1583">
        <v>2016</v>
      </c>
      <c r="D1583" t="s">
        <v>11</v>
      </c>
      <c r="E1583" t="s">
        <v>10</v>
      </c>
      <c r="F1583" t="s">
        <v>38</v>
      </c>
      <c r="G1583" t="s">
        <v>155</v>
      </c>
      <c r="H1583" s="220" t="s">
        <v>1547</v>
      </c>
    </row>
    <row r="1584" spans="1:8">
      <c r="A1584">
        <v>3</v>
      </c>
      <c r="B1584" t="s">
        <v>147</v>
      </c>
      <c r="C1584">
        <v>2016</v>
      </c>
      <c r="D1584" t="s">
        <v>11</v>
      </c>
      <c r="E1584" t="s">
        <v>10</v>
      </c>
      <c r="F1584" t="s">
        <v>38</v>
      </c>
      <c r="G1584" t="s">
        <v>156</v>
      </c>
      <c r="H1584" s="220" t="s">
        <v>1548</v>
      </c>
    </row>
    <row r="1585" spans="1:8">
      <c r="A1585">
        <v>4</v>
      </c>
      <c r="B1585" t="s">
        <v>148</v>
      </c>
      <c r="C1585">
        <v>2016</v>
      </c>
      <c r="D1585" t="s">
        <v>11</v>
      </c>
      <c r="E1585" t="s">
        <v>10</v>
      </c>
      <c r="F1585" t="s">
        <v>38</v>
      </c>
      <c r="G1585" t="s">
        <v>157</v>
      </c>
      <c r="H1585" s="220" t="s">
        <v>1549</v>
      </c>
    </row>
    <row r="1586" spans="1:8">
      <c r="A1586">
        <v>0</v>
      </c>
      <c r="B1586" t="s">
        <v>34</v>
      </c>
      <c r="C1586">
        <v>2016</v>
      </c>
      <c r="D1586" t="s">
        <v>11</v>
      </c>
      <c r="E1586" t="s">
        <v>10</v>
      </c>
      <c r="F1586" t="s">
        <v>38</v>
      </c>
      <c r="G1586" t="s">
        <v>158</v>
      </c>
      <c r="H1586" s="220" t="s">
        <v>1550</v>
      </c>
    </row>
    <row r="1587" spans="1:8">
      <c r="A1587">
        <v>1</v>
      </c>
      <c r="B1587" t="s">
        <v>145</v>
      </c>
      <c r="C1587">
        <v>2015</v>
      </c>
      <c r="D1587" t="s">
        <v>11</v>
      </c>
      <c r="E1587" t="s">
        <v>10</v>
      </c>
      <c r="F1587" t="s">
        <v>38</v>
      </c>
      <c r="G1587" t="s">
        <v>154</v>
      </c>
      <c r="H1587" s="220" t="s">
        <v>1551</v>
      </c>
    </row>
    <row r="1588" spans="1:8">
      <c r="A1588">
        <v>2</v>
      </c>
      <c r="B1588" t="s">
        <v>146</v>
      </c>
      <c r="C1588">
        <v>2015</v>
      </c>
      <c r="D1588" t="s">
        <v>11</v>
      </c>
      <c r="E1588" t="s">
        <v>10</v>
      </c>
      <c r="F1588" t="s">
        <v>38</v>
      </c>
      <c r="G1588" t="s">
        <v>155</v>
      </c>
      <c r="H1588" s="220" t="s">
        <v>1552</v>
      </c>
    </row>
    <row r="1589" spans="1:8">
      <c r="A1589">
        <v>3</v>
      </c>
      <c r="B1589" t="s">
        <v>147</v>
      </c>
      <c r="C1589">
        <v>2015</v>
      </c>
      <c r="D1589" t="s">
        <v>11</v>
      </c>
      <c r="E1589" t="s">
        <v>10</v>
      </c>
      <c r="F1589" t="s">
        <v>38</v>
      </c>
      <c r="G1589" t="s">
        <v>156</v>
      </c>
      <c r="H1589" s="220" t="s">
        <v>1553</v>
      </c>
    </row>
    <row r="1590" spans="1:8">
      <c r="A1590">
        <v>4</v>
      </c>
      <c r="B1590" t="s">
        <v>148</v>
      </c>
      <c r="C1590">
        <v>2015</v>
      </c>
      <c r="D1590" t="s">
        <v>11</v>
      </c>
      <c r="E1590" t="s">
        <v>10</v>
      </c>
      <c r="F1590" t="s">
        <v>38</v>
      </c>
      <c r="G1590" t="s">
        <v>157</v>
      </c>
      <c r="H1590" s="220" t="s">
        <v>1554</v>
      </c>
    </row>
    <row r="1591" spans="1:8">
      <c r="A1591">
        <v>0</v>
      </c>
      <c r="B1591" t="s">
        <v>34</v>
      </c>
      <c r="C1591">
        <v>2015</v>
      </c>
      <c r="D1591" t="s">
        <v>11</v>
      </c>
      <c r="E1591" t="s">
        <v>10</v>
      </c>
      <c r="F1591" t="s">
        <v>38</v>
      </c>
      <c r="G1591" t="s">
        <v>158</v>
      </c>
      <c r="H1591" s="220" t="s">
        <v>1555</v>
      </c>
    </row>
    <row r="1592" spans="1:8">
      <c r="A1592">
        <v>1</v>
      </c>
      <c r="B1592" t="s">
        <v>145</v>
      </c>
      <c r="C1592">
        <v>2014</v>
      </c>
      <c r="D1592" t="s">
        <v>11</v>
      </c>
      <c r="E1592" t="s">
        <v>10</v>
      </c>
      <c r="F1592" t="s">
        <v>38</v>
      </c>
      <c r="G1592" t="s">
        <v>154</v>
      </c>
      <c r="H1592" s="220" t="s">
        <v>1556</v>
      </c>
    </row>
    <row r="1593" spans="1:8">
      <c r="A1593">
        <v>2</v>
      </c>
      <c r="B1593" t="s">
        <v>146</v>
      </c>
      <c r="C1593">
        <v>2014</v>
      </c>
      <c r="D1593" t="s">
        <v>11</v>
      </c>
      <c r="E1593" t="s">
        <v>10</v>
      </c>
      <c r="F1593" t="s">
        <v>38</v>
      </c>
      <c r="G1593" t="s">
        <v>155</v>
      </c>
      <c r="H1593" s="220" t="s">
        <v>1557</v>
      </c>
    </row>
    <row r="1594" spans="1:8">
      <c r="A1594">
        <v>3</v>
      </c>
      <c r="B1594" t="s">
        <v>147</v>
      </c>
      <c r="C1594">
        <v>2014</v>
      </c>
      <c r="D1594" t="s">
        <v>11</v>
      </c>
      <c r="E1594" t="s">
        <v>10</v>
      </c>
      <c r="F1594" t="s">
        <v>38</v>
      </c>
      <c r="G1594" t="s">
        <v>156</v>
      </c>
      <c r="H1594" s="220" t="s">
        <v>1558</v>
      </c>
    </row>
    <row r="1595" spans="1:8">
      <c r="A1595">
        <v>4</v>
      </c>
      <c r="B1595" t="s">
        <v>148</v>
      </c>
      <c r="C1595">
        <v>2014</v>
      </c>
      <c r="D1595" t="s">
        <v>11</v>
      </c>
      <c r="E1595" t="s">
        <v>10</v>
      </c>
      <c r="F1595" t="s">
        <v>38</v>
      </c>
      <c r="G1595" t="s">
        <v>157</v>
      </c>
      <c r="H1595" s="220" t="s">
        <v>1559</v>
      </c>
    </row>
    <row r="1596" spans="1:8">
      <c r="A1596">
        <v>0</v>
      </c>
      <c r="B1596" t="s">
        <v>34</v>
      </c>
      <c r="C1596">
        <v>2014</v>
      </c>
      <c r="D1596" t="s">
        <v>11</v>
      </c>
      <c r="E1596" t="s">
        <v>10</v>
      </c>
      <c r="F1596" t="s">
        <v>38</v>
      </c>
      <c r="G1596" t="s">
        <v>158</v>
      </c>
      <c r="H1596" s="220" t="s">
        <v>1560</v>
      </c>
    </row>
    <row r="1597" spans="1:8">
      <c r="A1597">
        <v>1</v>
      </c>
      <c r="B1597" t="s">
        <v>145</v>
      </c>
      <c r="C1597">
        <v>2013</v>
      </c>
      <c r="D1597" t="s">
        <v>11</v>
      </c>
      <c r="E1597" t="s">
        <v>10</v>
      </c>
      <c r="F1597" t="s">
        <v>38</v>
      </c>
      <c r="G1597" t="s">
        <v>154</v>
      </c>
      <c r="H1597" s="220" t="s">
        <v>1561</v>
      </c>
    </row>
    <row r="1598" spans="1:8">
      <c r="A1598">
        <v>2</v>
      </c>
      <c r="B1598" t="s">
        <v>146</v>
      </c>
      <c r="C1598">
        <v>2013</v>
      </c>
      <c r="D1598" t="s">
        <v>11</v>
      </c>
      <c r="E1598" t="s">
        <v>10</v>
      </c>
      <c r="F1598" t="s">
        <v>38</v>
      </c>
      <c r="G1598" t="s">
        <v>155</v>
      </c>
      <c r="H1598" s="220" t="s">
        <v>1562</v>
      </c>
    </row>
    <row r="1599" spans="1:8">
      <c r="A1599">
        <v>3</v>
      </c>
      <c r="B1599" t="s">
        <v>147</v>
      </c>
      <c r="C1599">
        <v>2013</v>
      </c>
      <c r="D1599" t="s">
        <v>11</v>
      </c>
      <c r="E1599" t="s">
        <v>10</v>
      </c>
      <c r="F1599" t="s">
        <v>38</v>
      </c>
      <c r="G1599" t="s">
        <v>156</v>
      </c>
      <c r="H1599" s="220" t="s">
        <v>1563</v>
      </c>
    </row>
    <row r="1600" spans="1:8">
      <c r="A1600">
        <v>4</v>
      </c>
      <c r="B1600" t="s">
        <v>148</v>
      </c>
      <c r="C1600">
        <v>2013</v>
      </c>
      <c r="D1600" t="s">
        <v>11</v>
      </c>
      <c r="E1600" t="s">
        <v>10</v>
      </c>
      <c r="F1600" t="s">
        <v>38</v>
      </c>
      <c r="G1600" t="s">
        <v>157</v>
      </c>
      <c r="H1600" s="220" t="s">
        <v>1564</v>
      </c>
    </row>
    <row r="1601" spans="1:8">
      <c r="A1601">
        <v>0</v>
      </c>
      <c r="B1601" t="s">
        <v>34</v>
      </c>
      <c r="C1601">
        <v>2013</v>
      </c>
      <c r="D1601" t="s">
        <v>11</v>
      </c>
      <c r="E1601" t="s">
        <v>10</v>
      </c>
      <c r="F1601" t="s">
        <v>38</v>
      </c>
      <c r="G1601" t="s">
        <v>158</v>
      </c>
      <c r="H1601" s="220" t="s">
        <v>1565</v>
      </c>
    </row>
    <row r="1602" spans="1:8">
      <c r="A1602">
        <v>1</v>
      </c>
      <c r="B1602" t="s">
        <v>145</v>
      </c>
      <c r="C1602">
        <v>2012</v>
      </c>
      <c r="D1602" t="s">
        <v>11</v>
      </c>
      <c r="E1602" t="s">
        <v>10</v>
      </c>
      <c r="F1602" t="s">
        <v>38</v>
      </c>
      <c r="G1602" t="s">
        <v>154</v>
      </c>
      <c r="H1602" s="220" t="s">
        <v>1566</v>
      </c>
    </row>
    <row r="1603" spans="1:8">
      <c r="A1603">
        <v>2</v>
      </c>
      <c r="B1603" t="s">
        <v>146</v>
      </c>
      <c r="C1603">
        <v>2012</v>
      </c>
      <c r="D1603" t="s">
        <v>11</v>
      </c>
      <c r="E1603" t="s">
        <v>10</v>
      </c>
      <c r="F1603" t="s">
        <v>38</v>
      </c>
      <c r="G1603" t="s">
        <v>155</v>
      </c>
      <c r="H1603" s="220" t="s">
        <v>1567</v>
      </c>
    </row>
    <row r="1604" spans="1:8">
      <c r="A1604">
        <v>3</v>
      </c>
      <c r="B1604" t="s">
        <v>147</v>
      </c>
      <c r="C1604">
        <v>2012</v>
      </c>
      <c r="D1604" t="s">
        <v>11</v>
      </c>
      <c r="E1604" t="s">
        <v>10</v>
      </c>
      <c r="F1604" t="s">
        <v>38</v>
      </c>
      <c r="G1604" t="s">
        <v>156</v>
      </c>
      <c r="H1604" s="220" t="s">
        <v>1568</v>
      </c>
    </row>
    <row r="1605" spans="1:8">
      <c r="A1605">
        <v>4</v>
      </c>
      <c r="B1605" t="s">
        <v>148</v>
      </c>
      <c r="C1605">
        <v>2012</v>
      </c>
      <c r="D1605" t="s">
        <v>11</v>
      </c>
      <c r="E1605" t="s">
        <v>10</v>
      </c>
      <c r="F1605" t="s">
        <v>38</v>
      </c>
      <c r="G1605" t="s">
        <v>157</v>
      </c>
      <c r="H1605" s="220" t="s">
        <v>1569</v>
      </c>
    </row>
    <row r="1606" spans="1:8">
      <c r="A1606">
        <v>0</v>
      </c>
      <c r="B1606" t="s">
        <v>34</v>
      </c>
      <c r="C1606">
        <v>2012</v>
      </c>
      <c r="D1606" t="s">
        <v>11</v>
      </c>
      <c r="E1606" t="s">
        <v>10</v>
      </c>
      <c r="F1606" t="s">
        <v>38</v>
      </c>
      <c r="G1606" t="s">
        <v>158</v>
      </c>
      <c r="H1606" s="220" t="s">
        <v>1570</v>
      </c>
    </row>
    <row r="1607" spans="1:8">
      <c r="A1607">
        <v>1</v>
      </c>
      <c r="B1607" t="s">
        <v>145</v>
      </c>
      <c r="C1607">
        <v>2011</v>
      </c>
      <c r="D1607" t="s">
        <v>11</v>
      </c>
      <c r="E1607" t="s">
        <v>10</v>
      </c>
      <c r="F1607" t="s">
        <v>38</v>
      </c>
      <c r="G1607" t="s">
        <v>154</v>
      </c>
      <c r="H1607" s="220" t="s">
        <v>1571</v>
      </c>
    </row>
    <row r="1608" spans="1:8">
      <c r="A1608">
        <v>2</v>
      </c>
      <c r="B1608" t="s">
        <v>146</v>
      </c>
      <c r="C1608">
        <v>2011</v>
      </c>
      <c r="D1608" t="s">
        <v>11</v>
      </c>
      <c r="E1608" t="s">
        <v>10</v>
      </c>
      <c r="F1608" t="s">
        <v>38</v>
      </c>
      <c r="G1608" t="s">
        <v>155</v>
      </c>
      <c r="H1608" s="220" t="s">
        <v>1572</v>
      </c>
    </row>
    <row r="1609" spans="1:8">
      <c r="A1609">
        <v>3</v>
      </c>
      <c r="B1609" t="s">
        <v>147</v>
      </c>
      <c r="C1609">
        <v>2011</v>
      </c>
      <c r="D1609" t="s">
        <v>11</v>
      </c>
      <c r="E1609" t="s">
        <v>10</v>
      </c>
      <c r="F1609" t="s">
        <v>38</v>
      </c>
      <c r="G1609" t="s">
        <v>156</v>
      </c>
      <c r="H1609" s="220" t="s">
        <v>1573</v>
      </c>
    </row>
    <row r="1610" spans="1:8">
      <c r="A1610">
        <v>4</v>
      </c>
      <c r="B1610" t="s">
        <v>148</v>
      </c>
      <c r="C1610">
        <v>2011</v>
      </c>
      <c r="D1610" t="s">
        <v>11</v>
      </c>
      <c r="E1610" t="s">
        <v>10</v>
      </c>
      <c r="F1610" t="s">
        <v>38</v>
      </c>
      <c r="G1610" t="s">
        <v>157</v>
      </c>
      <c r="H1610" s="220" t="s">
        <v>1574</v>
      </c>
    </row>
    <row r="1611" spans="1:8">
      <c r="A1611">
        <v>0</v>
      </c>
      <c r="B1611" t="s">
        <v>34</v>
      </c>
      <c r="C1611">
        <v>2011</v>
      </c>
      <c r="D1611" t="s">
        <v>11</v>
      </c>
      <c r="E1611" t="s">
        <v>10</v>
      </c>
      <c r="F1611" t="s">
        <v>38</v>
      </c>
      <c r="G1611" t="s">
        <v>158</v>
      </c>
      <c r="H1611" s="220" t="s">
        <v>1575</v>
      </c>
    </row>
    <row r="1612" spans="1:8">
      <c r="A1612">
        <v>1</v>
      </c>
      <c r="B1612" t="s">
        <v>145</v>
      </c>
      <c r="C1612">
        <v>2010</v>
      </c>
      <c r="D1612" t="s">
        <v>11</v>
      </c>
      <c r="E1612" t="s">
        <v>10</v>
      </c>
      <c r="F1612" t="s">
        <v>38</v>
      </c>
      <c r="G1612" t="s">
        <v>154</v>
      </c>
      <c r="H1612" s="220" t="s">
        <v>1576</v>
      </c>
    </row>
    <row r="1613" spans="1:8">
      <c r="A1613">
        <v>2</v>
      </c>
      <c r="B1613" t="s">
        <v>146</v>
      </c>
      <c r="C1613">
        <v>2010</v>
      </c>
      <c r="D1613" t="s">
        <v>11</v>
      </c>
      <c r="E1613" t="s">
        <v>10</v>
      </c>
      <c r="F1613" t="s">
        <v>38</v>
      </c>
      <c r="G1613" t="s">
        <v>155</v>
      </c>
      <c r="H1613" s="220" t="s">
        <v>1577</v>
      </c>
    </row>
    <row r="1614" spans="1:8">
      <c r="A1614">
        <v>3</v>
      </c>
      <c r="B1614" t="s">
        <v>147</v>
      </c>
      <c r="C1614">
        <v>2010</v>
      </c>
      <c r="D1614" t="s">
        <v>11</v>
      </c>
      <c r="E1614" t="s">
        <v>10</v>
      </c>
      <c r="F1614" t="s">
        <v>38</v>
      </c>
      <c r="G1614" t="s">
        <v>156</v>
      </c>
      <c r="H1614" s="220" t="s">
        <v>1578</v>
      </c>
    </row>
    <row r="1615" spans="1:8">
      <c r="A1615">
        <v>4</v>
      </c>
      <c r="B1615" t="s">
        <v>148</v>
      </c>
      <c r="C1615">
        <v>2010</v>
      </c>
      <c r="D1615" t="s">
        <v>11</v>
      </c>
      <c r="E1615" t="s">
        <v>10</v>
      </c>
      <c r="F1615" t="s">
        <v>38</v>
      </c>
      <c r="G1615" t="s">
        <v>157</v>
      </c>
      <c r="H1615" s="220" t="s">
        <v>1579</v>
      </c>
    </row>
    <row r="1616" spans="1:8">
      <c r="A1616">
        <v>0</v>
      </c>
      <c r="B1616" t="s">
        <v>34</v>
      </c>
      <c r="C1616">
        <v>2010</v>
      </c>
      <c r="D1616" t="s">
        <v>11</v>
      </c>
      <c r="E1616" t="s">
        <v>10</v>
      </c>
      <c r="F1616" t="s">
        <v>38</v>
      </c>
      <c r="G1616" t="s">
        <v>158</v>
      </c>
      <c r="H1616" s="220" t="s">
        <v>1580</v>
      </c>
    </row>
    <row r="1617" spans="1:8">
      <c r="A1617">
        <v>1</v>
      </c>
      <c r="B1617" t="s">
        <v>145</v>
      </c>
      <c r="C1617">
        <v>2005</v>
      </c>
      <c r="D1617" t="s">
        <v>11</v>
      </c>
      <c r="E1617" t="s">
        <v>10</v>
      </c>
      <c r="F1617" t="s">
        <v>38</v>
      </c>
      <c r="G1617" t="s">
        <v>154</v>
      </c>
      <c r="H1617" s="220" t="s">
        <v>1581</v>
      </c>
    </row>
    <row r="1618" spans="1:8">
      <c r="A1618">
        <v>2</v>
      </c>
      <c r="B1618" t="s">
        <v>146</v>
      </c>
      <c r="C1618">
        <v>2005</v>
      </c>
      <c r="D1618" t="s">
        <v>11</v>
      </c>
      <c r="E1618" t="s">
        <v>10</v>
      </c>
      <c r="F1618" t="s">
        <v>38</v>
      </c>
      <c r="G1618" t="s">
        <v>155</v>
      </c>
      <c r="H1618" s="220" t="s">
        <v>1582</v>
      </c>
    </row>
    <row r="1619" spans="1:8">
      <c r="A1619">
        <v>3</v>
      </c>
      <c r="B1619" t="s">
        <v>147</v>
      </c>
      <c r="C1619">
        <v>2005</v>
      </c>
      <c r="D1619" t="s">
        <v>11</v>
      </c>
      <c r="E1619" t="s">
        <v>10</v>
      </c>
      <c r="F1619" t="s">
        <v>38</v>
      </c>
      <c r="G1619" t="s">
        <v>156</v>
      </c>
      <c r="H1619" s="220" t="s">
        <v>1583</v>
      </c>
    </row>
    <row r="1620" spans="1:8">
      <c r="A1620">
        <v>4</v>
      </c>
      <c r="B1620" t="s">
        <v>148</v>
      </c>
      <c r="C1620">
        <v>2005</v>
      </c>
      <c r="D1620" t="s">
        <v>11</v>
      </c>
      <c r="E1620" t="s">
        <v>10</v>
      </c>
      <c r="F1620" t="s">
        <v>38</v>
      </c>
      <c r="G1620" t="s">
        <v>157</v>
      </c>
      <c r="H1620" s="220" t="s">
        <v>1584</v>
      </c>
    </row>
    <row r="1621" spans="1:8">
      <c r="A1621">
        <v>0</v>
      </c>
      <c r="B1621" t="s">
        <v>34</v>
      </c>
      <c r="C1621">
        <v>2005</v>
      </c>
      <c r="D1621" t="s">
        <v>11</v>
      </c>
      <c r="E1621" t="s">
        <v>10</v>
      </c>
      <c r="F1621" t="s">
        <v>38</v>
      </c>
      <c r="G1621" t="s">
        <v>158</v>
      </c>
      <c r="H1621" s="220" t="s">
        <v>1585</v>
      </c>
    </row>
    <row r="1622" spans="1:8">
      <c r="A1622">
        <v>1</v>
      </c>
      <c r="B1622" t="s">
        <v>145</v>
      </c>
      <c r="C1622">
        <v>2020</v>
      </c>
      <c r="D1622" t="s">
        <v>12</v>
      </c>
      <c r="E1622" t="s">
        <v>10</v>
      </c>
      <c r="F1622" t="s">
        <v>38</v>
      </c>
      <c r="G1622" t="s">
        <v>154</v>
      </c>
      <c r="H1622" s="220" t="s">
        <v>1586</v>
      </c>
    </row>
    <row r="1623" spans="1:8">
      <c r="A1623">
        <v>2</v>
      </c>
      <c r="B1623" t="s">
        <v>146</v>
      </c>
      <c r="C1623">
        <v>2020</v>
      </c>
      <c r="D1623" t="s">
        <v>12</v>
      </c>
      <c r="E1623" t="s">
        <v>10</v>
      </c>
      <c r="F1623" t="s">
        <v>38</v>
      </c>
      <c r="G1623" t="s">
        <v>155</v>
      </c>
      <c r="H1623" s="220" t="s">
        <v>1587</v>
      </c>
    </row>
    <row r="1624" spans="1:8">
      <c r="A1624">
        <v>3</v>
      </c>
      <c r="B1624" t="s">
        <v>147</v>
      </c>
      <c r="C1624">
        <v>2020</v>
      </c>
      <c r="D1624" t="s">
        <v>12</v>
      </c>
      <c r="E1624" t="s">
        <v>10</v>
      </c>
      <c r="F1624" t="s">
        <v>38</v>
      </c>
      <c r="G1624" t="s">
        <v>156</v>
      </c>
      <c r="H1624" s="220" t="s">
        <v>1588</v>
      </c>
    </row>
    <row r="1625" spans="1:8">
      <c r="A1625">
        <v>4</v>
      </c>
      <c r="B1625" t="s">
        <v>148</v>
      </c>
      <c r="C1625">
        <v>2020</v>
      </c>
      <c r="D1625" t="s">
        <v>12</v>
      </c>
      <c r="E1625" t="s">
        <v>10</v>
      </c>
      <c r="F1625" t="s">
        <v>38</v>
      </c>
      <c r="G1625" t="s">
        <v>157</v>
      </c>
      <c r="H1625" s="220" t="s">
        <v>1589</v>
      </c>
    </row>
    <row r="1626" spans="1:8">
      <c r="A1626">
        <v>0</v>
      </c>
      <c r="B1626" t="s">
        <v>34</v>
      </c>
      <c r="C1626">
        <v>2020</v>
      </c>
      <c r="D1626" t="s">
        <v>12</v>
      </c>
      <c r="E1626" t="s">
        <v>10</v>
      </c>
      <c r="F1626" t="s">
        <v>38</v>
      </c>
      <c r="G1626" t="s">
        <v>158</v>
      </c>
      <c r="H1626" s="220" t="s">
        <v>1590</v>
      </c>
    </row>
    <row r="1627" spans="1:8">
      <c r="A1627">
        <v>1</v>
      </c>
      <c r="B1627" t="s">
        <v>145</v>
      </c>
      <c r="C1627">
        <v>2019</v>
      </c>
      <c r="D1627" t="s">
        <v>12</v>
      </c>
      <c r="E1627" t="s">
        <v>10</v>
      </c>
      <c r="F1627" t="s">
        <v>38</v>
      </c>
      <c r="G1627" t="s">
        <v>154</v>
      </c>
      <c r="H1627" s="220" t="s">
        <v>1591</v>
      </c>
    </row>
    <row r="1628" spans="1:8">
      <c r="A1628">
        <v>2</v>
      </c>
      <c r="B1628" t="s">
        <v>146</v>
      </c>
      <c r="C1628">
        <v>2019</v>
      </c>
      <c r="D1628" t="s">
        <v>12</v>
      </c>
      <c r="E1628" t="s">
        <v>10</v>
      </c>
      <c r="F1628" t="s">
        <v>38</v>
      </c>
      <c r="G1628" t="s">
        <v>155</v>
      </c>
      <c r="H1628" s="220" t="s">
        <v>1592</v>
      </c>
    </row>
    <row r="1629" spans="1:8">
      <c r="A1629">
        <v>3</v>
      </c>
      <c r="B1629" t="s">
        <v>147</v>
      </c>
      <c r="C1629">
        <v>2019</v>
      </c>
      <c r="D1629" t="s">
        <v>12</v>
      </c>
      <c r="E1629" t="s">
        <v>10</v>
      </c>
      <c r="F1629" t="s">
        <v>38</v>
      </c>
      <c r="G1629" t="s">
        <v>156</v>
      </c>
      <c r="H1629" s="220" t="s">
        <v>1593</v>
      </c>
    </row>
    <row r="1630" spans="1:8">
      <c r="A1630">
        <v>4</v>
      </c>
      <c r="B1630" t="s">
        <v>148</v>
      </c>
      <c r="C1630">
        <v>2019</v>
      </c>
      <c r="D1630" t="s">
        <v>12</v>
      </c>
      <c r="E1630" t="s">
        <v>10</v>
      </c>
      <c r="F1630" t="s">
        <v>38</v>
      </c>
      <c r="G1630" t="s">
        <v>157</v>
      </c>
      <c r="H1630" s="220" t="s">
        <v>1594</v>
      </c>
    </row>
    <row r="1631" spans="1:8">
      <c r="A1631">
        <v>0</v>
      </c>
      <c r="B1631" t="s">
        <v>34</v>
      </c>
      <c r="C1631">
        <v>2019</v>
      </c>
      <c r="D1631" t="s">
        <v>12</v>
      </c>
      <c r="E1631" t="s">
        <v>10</v>
      </c>
      <c r="F1631" t="s">
        <v>38</v>
      </c>
      <c r="G1631" t="s">
        <v>158</v>
      </c>
      <c r="H1631" s="220" t="s">
        <v>1595</v>
      </c>
    </row>
    <row r="1632" spans="1:8">
      <c r="A1632">
        <v>1</v>
      </c>
      <c r="B1632" t="s">
        <v>145</v>
      </c>
      <c r="C1632">
        <v>2018</v>
      </c>
      <c r="D1632" t="s">
        <v>12</v>
      </c>
      <c r="E1632" t="s">
        <v>10</v>
      </c>
      <c r="F1632" t="s">
        <v>38</v>
      </c>
      <c r="G1632" t="s">
        <v>154</v>
      </c>
      <c r="H1632" s="220" t="s">
        <v>1596</v>
      </c>
    </row>
    <row r="1633" spans="1:8">
      <c r="A1633">
        <v>2</v>
      </c>
      <c r="B1633" t="s">
        <v>146</v>
      </c>
      <c r="C1633">
        <v>2018</v>
      </c>
      <c r="D1633" t="s">
        <v>12</v>
      </c>
      <c r="E1633" t="s">
        <v>10</v>
      </c>
      <c r="F1633" t="s">
        <v>38</v>
      </c>
      <c r="G1633" t="s">
        <v>155</v>
      </c>
      <c r="H1633" s="220" t="s">
        <v>1597</v>
      </c>
    </row>
    <row r="1634" spans="1:8">
      <c r="A1634">
        <v>3</v>
      </c>
      <c r="B1634" t="s">
        <v>147</v>
      </c>
      <c r="C1634">
        <v>2018</v>
      </c>
      <c r="D1634" t="s">
        <v>12</v>
      </c>
      <c r="E1634" t="s">
        <v>10</v>
      </c>
      <c r="F1634" t="s">
        <v>38</v>
      </c>
      <c r="G1634" t="s">
        <v>156</v>
      </c>
      <c r="H1634" s="220" t="s">
        <v>1598</v>
      </c>
    </row>
    <row r="1635" spans="1:8">
      <c r="A1635">
        <v>4</v>
      </c>
      <c r="B1635" t="s">
        <v>148</v>
      </c>
      <c r="C1635">
        <v>2018</v>
      </c>
      <c r="D1635" t="s">
        <v>12</v>
      </c>
      <c r="E1635" t="s">
        <v>10</v>
      </c>
      <c r="F1635" t="s">
        <v>38</v>
      </c>
      <c r="G1635" t="s">
        <v>157</v>
      </c>
      <c r="H1635" s="220" t="s">
        <v>1599</v>
      </c>
    </row>
    <row r="1636" spans="1:8">
      <c r="A1636">
        <v>0</v>
      </c>
      <c r="B1636" t="s">
        <v>34</v>
      </c>
      <c r="C1636">
        <v>2018</v>
      </c>
      <c r="D1636" t="s">
        <v>12</v>
      </c>
      <c r="E1636" t="s">
        <v>10</v>
      </c>
      <c r="F1636" t="s">
        <v>38</v>
      </c>
      <c r="G1636" t="s">
        <v>158</v>
      </c>
      <c r="H1636" s="220" t="s">
        <v>1600</v>
      </c>
    </row>
    <row r="1637" spans="1:8">
      <c r="A1637">
        <v>1</v>
      </c>
      <c r="B1637" t="s">
        <v>145</v>
      </c>
      <c r="C1637">
        <v>2017</v>
      </c>
      <c r="D1637" t="s">
        <v>12</v>
      </c>
      <c r="E1637" t="s">
        <v>10</v>
      </c>
      <c r="F1637" t="s">
        <v>38</v>
      </c>
      <c r="G1637" t="s">
        <v>154</v>
      </c>
      <c r="H1637" s="220" t="s">
        <v>1601</v>
      </c>
    </row>
    <row r="1638" spans="1:8">
      <c r="A1638">
        <v>2</v>
      </c>
      <c r="B1638" t="s">
        <v>146</v>
      </c>
      <c r="C1638">
        <v>2017</v>
      </c>
      <c r="D1638" t="s">
        <v>12</v>
      </c>
      <c r="E1638" t="s">
        <v>10</v>
      </c>
      <c r="F1638" t="s">
        <v>38</v>
      </c>
      <c r="G1638" t="s">
        <v>155</v>
      </c>
      <c r="H1638" s="220" t="s">
        <v>1602</v>
      </c>
    </row>
    <row r="1639" spans="1:8">
      <c r="A1639">
        <v>3</v>
      </c>
      <c r="B1639" t="s">
        <v>147</v>
      </c>
      <c r="C1639">
        <v>2017</v>
      </c>
      <c r="D1639" t="s">
        <v>12</v>
      </c>
      <c r="E1639" t="s">
        <v>10</v>
      </c>
      <c r="F1639" t="s">
        <v>38</v>
      </c>
      <c r="G1639" t="s">
        <v>156</v>
      </c>
      <c r="H1639" s="220" t="s">
        <v>1603</v>
      </c>
    </row>
    <row r="1640" spans="1:8">
      <c r="A1640">
        <v>4</v>
      </c>
      <c r="B1640" t="s">
        <v>148</v>
      </c>
      <c r="C1640">
        <v>2017</v>
      </c>
      <c r="D1640" t="s">
        <v>12</v>
      </c>
      <c r="E1640" t="s">
        <v>10</v>
      </c>
      <c r="F1640" t="s">
        <v>38</v>
      </c>
      <c r="G1640" t="s">
        <v>157</v>
      </c>
      <c r="H1640" s="220" t="s">
        <v>1604</v>
      </c>
    </row>
    <row r="1641" spans="1:8">
      <c r="A1641">
        <v>0</v>
      </c>
      <c r="B1641" t="s">
        <v>34</v>
      </c>
      <c r="C1641">
        <v>2017</v>
      </c>
      <c r="D1641" t="s">
        <v>12</v>
      </c>
      <c r="E1641" t="s">
        <v>10</v>
      </c>
      <c r="F1641" t="s">
        <v>38</v>
      </c>
      <c r="G1641" t="s">
        <v>158</v>
      </c>
      <c r="H1641" s="220" t="s">
        <v>1605</v>
      </c>
    </row>
    <row r="1642" spans="1:8">
      <c r="A1642">
        <v>1</v>
      </c>
      <c r="B1642" t="s">
        <v>145</v>
      </c>
      <c r="C1642">
        <v>2016</v>
      </c>
      <c r="D1642" t="s">
        <v>12</v>
      </c>
      <c r="E1642" t="s">
        <v>10</v>
      </c>
      <c r="F1642" t="s">
        <v>38</v>
      </c>
      <c r="G1642" t="s">
        <v>154</v>
      </c>
      <c r="H1642" s="220" t="s">
        <v>1606</v>
      </c>
    </row>
    <row r="1643" spans="1:8">
      <c r="A1643">
        <v>2</v>
      </c>
      <c r="B1643" t="s">
        <v>146</v>
      </c>
      <c r="C1643">
        <v>2016</v>
      </c>
      <c r="D1643" t="s">
        <v>12</v>
      </c>
      <c r="E1643" t="s">
        <v>10</v>
      </c>
      <c r="F1643" t="s">
        <v>38</v>
      </c>
      <c r="G1643" t="s">
        <v>155</v>
      </c>
      <c r="H1643" s="220" t="s">
        <v>1607</v>
      </c>
    </row>
    <row r="1644" spans="1:8">
      <c r="A1644">
        <v>3</v>
      </c>
      <c r="B1644" t="s">
        <v>147</v>
      </c>
      <c r="C1644">
        <v>2016</v>
      </c>
      <c r="D1644" t="s">
        <v>12</v>
      </c>
      <c r="E1644" t="s">
        <v>10</v>
      </c>
      <c r="F1644" t="s">
        <v>38</v>
      </c>
      <c r="G1644" t="s">
        <v>156</v>
      </c>
      <c r="H1644" s="220" t="s">
        <v>1608</v>
      </c>
    </row>
    <row r="1645" spans="1:8">
      <c r="A1645">
        <v>4</v>
      </c>
      <c r="B1645" t="s">
        <v>148</v>
      </c>
      <c r="C1645">
        <v>2016</v>
      </c>
      <c r="D1645" t="s">
        <v>12</v>
      </c>
      <c r="E1645" t="s">
        <v>10</v>
      </c>
      <c r="F1645" t="s">
        <v>38</v>
      </c>
      <c r="G1645" t="s">
        <v>157</v>
      </c>
      <c r="H1645" s="220" t="s">
        <v>1609</v>
      </c>
    </row>
    <row r="1646" spans="1:8">
      <c r="A1646">
        <v>0</v>
      </c>
      <c r="B1646" t="s">
        <v>34</v>
      </c>
      <c r="C1646">
        <v>2016</v>
      </c>
      <c r="D1646" t="s">
        <v>12</v>
      </c>
      <c r="E1646" t="s">
        <v>10</v>
      </c>
      <c r="F1646" t="s">
        <v>38</v>
      </c>
      <c r="G1646" t="s">
        <v>158</v>
      </c>
      <c r="H1646" s="220" t="s">
        <v>1610</v>
      </c>
    </row>
    <row r="1647" spans="1:8">
      <c r="A1647">
        <v>1</v>
      </c>
      <c r="B1647" t="s">
        <v>145</v>
      </c>
      <c r="C1647">
        <v>2015</v>
      </c>
      <c r="D1647" t="s">
        <v>12</v>
      </c>
      <c r="E1647" t="s">
        <v>10</v>
      </c>
      <c r="F1647" t="s">
        <v>38</v>
      </c>
      <c r="G1647" t="s">
        <v>154</v>
      </c>
      <c r="H1647" s="220" t="s">
        <v>1611</v>
      </c>
    </row>
    <row r="1648" spans="1:8">
      <c r="A1648">
        <v>2</v>
      </c>
      <c r="B1648" t="s">
        <v>146</v>
      </c>
      <c r="C1648">
        <v>2015</v>
      </c>
      <c r="D1648" t="s">
        <v>12</v>
      </c>
      <c r="E1648" t="s">
        <v>10</v>
      </c>
      <c r="F1648" t="s">
        <v>38</v>
      </c>
      <c r="G1648" t="s">
        <v>155</v>
      </c>
      <c r="H1648" s="220" t="s">
        <v>1612</v>
      </c>
    </row>
    <row r="1649" spans="1:8">
      <c r="A1649">
        <v>3</v>
      </c>
      <c r="B1649" t="s">
        <v>147</v>
      </c>
      <c r="C1649">
        <v>2015</v>
      </c>
      <c r="D1649" t="s">
        <v>12</v>
      </c>
      <c r="E1649" t="s">
        <v>10</v>
      </c>
      <c r="F1649" t="s">
        <v>38</v>
      </c>
      <c r="G1649" t="s">
        <v>156</v>
      </c>
      <c r="H1649" s="220" t="s">
        <v>1613</v>
      </c>
    </row>
    <row r="1650" spans="1:8">
      <c r="A1650">
        <v>4</v>
      </c>
      <c r="B1650" t="s">
        <v>148</v>
      </c>
      <c r="C1650">
        <v>2015</v>
      </c>
      <c r="D1650" t="s">
        <v>12</v>
      </c>
      <c r="E1650" t="s">
        <v>10</v>
      </c>
      <c r="F1650" t="s">
        <v>38</v>
      </c>
      <c r="G1650" t="s">
        <v>157</v>
      </c>
      <c r="H1650" s="220" t="s">
        <v>1614</v>
      </c>
    </row>
    <row r="1651" spans="1:8">
      <c r="A1651">
        <v>0</v>
      </c>
      <c r="B1651" t="s">
        <v>34</v>
      </c>
      <c r="C1651">
        <v>2015</v>
      </c>
      <c r="D1651" t="s">
        <v>12</v>
      </c>
      <c r="E1651" t="s">
        <v>10</v>
      </c>
      <c r="F1651" t="s">
        <v>38</v>
      </c>
      <c r="G1651" t="s">
        <v>158</v>
      </c>
      <c r="H1651" s="220" t="s">
        <v>1615</v>
      </c>
    </row>
    <row r="1652" spans="1:8">
      <c r="A1652">
        <v>1</v>
      </c>
      <c r="B1652" t="s">
        <v>145</v>
      </c>
      <c r="C1652">
        <v>2014</v>
      </c>
      <c r="D1652" t="s">
        <v>12</v>
      </c>
      <c r="E1652" t="s">
        <v>10</v>
      </c>
      <c r="F1652" t="s">
        <v>38</v>
      </c>
      <c r="G1652" t="s">
        <v>154</v>
      </c>
      <c r="H1652" s="220" t="s">
        <v>1616</v>
      </c>
    </row>
    <row r="1653" spans="1:8">
      <c r="A1653">
        <v>2</v>
      </c>
      <c r="B1653" t="s">
        <v>146</v>
      </c>
      <c r="C1653">
        <v>2014</v>
      </c>
      <c r="D1653" t="s">
        <v>12</v>
      </c>
      <c r="E1653" t="s">
        <v>10</v>
      </c>
      <c r="F1653" t="s">
        <v>38</v>
      </c>
      <c r="G1653" t="s">
        <v>155</v>
      </c>
      <c r="H1653" s="220" t="s">
        <v>1042</v>
      </c>
    </row>
    <row r="1654" spans="1:8">
      <c r="A1654">
        <v>3</v>
      </c>
      <c r="B1654" t="s">
        <v>147</v>
      </c>
      <c r="C1654">
        <v>2014</v>
      </c>
      <c r="D1654" t="s">
        <v>12</v>
      </c>
      <c r="E1654" t="s">
        <v>10</v>
      </c>
      <c r="F1654" t="s">
        <v>38</v>
      </c>
      <c r="G1654" t="s">
        <v>156</v>
      </c>
      <c r="H1654" s="220" t="s">
        <v>1617</v>
      </c>
    </row>
    <row r="1655" spans="1:8">
      <c r="A1655">
        <v>4</v>
      </c>
      <c r="B1655" t="s">
        <v>148</v>
      </c>
      <c r="C1655">
        <v>2014</v>
      </c>
      <c r="D1655" t="s">
        <v>12</v>
      </c>
      <c r="E1655" t="s">
        <v>10</v>
      </c>
      <c r="F1655" t="s">
        <v>38</v>
      </c>
      <c r="G1655" t="s">
        <v>157</v>
      </c>
      <c r="H1655" s="220" t="s">
        <v>1618</v>
      </c>
    </row>
    <row r="1656" spans="1:8">
      <c r="A1656">
        <v>0</v>
      </c>
      <c r="B1656" t="s">
        <v>34</v>
      </c>
      <c r="C1656">
        <v>2014</v>
      </c>
      <c r="D1656" t="s">
        <v>12</v>
      </c>
      <c r="E1656" t="s">
        <v>10</v>
      </c>
      <c r="F1656" t="s">
        <v>38</v>
      </c>
      <c r="G1656" t="s">
        <v>158</v>
      </c>
      <c r="H1656" s="220" t="s">
        <v>1619</v>
      </c>
    </row>
    <row r="1657" spans="1:8">
      <c r="A1657">
        <v>1</v>
      </c>
      <c r="B1657" t="s">
        <v>145</v>
      </c>
      <c r="C1657">
        <v>2013</v>
      </c>
      <c r="D1657" t="s">
        <v>12</v>
      </c>
      <c r="E1657" t="s">
        <v>10</v>
      </c>
      <c r="F1657" t="s">
        <v>38</v>
      </c>
      <c r="G1657" t="s">
        <v>154</v>
      </c>
      <c r="H1657" s="220" t="s">
        <v>1620</v>
      </c>
    </row>
    <row r="1658" spans="1:8">
      <c r="A1658">
        <v>2</v>
      </c>
      <c r="B1658" t="s">
        <v>146</v>
      </c>
      <c r="C1658">
        <v>2013</v>
      </c>
      <c r="D1658" t="s">
        <v>12</v>
      </c>
      <c r="E1658" t="s">
        <v>10</v>
      </c>
      <c r="F1658" t="s">
        <v>38</v>
      </c>
      <c r="G1658" t="s">
        <v>155</v>
      </c>
      <c r="H1658" s="220" t="s">
        <v>1621</v>
      </c>
    </row>
    <row r="1659" spans="1:8">
      <c r="A1659">
        <v>3</v>
      </c>
      <c r="B1659" t="s">
        <v>147</v>
      </c>
      <c r="C1659">
        <v>2013</v>
      </c>
      <c r="D1659" t="s">
        <v>12</v>
      </c>
      <c r="E1659" t="s">
        <v>10</v>
      </c>
      <c r="F1659" t="s">
        <v>38</v>
      </c>
      <c r="G1659" t="s">
        <v>156</v>
      </c>
      <c r="H1659" s="220" t="s">
        <v>1622</v>
      </c>
    </row>
    <row r="1660" spans="1:8">
      <c r="A1660">
        <v>4</v>
      </c>
      <c r="B1660" t="s">
        <v>148</v>
      </c>
      <c r="C1660">
        <v>2013</v>
      </c>
      <c r="D1660" t="s">
        <v>12</v>
      </c>
      <c r="E1660" t="s">
        <v>10</v>
      </c>
      <c r="F1660" t="s">
        <v>38</v>
      </c>
      <c r="G1660" t="s">
        <v>157</v>
      </c>
      <c r="H1660" s="220" t="s">
        <v>1623</v>
      </c>
    </row>
    <row r="1661" spans="1:8">
      <c r="A1661">
        <v>0</v>
      </c>
      <c r="B1661" t="s">
        <v>34</v>
      </c>
      <c r="C1661">
        <v>2013</v>
      </c>
      <c r="D1661" t="s">
        <v>12</v>
      </c>
      <c r="E1661" t="s">
        <v>10</v>
      </c>
      <c r="F1661" t="s">
        <v>38</v>
      </c>
      <c r="G1661" t="s">
        <v>158</v>
      </c>
      <c r="H1661" s="220" t="s">
        <v>1624</v>
      </c>
    </row>
    <row r="1662" spans="1:8">
      <c r="A1662">
        <v>1</v>
      </c>
      <c r="B1662" t="s">
        <v>145</v>
      </c>
      <c r="C1662">
        <v>2012</v>
      </c>
      <c r="D1662" t="s">
        <v>12</v>
      </c>
      <c r="E1662" t="s">
        <v>10</v>
      </c>
      <c r="F1662" t="s">
        <v>38</v>
      </c>
      <c r="G1662" t="s">
        <v>154</v>
      </c>
      <c r="H1662" s="220" t="s">
        <v>1489</v>
      </c>
    </row>
    <row r="1663" spans="1:8">
      <c r="A1663">
        <v>2</v>
      </c>
      <c r="B1663" t="s">
        <v>146</v>
      </c>
      <c r="C1663">
        <v>2012</v>
      </c>
      <c r="D1663" t="s">
        <v>12</v>
      </c>
      <c r="E1663" t="s">
        <v>10</v>
      </c>
      <c r="F1663" t="s">
        <v>38</v>
      </c>
      <c r="G1663" t="s">
        <v>155</v>
      </c>
      <c r="H1663" s="220" t="s">
        <v>1625</v>
      </c>
    </row>
    <row r="1664" spans="1:8">
      <c r="A1664">
        <v>3</v>
      </c>
      <c r="B1664" t="s">
        <v>147</v>
      </c>
      <c r="C1664">
        <v>2012</v>
      </c>
      <c r="D1664" t="s">
        <v>12</v>
      </c>
      <c r="E1664" t="s">
        <v>10</v>
      </c>
      <c r="F1664" t="s">
        <v>38</v>
      </c>
      <c r="G1664" t="s">
        <v>156</v>
      </c>
      <c r="H1664" s="220" t="s">
        <v>1626</v>
      </c>
    </row>
    <row r="1665" spans="1:8">
      <c r="A1665">
        <v>4</v>
      </c>
      <c r="B1665" t="s">
        <v>148</v>
      </c>
      <c r="C1665">
        <v>2012</v>
      </c>
      <c r="D1665" t="s">
        <v>12</v>
      </c>
      <c r="E1665" t="s">
        <v>10</v>
      </c>
      <c r="F1665" t="s">
        <v>38</v>
      </c>
      <c r="G1665" t="s">
        <v>157</v>
      </c>
      <c r="H1665" s="220" t="s">
        <v>1627</v>
      </c>
    </row>
    <row r="1666" spans="1:8">
      <c r="A1666">
        <v>0</v>
      </c>
      <c r="B1666" t="s">
        <v>34</v>
      </c>
      <c r="C1666">
        <v>2012</v>
      </c>
      <c r="D1666" t="s">
        <v>12</v>
      </c>
      <c r="E1666" t="s">
        <v>10</v>
      </c>
      <c r="F1666" t="s">
        <v>38</v>
      </c>
      <c r="G1666" t="s">
        <v>158</v>
      </c>
      <c r="H1666" s="220" t="s">
        <v>1628</v>
      </c>
    </row>
    <row r="1667" spans="1:8">
      <c r="A1667">
        <v>1</v>
      </c>
      <c r="B1667" t="s">
        <v>145</v>
      </c>
      <c r="C1667">
        <v>2011</v>
      </c>
      <c r="D1667" t="s">
        <v>12</v>
      </c>
      <c r="E1667" t="s">
        <v>10</v>
      </c>
      <c r="F1667" t="s">
        <v>38</v>
      </c>
      <c r="G1667" t="s">
        <v>154</v>
      </c>
      <c r="H1667" s="220" t="s">
        <v>1465</v>
      </c>
    </row>
    <row r="1668" spans="1:8">
      <c r="A1668">
        <v>2</v>
      </c>
      <c r="B1668" t="s">
        <v>146</v>
      </c>
      <c r="C1668">
        <v>2011</v>
      </c>
      <c r="D1668" t="s">
        <v>12</v>
      </c>
      <c r="E1668" t="s">
        <v>10</v>
      </c>
      <c r="F1668" t="s">
        <v>38</v>
      </c>
      <c r="G1668" t="s">
        <v>155</v>
      </c>
      <c r="H1668" s="220" t="s">
        <v>1629</v>
      </c>
    </row>
    <row r="1669" spans="1:8">
      <c r="A1669">
        <v>3</v>
      </c>
      <c r="B1669" t="s">
        <v>147</v>
      </c>
      <c r="C1669">
        <v>2011</v>
      </c>
      <c r="D1669" t="s">
        <v>12</v>
      </c>
      <c r="E1669" t="s">
        <v>10</v>
      </c>
      <c r="F1669" t="s">
        <v>38</v>
      </c>
      <c r="G1669" t="s">
        <v>156</v>
      </c>
      <c r="H1669" s="220" t="s">
        <v>1630</v>
      </c>
    </row>
    <row r="1670" spans="1:8">
      <c r="A1670">
        <v>4</v>
      </c>
      <c r="B1670" t="s">
        <v>148</v>
      </c>
      <c r="C1670">
        <v>2011</v>
      </c>
      <c r="D1670" t="s">
        <v>12</v>
      </c>
      <c r="E1670" t="s">
        <v>10</v>
      </c>
      <c r="F1670" t="s">
        <v>38</v>
      </c>
      <c r="G1670" t="s">
        <v>157</v>
      </c>
      <c r="H1670" s="220" t="s">
        <v>1631</v>
      </c>
    </row>
    <row r="1671" spans="1:8">
      <c r="A1671">
        <v>0</v>
      </c>
      <c r="B1671" t="s">
        <v>34</v>
      </c>
      <c r="C1671">
        <v>2011</v>
      </c>
      <c r="D1671" t="s">
        <v>12</v>
      </c>
      <c r="E1671" t="s">
        <v>10</v>
      </c>
      <c r="F1671" t="s">
        <v>38</v>
      </c>
      <c r="G1671" t="s">
        <v>158</v>
      </c>
      <c r="H1671" s="220" t="s">
        <v>1632</v>
      </c>
    </row>
    <row r="1672" spans="1:8">
      <c r="A1672">
        <v>1</v>
      </c>
      <c r="B1672" t="s">
        <v>145</v>
      </c>
      <c r="C1672">
        <v>2010</v>
      </c>
      <c r="D1672" t="s">
        <v>12</v>
      </c>
      <c r="E1672" t="s">
        <v>10</v>
      </c>
      <c r="F1672" t="s">
        <v>38</v>
      </c>
      <c r="G1672" t="s">
        <v>154</v>
      </c>
      <c r="H1672" s="220" t="s">
        <v>1633</v>
      </c>
    </row>
    <row r="1673" spans="1:8">
      <c r="A1673">
        <v>2</v>
      </c>
      <c r="B1673" t="s">
        <v>146</v>
      </c>
      <c r="C1673">
        <v>2010</v>
      </c>
      <c r="D1673" t="s">
        <v>12</v>
      </c>
      <c r="E1673" t="s">
        <v>10</v>
      </c>
      <c r="F1673" t="s">
        <v>38</v>
      </c>
      <c r="G1673" t="s">
        <v>155</v>
      </c>
      <c r="H1673" s="220" t="s">
        <v>1634</v>
      </c>
    </row>
    <row r="1674" spans="1:8">
      <c r="A1674">
        <v>3</v>
      </c>
      <c r="B1674" t="s">
        <v>147</v>
      </c>
      <c r="C1674">
        <v>2010</v>
      </c>
      <c r="D1674" t="s">
        <v>12</v>
      </c>
      <c r="E1674" t="s">
        <v>10</v>
      </c>
      <c r="F1674" t="s">
        <v>38</v>
      </c>
      <c r="G1674" t="s">
        <v>156</v>
      </c>
      <c r="H1674" s="220" t="s">
        <v>1635</v>
      </c>
    </row>
    <row r="1675" spans="1:8">
      <c r="A1675">
        <v>4</v>
      </c>
      <c r="B1675" t="s">
        <v>148</v>
      </c>
      <c r="C1675">
        <v>2010</v>
      </c>
      <c r="D1675" t="s">
        <v>12</v>
      </c>
      <c r="E1675" t="s">
        <v>10</v>
      </c>
      <c r="F1675" t="s">
        <v>38</v>
      </c>
      <c r="G1675" t="s">
        <v>157</v>
      </c>
      <c r="H1675" s="220" t="s">
        <v>1636</v>
      </c>
    </row>
    <row r="1676" spans="1:8">
      <c r="A1676">
        <v>0</v>
      </c>
      <c r="B1676" t="s">
        <v>34</v>
      </c>
      <c r="C1676">
        <v>2010</v>
      </c>
      <c r="D1676" t="s">
        <v>12</v>
      </c>
      <c r="E1676" t="s">
        <v>10</v>
      </c>
      <c r="F1676" t="s">
        <v>38</v>
      </c>
      <c r="G1676" t="s">
        <v>158</v>
      </c>
      <c r="H1676" s="220" t="s">
        <v>1255</v>
      </c>
    </row>
    <row r="1677" spans="1:8">
      <c r="A1677">
        <v>1</v>
      </c>
      <c r="B1677" t="s">
        <v>145</v>
      </c>
      <c r="C1677">
        <v>2005</v>
      </c>
      <c r="D1677" t="s">
        <v>12</v>
      </c>
      <c r="E1677" t="s">
        <v>10</v>
      </c>
      <c r="F1677" t="s">
        <v>38</v>
      </c>
      <c r="G1677" t="s">
        <v>154</v>
      </c>
      <c r="H1677" s="220" t="s">
        <v>1637</v>
      </c>
    </row>
    <row r="1678" spans="1:8">
      <c r="A1678">
        <v>2</v>
      </c>
      <c r="B1678" t="s">
        <v>146</v>
      </c>
      <c r="C1678">
        <v>2005</v>
      </c>
      <c r="D1678" t="s">
        <v>12</v>
      </c>
      <c r="E1678" t="s">
        <v>10</v>
      </c>
      <c r="F1678" t="s">
        <v>38</v>
      </c>
      <c r="G1678" t="s">
        <v>155</v>
      </c>
      <c r="H1678" s="220" t="s">
        <v>1638</v>
      </c>
    </row>
    <row r="1679" spans="1:8">
      <c r="A1679">
        <v>3</v>
      </c>
      <c r="B1679" t="s">
        <v>147</v>
      </c>
      <c r="C1679">
        <v>2005</v>
      </c>
      <c r="D1679" t="s">
        <v>12</v>
      </c>
      <c r="E1679" t="s">
        <v>10</v>
      </c>
      <c r="F1679" t="s">
        <v>38</v>
      </c>
      <c r="G1679" t="s">
        <v>156</v>
      </c>
      <c r="H1679" s="220" t="s">
        <v>1219</v>
      </c>
    </row>
    <row r="1680" spans="1:8">
      <c r="A1680">
        <v>4</v>
      </c>
      <c r="B1680" t="s">
        <v>148</v>
      </c>
      <c r="C1680">
        <v>2005</v>
      </c>
      <c r="D1680" t="s">
        <v>12</v>
      </c>
      <c r="E1680" t="s">
        <v>10</v>
      </c>
      <c r="F1680" t="s">
        <v>38</v>
      </c>
      <c r="G1680" t="s">
        <v>157</v>
      </c>
      <c r="H1680" s="220" t="s">
        <v>1639</v>
      </c>
    </row>
    <row r="1681" spans="1:8">
      <c r="A1681">
        <v>0</v>
      </c>
      <c r="B1681" t="s">
        <v>34</v>
      </c>
      <c r="C1681">
        <v>2005</v>
      </c>
      <c r="D1681" t="s">
        <v>12</v>
      </c>
      <c r="E1681" t="s">
        <v>10</v>
      </c>
      <c r="F1681" t="s">
        <v>38</v>
      </c>
      <c r="G1681" t="s">
        <v>158</v>
      </c>
      <c r="H1681" s="220" t="s">
        <v>1640</v>
      </c>
    </row>
    <row r="1682" spans="1:8">
      <c r="H1682" s="220" t="s">
        <v>1641</v>
      </c>
    </row>
    <row r="1683" spans="1:8">
      <c r="H1683" s="220" t="s">
        <v>1641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Q145"/>
  <sheetViews>
    <sheetView topLeftCell="A50" zoomScale="160" zoomScaleNormal="160" workbookViewId="0">
      <selection activeCell="F132" sqref="F132"/>
    </sheetView>
  </sheetViews>
  <sheetFormatPr baseColWidth="10" defaultRowHeight="15"/>
  <cols>
    <col min="2" max="2" width="20.85546875" customWidth="1"/>
  </cols>
  <sheetData>
    <row r="1" spans="1:17" ht="30" customHeight="1">
      <c r="A1" s="243" t="s">
        <v>0</v>
      </c>
      <c r="B1" s="243"/>
      <c r="C1" s="243"/>
      <c r="D1" s="243"/>
      <c r="E1" s="243"/>
      <c r="F1" s="243"/>
      <c r="G1" s="243"/>
      <c r="H1" s="243"/>
      <c r="I1" s="1"/>
      <c r="M1" s="2"/>
    </row>
    <row r="2" spans="1:17" ht="30" customHeight="1">
      <c r="A2" s="244" t="s">
        <v>1</v>
      </c>
      <c r="B2" s="244"/>
      <c r="C2" s="244"/>
      <c r="D2" s="244"/>
      <c r="E2" s="244"/>
      <c r="F2" s="244"/>
      <c r="G2" s="244"/>
      <c r="H2" s="244"/>
      <c r="I2" s="3"/>
      <c r="M2" s="2"/>
    </row>
    <row r="3" spans="1:17">
      <c r="A3" s="143"/>
      <c r="B3" s="143"/>
      <c r="C3" s="143"/>
      <c r="D3" s="143"/>
      <c r="E3" s="143"/>
      <c r="F3" s="143"/>
      <c r="G3" s="143"/>
      <c r="H3" s="143"/>
      <c r="I3" s="3"/>
      <c r="M3" s="2"/>
    </row>
    <row r="4" spans="1:17" ht="8.25" customHeight="1">
      <c r="A4" s="227" t="s">
        <v>117</v>
      </c>
      <c r="B4" s="230" t="s">
        <v>2</v>
      </c>
      <c r="C4" s="233" t="s">
        <v>3</v>
      </c>
      <c r="D4" s="236" t="s">
        <v>4</v>
      </c>
      <c r="E4" s="236"/>
      <c r="F4" s="236" t="s">
        <v>5</v>
      </c>
      <c r="G4" s="236"/>
      <c r="H4" s="242" t="s">
        <v>6</v>
      </c>
      <c r="I4" s="242"/>
      <c r="J4" s="236" t="s">
        <v>7</v>
      </c>
      <c r="K4" s="236"/>
      <c r="L4" s="236" t="s">
        <v>8</v>
      </c>
      <c r="M4" s="236"/>
      <c r="N4" s="236" t="s">
        <v>9</v>
      </c>
      <c r="O4" s="236"/>
      <c r="P4" s="236" t="s">
        <v>10</v>
      </c>
      <c r="Q4" s="240"/>
    </row>
    <row r="5" spans="1:17" ht="30" customHeight="1">
      <c r="A5" s="228"/>
      <c r="B5" s="231"/>
      <c r="C5" s="234"/>
      <c r="D5" s="141" t="s">
        <v>11</v>
      </c>
      <c r="E5" s="142" t="s">
        <v>12</v>
      </c>
      <c r="F5" s="141" t="s">
        <v>11</v>
      </c>
      <c r="G5" s="142" t="s">
        <v>12</v>
      </c>
      <c r="H5" s="141" t="s">
        <v>11</v>
      </c>
      <c r="I5" s="142" t="s">
        <v>12</v>
      </c>
      <c r="J5" s="141" t="s">
        <v>11</v>
      </c>
      <c r="K5" s="142" t="s">
        <v>12</v>
      </c>
      <c r="L5" s="141" t="s">
        <v>11</v>
      </c>
      <c r="M5" s="142" t="s">
        <v>12</v>
      </c>
      <c r="N5" s="141" t="s">
        <v>11</v>
      </c>
      <c r="O5" s="142" t="s">
        <v>12</v>
      </c>
      <c r="P5" s="141" t="s">
        <v>11</v>
      </c>
      <c r="Q5" s="145" t="s">
        <v>12</v>
      </c>
    </row>
    <row r="6" spans="1:17" ht="8.25" customHeight="1">
      <c r="A6" s="229"/>
      <c r="B6" s="232"/>
      <c r="C6" s="235"/>
      <c r="D6" s="240" t="s">
        <v>13</v>
      </c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</row>
    <row r="7" spans="1:17" ht="8.25" customHeight="1">
      <c r="A7" s="9" t="s">
        <v>14</v>
      </c>
      <c r="B7" s="10" t="s">
        <v>15</v>
      </c>
      <c r="C7" s="10">
        <v>3</v>
      </c>
      <c r="D7" s="10">
        <v>4</v>
      </c>
      <c r="E7" s="10">
        <v>5</v>
      </c>
      <c r="F7" s="10">
        <v>6</v>
      </c>
      <c r="G7" s="10">
        <v>7</v>
      </c>
      <c r="H7" s="10">
        <v>8</v>
      </c>
      <c r="I7" s="10">
        <v>9</v>
      </c>
      <c r="J7" s="10">
        <v>10</v>
      </c>
      <c r="K7" s="10">
        <v>11</v>
      </c>
      <c r="L7" s="10">
        <v>12</v>
      </c>
      <c r="M7" s="10">
        <v>13</v>
      </c>
      <c r="N7" s="10">
        <v>14</v>
      </c>
      <c r="O7" s="10">
        <v>15</v>
      </c>
      <c r="P7" s="10">
        <v>16</v>
      </c>
      <c r="Q7" s="118">
        <v>17</v>
      </c>
    </row>
    <row r="8" spans="1:17" ht="8.25" customHeight="1">
      <c r="A8" s="2">
        <v>1</v>
      </c>
      <c r="B8" s="11" t="s">
        <v>30</v>
      </c>
      <c r="C8" s="138">
        <v>2020</v>
      </c>
      <c r="D8" s="130" t="e">
        <f>'2020_B4_Berechnung_final'!#REF!</f>
        <v>#REF!</v>
      </c>
      <c r="E8" s="130" t="e">
        <f>'2020_B4_Berechnung_final'!#REF!</f>
        <v>#REF!</v>
      </c>
      <c r="F8" s="130" t="e">
        <f>'2020_B4_Berechnung_final'!#REF!</f>
        <v>#REF!</v>
      </c>
      <c r="G8" s="130" t="e">
        <f>'2020_B4_Berechnung_final'!#REF!</f>
        <v>#REF!</v>
      </c>
      <c r="H8" s="130" t="e">
        <f>'2020_B4_Berechnung_final'!#REF!</f>
        <v>#REF!</v>
      </c>
      <c r="I8" s="130" t="e">
        <f>'2020_B4_Berechnung_final'!#REF!</f>
        <v>#REF!</v>
      </c>
      <c r="J8" s="130" t="e">
        <f>'2020_B4_Berechnung_final'!#REF!</f>
        <v>#REF!</v>
      </c>
      <c r="K8" s="130" t="e">
        <f>'2020_B4_Berechnung_final'!#REF!</f>
        <v>#REF!</v>
      </c>
      <c r="L8" s="130" t="e">
        <f>'2020_B4_Berechnung_final'!#REF!</f>
        <v>#REF!</v>
      </c>
      <c r="M8" s="130" t="e">
        <f>'2020_B4_Berechnung_final'!#REF!</f>
        <v>#REF!</v>
      </c>
      <c r="N8" s="130" t="e">
        <f>'2020_B4_Berechnung_final'!#REF!</f>
        <v>#REF!</v>
      </c>
      <c r="O8" s="130" t="e">
        <f>'2020_B4_Berechnung_final'!#REF!</f>
        <v>#REF!</v>
      </c>
      <c r="P8" s="130" t="e">
        <f>'2020_B4_Berechnung_final'!#REF!</f>
        <v>#REF!</v>
      </c>
      <c r="Q8" s="130" t="e">
        <f>'2020_B4_Berechnung_final'!#REF!</f>
        <v>#REF!</v>
      </c>
    </row>
    <row r="9" spans="1:17" ht="8.25" customHeight="1">
      <c r="A9" s="2">
        <v>2</v>
      </c>
      <c r="B9" s="11" t="s">
        <v>31</v>
      </c>
      <c r="C9" s="138">
        <v>2020</v>
      </c>
      <c r="D9" s="130" t="e">
        <f>'2020_B4_Berechnung_final'!#REF!</f>
        <v>#REF!</v>
      </c>
      <c r="E9" s="130" t="e">
        <f>'2020_B4_Berechnung_final'!#REF!</f>
        <v>#REF!</v>
      </c>
      <c r="F9" s="130" t="e">
        <f>'2020_B4_Berechnung_final'!#REF!</f>
        <v>#REF!</v>
      </c>
      <c r="G9" s="130" t="e">
        <f>'2020_B4_Berechnung_final'!#REF!</f>
        <v>#REF!</v>
      </c>
      <c r="H9" s="130" t="e">
        <f>'2020_B4_Berechnung_final'!#REF!</f>
        <v>#REF!</v>
      </c>
      <c r="I9" s="130" t="e">
        <f>'2020_B4_Berechnung_final'!#REF!</f>
        <v>#REF!</v>
      </c>
      <c r="J9" s="130" t="e">
        <f>'2020_B4_Berechnung_final'!#REF!</f>
        <v>#REF!</v>
      </c>
      <c r="K9" s="130" t="e">
        <f>'2020_B4_Berechnung_final'!#REF!</f>
        <v>#REF!</v>
      </c>
      <c r="L9" s="130" t="e">
        <f>'2020_B4_Berechnung_final'!#REF!</f>
        <v>#REF!</v>
      </c>
      <c r="M9" s="130" t="e">
        <f>'2020_B4_Berechnung_final'!#REF!</f>
        <v>#REF!</v>
      </c>
      <c r="N9" s="130" t="e">
        <f>'2020_B4_Berechnung_final'!#REF!</f>
        <v>#REF!</v>
      </c>
      <c r="O9" s="130" t="e">
        <f>'2020_B4_Berechnung_final'!#REF!</f>
        <v>#REF!</v>
      </c>
      <c r="P9" s="130" t="e">
        <f>'2020_B4_Berechnung_final'!#REF!</f>
        <v>#REF!</v>
      </c>
      <c r="Q9" s="130" t="e">
        <f>'2020_B4_Berechnung_final'!#REF!</f>
        <v>#REF!</v>
      </c>
    </row>
    <row r="10" spans="1:17" ht="8.25" customHeight="1">
      <c r="A10" s="2">
        <v>3</v>
      </c>
      <c r="B10" s="11" t="s">
        <v>32</v>
      </c>
      <c r="C10" s="138">
        <v>2020</v>
      </c>
      <c r="D10" s="130" t="e">
        <f>'2020_B4_Berechnung_final'!#REF!</f>
        <v>#REF!</v>
      </c>
      <c r="E10" s="130" t="e">
        <f>'2020_B4_Berechnung_final'!#REF!</f>
        <v>#REF!</v>
      </c>
      <c r="F10" s="130" t="e">
        <f>'2020_B4_Berechnung_final'!#REF!</f>
        <v>#REF!</v>
      </c>
      <c r="G10" s="130" t="e">
        <f>'2020_B4_Berechnung_final'!#REF!</f>
        <v>#REF!</v>
      </c>
      <c r="H10" s="130" t="e">
        <f>'2020_B4_Berechnung_final'!#REF!</f>
        <v>#REF!</v>
      </c>
      <c r="I10" s="130" t="e">
        <f>'2020_B4_Berechnung_final'!#REF!</f>
        <v>#REF!</v>
      </c>
      <c r="J10" s="130" t="e">
        <f>'2020_B4_Berechnung_final'!#REF!</f>
        <v>#REF!</v>
      </c>
      <c r="K10" s="130" t="e">
        <f>'2020_B4_Berechnung_final'!#REF!</f>
        <v>#REF!</v>
      </c>
      <c r="L10" s="130" t="e">
        <f>'2020_B4_Berechnung_final'!#REF!</f>
        <v>#REF!</v>
      </c>
      <c r="M10" s="130" t="e">
        <f>'2020_B4_Berechnung_final'!#REF!</f>
        <v>#REF!</v>
      </c>
      <c r="N10" s="130" t="e">
        <f>'2020_B4_Berechnung_final'!#REF!</f>
        <v>#REF!</v>
      </c>
      <c r="O10" s="130" t="e">
        <f>'2020_B4_Berechnung_final'!#REF!</f>
        <v>#REF!</v>
      </c>
      <c r="P10" s="130" t="e">
        <f>'2020_B4_Berechnung_final'!#REF!</f>
        <v>#REF!</v>
      </c>
      <c r="Q10" s="130" t="e">
        <f>'2020_B4_Berechnung_final'!#REF!</f>
        <v>#REF!</v>
      </c>
    </row>
    <row r="11" spans="1:17" ht="8.25" customHeight="1">
      <c r="A11" s="2">
        <v>4</v>
      </c>
      <c r="B11" s="11" t="s">
        <v>33</v>
      </c>
      <c r="C11" s="138">
        <v>2020</v>
      </c>
      <c r="D11" s="130" t="e">
        <f>'2020_B4_Berechnung_final'!#REF!</f>
        <v>#REF!</v>
      </c>
      <c r="E11" s="130" t="e">
        <f>'2020_B4_Berechnung_final'!#REF!</f>
        <v>#REF!</v>
      </c>
      <c r="F11" s="130" t="e">
        <f>'2020_B4_Berechnung_final'!#REF!</f>
        <v>#REF!</v>
      </c>
      <c r="G11" s="130" t="e">
        <f>'2020_B4_Berechnung_final'!#REF!</f>
        <v>#REF!</v>
      </c>
      <c r="H11" s="130" t="e">
        <f>'2020_B4_Berechnung_final'!#REF!</f>
        <v>#REF!</v>
      </c>
      <c r="I11" s="130" t="e">
        <f>'2020_B4_Berechnung_final'!#REF!</f>
        <v>#REF!</v>
      </c>
      <c r="J11" s="130" t="e">
        <f>'2020_B4_Berechnung_final'!#REF!</f>
        <v>#REF!</v>
      </c>
      <c r="K11" s="130" t="e">
        <f>'2020_B4_Berechnung_final'!#REF!</f>
        <v>#REF!</v>
      </c>
      <c r="L11" s="130" t="e">
        <f>'2020_B4_Berechnung_final'!#REF!</f>
        <v>#REF!</v>
      </c>
      <c r="M11" s="130" t="e">
        <f>'2020_B4_Berechnung_final'!#REF!</f>
        <v>#REF!</v>
      </c>
      <c r="N11" s="130" t="e">
        <f>'2020_B4_Berechnung_final'!#REF!</f>
        <v>#REF!</v>
      </c>
      <c r="O11" s="130" t="e">
        <f>'2020_B4_Berechnung_final'!#REF!</f>
        <v>#REF!</v>
      </c>
      <c r="P11" s="130" t="e">
        <f>'2020_B4_Berechnung_final'!#REF!</f>
        <v>#REF!</v>
      </c>
      <c r="Q11" s="130" t="e">
        <f>'2020_B4_Berechnung_final'!#REF!</f>
        <v>#REF!</v>
      </c>
    </row>
    <row r="12" spans="1:17" ht="16.149999999999999" customHeight="1">
      <c r="A12" s="117">
        <v>0</v>
      </c>
      <c r="B12" s="14" t="s">
        <v>34</v>
      </c>
      <c r="C12" s="138">
        <v>2020</v>
      </c>
      <c r="D12" s="130" t="e">
        <f>'2020_B4_Berechnung_final'!#REF!</f>
        <v>#REF!</v>
      </c>
      <c r="E12" s="130" t="e">
        <f>'2020_B4_Berechnung_final'!#REF!</f>
        <v>#REF!</v>
      </c>
      <c r="F12" s="130" t="e">
        <f>'2020_B4_Berechnung_final'!#REF!</f>
        <v>#REF!</v>
      </c>
      <c r="G12" s="130" t="e">
        <f>'2020_B4_Berechnung_final'!#REF!</f>
        <v>#REF!</v>
      </c>
      <c r="H12" s="130" t="e">
        <f>'2020_B4_Berechnung_final'!#REF!</f>
        <v>#REF!</v>
      </c>
      <c r="I12" s="130" t="e">
        <f>'2020_B4_Berechnung_final'!#REF!</f>
        <v>#REF!</v>
      </c>
      <c r="J12" s="130" t="e">
        <f>'2020_B4_Berechnung_final'!#REF!</f>
        <v>#REF!</v>
      </c>
      <c r="K12" s="130" t="e">
        <f>'2020_B4_Berechnung_final'!#REF!</f>
        <v>#REF!</v>
      </c>
      <c r="L12" s="130" t="e">
        <f>'2020_B4_Berechnung_final'!#REF!</f>
        <v>#REF!</v>
      </c>
      <c r="M12" s="130" t="e">
        <f>'2020_B4_Berechnung_final'!#REF!</f>
        <v>#REF!</v>
      </c>
      <c r="N12" s="130" t="e">
        <f>'2020_B4_Berechnung_final'!#REF!</f>
        <v>#REF!</v>
      </c>
      <c r="O12" s="130" t="e">
        <f>'2020_B4_Berechnung_final'!#REF!</f>
        <v>#REF!</v>
      </c>
      <c r="P12" s="130" t="e">
        <f>'2020_B4_Berechnung_final'!#REF!</f>
        <v>#REF!</v>
      </c>
      <c r="Q12" s="130" t="e">
        <f>'2020_B4_Berechnung_final'!#REF!</f>
        <v>#REF!</v>
      </c>
    </row>
    <row r="13" spans="1:17" ht="8.25" customHeight="1">
      <c r="A13" s="2">
        <v>1</v>
      </c>
      <c r="B13" s="11" t="s">
        <v>30</v>
      </c>
      <c r="C13" s="157">
        <v>2019</v>
      </c>
      <c r="D13" s="158">
        <v>70.48092868988391</v>
      </c>
      <c r="E13" s="158">
        <v>29.519071310116086</v>
      </c>
      <c r="F13" s="158">
        <v>87.795765877957649</v>
      </c>
      <c r="G13" s="158">
        <v>12.204234122042342</v>
      </c>
      <c r="H13" s="158">
        <v>87.970388648982109</v>
      </c>
      <c r="I13" s="158">
        <v>12.029611351017889</v>
      </c>
      <c r="J13" s="158">
        <v>95.226686325101355</v>
      </c>
      <c r="K13" s="158">
        <v>4.7733136748986364</v>
      </c>
      <c r="L13" s="158">
        <v>93.983739837398375</v>
      </c>
      <c r="M13" s="158">
        <v>6.0162601626016263</v>
      </c>
      <c r="N13" s="158">
        <v>89.743589743589752</v>
      </c>
      <c r="O13" s="158">
        <v>10.256410256410255</v>
      </c>
      <c r="P13" s="158">
        <v>90.731344293349565</v>
      </c>
      <c r="Q13" s="158">
        <v>9.2686557066504296</v>
      </c>
    </row>
    <row r="14" spans="1:17" ht="8.25" customHeight="1">
      <c r="A14" s="2">
        <v>2</v>
      </c>
      <c r="B14" s="11" t="s">
        <v>31</v>
      </c>
      <c r="C14" s="157">
        <v>2019</v>
      </c>
      <c r="D14" s="158">
        <v>64.579901153212518</v>
      </c>
      <c r="E14" s="158">
        <v>35.420098846787482</v>
      </c>
      <c r="F14" s="158">
        <v>84.34567901234567</v>
      </c>
      <c r="G14" s="158">
        <v>15.654320987654321</v>
      </c>
      <c r="H14" s="158">
        <v>80.182002022244689</v>
      </c>
      <c r="I14" s="158">
        <v>19.817997977755308</v>
      </c>
      <c r="J14" s="158">
        <v>95.180070403466019</v>
      </c>
      <c r="K14" s="158">
        <v>4.8199295965339832</v>
      </c>
      <c r="L14" s="158">
        <v>89.176369124622681</v>
      </c>
      <c r="M14" s="158">
        <v>10.823630875377317</v>
      </c>
      <c r="N14" s="158">
        <v>93.430656934306569</v>
      </c>
      <c r="O14" s="158">
        <v>6.5693430656934311</v>
      </c>
      <c r="P14" s="158">
        <v>88.945827232796475</v>
      </c>
      <c r="Q14" s="158">
        <v>11.054172767203514</v>
      </c>
    </row>
    <row r="15" spans="1:17" ht="8.25" customHeight="1">
      <c r="A15" s="2">
        <v>3</v>
      </c>
      <c r="B15" s="11" t="s">
        <v>32</v>
      </c>
      <c r="C15" s="157">
        <v>2019</v>
      </c>
      <c r="D15" s="158">
        <v>80.476900149031295</v>
      </c>
      <c r="E15" s="158">
        <v>19.523099850968702</v>
      </c>
      <c r="F15" s="158">
        <v>91.038696537678206</v>
      </c>
      <c r="G15" s="158">
        <v>8.9613034623217924</v>
      </c>
      <c r="H15" s="158">
        <v>89.574507275741382</v>
      </c>
      <c r="I15" s="158">
        <v>10.425492724258611</v>
      </c>
      <c r="J15" s="158">
        <v>97.168857431749245</v>
      </c>
      <c r="K15" s="158">
        <v>2.8311425682507583</v>
      </c>
      <c r="L15" s="158">
        <v>93.85474860335195</v>
      </c>
      <c r="M15" s="158">
        <v>6.1452513966480442</v>
      </c>
      <c r="N15" s="158">
        <v>91.807909604519779</v>
      </c>
      <c r="O15" s="158">
        <v>8.1920903954802249</v>
      </c>
      <c r="P15" s="158">
        <v>92.85591422510177</v>
      </c>
      <c r="Q15" s="158">
        <v>7.1440857748982287</v>
      </c>
    </row>
    <row r="16" spans="1:17" ht="8.25" customHeight="1">
      <c r="A16" s="2">
        <v>4</v>
      </c>
      <c r="B16" s="11" t="s">
        <v>33</v>
      </c>
      <c r="C16" s="157">
        <v>2019</v>
      </c>
      <c r="D16" s="158">
        <v>74.647887323943664</v>
      </c>
      <c r="E16" s="158">
        <v>25.352112676056336</v>
      </c>
      <c r="F16" s="158">
        <v>91.069330199764991</v>
      </c>
      <c r="G16" s="158">
        <v>8.9306698002350178</v>
      </c>
      <c r="H16" s="158">
        <v>96.549622043404042</v>
      </c>
      <c r="I16" s="158">
        <v>3.4503779565959523</v>
      </c>
      <c r="J16" s="158">
        <v>96.549622043404042</v>
      </c>
      <c r="K16" s="158">
        <v>3.4503779565959523</v>
      </c>
      <c r="L16" s="158">
        <v>93.781634128705718</v>
      </c>
      <c r="M16" s="158">
        <v>6.2183658712942878</v>
      </c>
      <c r="N16" s="158">
        <v>92.620624408703875</v>
      </c>
      <c r="O16" s="158">
        <v>7.379375591296121</v>
      </c>
      <c r="P16" s="158">
        <v>90.678195082410156</v>
      </c>
      <c r="Q16" s="158">
        <v>9.3218049175898408</v>
      </c>
    </row>
    <row r="17" spans="1:17" ht="16.149999999999999" customHeight="1">
      <c r="A17" s="117">
        <v>0</v>
      </c>
      <c r="B17" s="14" t="s">
        <v>34</v>
      </c>
      <c r="C17" s="157">
        <v>2019</v>
      </c>
      <c r="D17" s="158">
        <v>72.651933701657455</v>
      </c>
      <c r="E17" s="158">
        <v>27.348066298342545</v>
      </c>
      <c r="F17" s="158">
        <v>88.522458628841605</v>
      </c>
      <c r="G17" s="158">
        <v>11.477541371158392</v>
      </c>
      <c r="H17" s="158">
        <v>86.036012110267166</v>
      </c>
      <c r="I17" s="158">
        <v>13.963987889732831</v>
      </c>
      <c r="J17" s="158">
        <v>96.044233338281131</v>
      </c>
      <c r="K17" s="158">
        <v>3.955766661718866</v>
      </c>
      <c r="L17" s="158">
        <v>92.092947322594682</v>
      </c>
      <c r="M17" s="158">
        <v>7.9070526774053116</v>
      </c>
      <c r="N17" s="158">
        <v>92.169179229480733</v>
      </c>
      <c r="O17" s="158">
        <v>7.8308207705192627</v>
      </c>
      <c r="P17" s="158">
        <v>90.719800557117239</v>
      </c>
      <c r="Q17" s="158">
        <v>9.2801994428827648</v>
      </c>
    </row>
    <row r="18" spans="1:17" ht="8.25" customHeight="1">
      <c r="A18" s="2">
        <v>1</v>
      </c>
      <c r="B18" s="11" t="s">
        <v>30</v>
      </c>
      <c r="C18" s="157">
        <v>2018</v>
      </c>
      <c r="D18" s="158">
        <v>73.902633679169995</v>
      </c>
      <c r="E18" s="158">
        <v>26.097366320830005</v>
      </c>
      <c r="F18" s="158">
        <v>90.558103975535161</v>
      </c>
      <c r="G18" s="158">
        <v>9.4418960244648318</v>
      </c>
      <c r="H18" s="158">
        <v>87.625</v>
      </c>
      <c r="I18" s="158">
        <v>12.375</v>
      </c>
      <c r="J18" s="158">
        <v>96</v>
      </c>
      <c r="K18" s="158">
        <v>4</v>
      </c>
      <c r="L18" s="158">
        <v>92.991563919532766</v>
      </c>
      <c r="M18" s="158">
        <v>7.008436080467229</v>
      </c>
      <c r="N18" s="158">
        <v>88.603988603988597</v>
      </c>
      <c r="O18" s="158">
        <v>11.396011396011396</v>
      </c>
      <c r="P18" s="158">
        <v>91.40630341149928</v>
      </c>
      <c r="Q18" s="158">
        <v>8.5936965885007179</v>
      </c>
    </row>
    <row r="19" spans="1:17" ht="8.25" customHeight="1">
      <c r="A19" s="2">
        <v>2</v>
      </c>
      <c r="B19" s="11" t="s">
        <v>31</v>
      </c>
      <c r="C19" s="157">
        <v>2018</v>
      </c>
      <c r="D19" s="158">
        <v>69.328063241106719</v>
      </c>
      <c r="E19" s="158">
        <v>30.671936758893281</v>
      </c>
      <c r="F19" s="158">
        <v>86.256200758681061</v>
      </c>
      <c r="G19" s="158">
        <v>13.743799241318937</v>
      </c>
      <c r="H19" s="158">
        <v>85.719310587407676</v>
      </c>
      <c r="I19" s="158">
        <v>14.280689412592332</v>
      </c>
      <c r="J19" s="158">
        <v>95.817720294935327</v>
      </c>
      <c r="K19" s="158">
        <v>4.1822797050646683</v>
      </c>
      <c r="L19" s="158">
        <v>89.930555555555557</v>
      </c>
      <c r="M19" s="158">
        <v>10.069444444444445</v>
      </c>
      <c r="N19" s="158">
        <v>92.05175600739372</v>
      </c>
      <c r="O19" s="158">
        <v>7.9482439926062849</v>
      </c>
      <c r="P19" s="158">
        <v>89.893076588127158</v>
      </c>
      <c r="Q19" s="158">
        <v>10.106923411872854</v>
      </c>
    </row>
    <row r="20" spans="1:17" ht="8.25" customHeight="1">
      <c r="A20" s="2">
        <v>3</v>
      </c>
      <c r="B20" s="11" t="s">
        <v>32</v>
      </c>
      <c r="C20" s="157">
        <v>2018</v>
      </c>
      <c r="D20" s="158">
        <v>83.549351944167498</v>
      </c>
      <c r="E20" s="158">
        <v>16.450648055832502</v>
      </c>
      <c r="F20" s="158">
        <v>93.519751442521084</v>
      </c>
      <c r="G20" s="158">
        <v>6.4802485574789168</v>
      </c>
      <c r="H20" s="158">
        <v>90.149738408803898</v>
      </c>
      <c r="I20" s="158">
        <v>9.8502615911961033</v>
      </c>
      <c r="J20" s="158">
        <v>97.3</v>
      </c>
      <c r="K20" s="158">
        <v>2.7</v>
      </c>
      <c r="L20" s="158">
        <v>93.895781637717121</v>
      </c>
      <c r="M20" s="158">
        <v>6.1042183622828778</v>
      </c>
      <c r="N20" s="158">
        <v>90.965732087227408</v>
      </c>
      <c r="O20" s="158">
        <v>9.0342679127725845</v>
      </c>
      <c r="P20" s="158">
        <v>93.327342170298806</v>
      </c>
      <c r="Q20" s="158">
        <v>6.6726578297011914</v>
      </c>
    </row>
    <row r="21" spans="1:17" ht="8.25" customHeight="1">
      <c r="A21" s="2">
        <v>4</v>
      </c>
      <c r="B21" s="11" t="s">
        <v>33</v>
      </c>
      <c r="C21" s="157">
        <v>2018</v>
      </c>
      <c r="D21" s="158">
        <v>79.099678456591633</v>
      </c>
      <c r="E21" s="158">
        <v>20.90032154340836</v>
      </c>
      <c r="F21" s="158">
        <v>91.854636591478695</v>
      </c>
      <c r="G21" s="158">
        <v>8.1453634085213036</v>
      </c>
      <c r="H21" s="158">
        <v>87.821906833009038</v>
      </c>
      <c r="I21" s="158">
        <v>12.178093166990958</v>
      </c>
      <c r="J21" s="158">
        <v>96.823159492572913</v>
      </c>
      <c r="K21" s="158">
        <v>3.1768405074270847</v>
      </c>
      <c r="L21" s="158">
        <v>94.44629198536748</v>
      </c>
      <c r="M21" s="158">
        <v>5.5537080146325239</v>
      </c>
      <c r="N21" s="158">
        <v>91.062801932367151</v>
      </c>
      <c r="O21" s="158">
        <v>8.9371980676328491</v>
      </c>
      <c r="P21" s="158">
        <v>91.775299525280687</v>
      </c>
      <c r="Q21" s="158">
        <v>8.2247004747193131</v>
      </c>
    </row>
    <row r="22" spans="1:17" s="116" customFormat="1" ht="16.149999999999999" customHeight="1">
      <c r="A22" s="117">
        <v>0</v>
      </c>
      <c r="B22" s="14" t="s">
        <v>34</v>
      </c>
      <c r="C22" s="159">
        <v>2018</v>
      </c>
      <c r="D22" s="160">
        <v>76.26083530338849</v>
      </c>
      <c r="E22" s="160">
        <v>23.739164696611507</v>
      </c>
      <c r="F22" s="160">
        <v>90.215877437325915</v>
      </c>
      <c r="G22" s="160">
        <v>9.784122562674094</v>
      </c>
      <c r="H22" s="160">
        <v>88.174971959621857</v>
      </c>
      <c r="I22" s="160">
        <v>11.825028040378145</v>
      </c>
      <c r="J22" s="160">
        <v>96.497156239545006</v>
      </c>
      <c r="K22" s="160">
        <v>3.5028437604550016</v>
      </c>
      <c r="L22" s="160">
        <v>92.425949774629743</v>
      </c>
      <c r="M22" s="160">
        <v>7.5740502253702502</v>
      </c>
      <c r="N22" s="160">
        <v>90.886820186183243</v>
      </c>
      <c r="O22" s="160">
        <v>9.1131798138167568</v>
      </c>
      <c r="P22" s="160">
        <v>91.566007885286666</v>
      </c>
      <c r="Q22" s="160">
        <v>8.4339921147133428</v>
      </c>
    </row>
    <row r="23" spans="1:17" ht="8.25" customHeight="1">
      <c r="A23" s="2">
        <v>1</v>
      </c>
      <c r="B23" s="11" t="s">
        <v>30</v>
      </c>
      <c r="C23" s="157">
        <v>2017</v>
      </c>
      <c r="D23" s="158">
        <v>77.272727272727266</v>
      </c>
      <c r="E23" s="158">
        <v>22.727272727272727</v>
      </c>
      <c r="F23" s="158">
        <v>90.634110787172006</v>
      </c>
      <c r="G23" s="158">
        <v>9.3658892128279874</v>
      </c>
      <c r="H23" s="158">
        <v>90.058479532163744</v>
      </c>
      <c r="I23" s="158">
        <v>9.9415204678362574</v>
      </c>
      <c r="J23" s="158">
        <v>95.570517363571938</v>
      </c>
      <c r="K23" s="158">
        <v>4.4294826364280651</v>
      </c>
      <c r="L23" s="158">
        <v>94.806483625537538</v>
      </c>
      <c r="M23" s="158">
        <v>5.1935163744624546</v>
      </c>
      <c r="N23" s="158">
        <v>89.075630252100851</v>
      </c>
      <c r="O23" s="158">
        <v>10.92436974789916</v>
      </c>
      <c r="P23" s="158">
        <v>92.095289658906339</v>
      </c>
      <c r="Q23" s="158">
        <v>7.904710341093665</v>
      </c>
    </row>
    <row r="24" spans="1:17" ht="8.25" customHeight="1">
      <c r="A24" s="2">
        <v>2</v>
      </c>
      <c r="B24" s="11" t="s">
        <v>31</v>
      </c>
      <c r="C24" s="157">
        <v>2017</v>
      </c>
      <c r="D24" s="158">
        <v>72.385620915032675</v>
      </c>
      <c r="E24" s="158">
        <v>27.614379084967322</v>
      </c>
      <c r="F24" s="158">
        <v>88.401775804661483</v>
      </c>
      <c r="G24" s="158">
        <v>11.598224195338513</v>
      </c>
      <c r="H24" s="158">
        <v>85.622154779969648</v>
      </c>
      <c r="I24" s="158">
        <v>14.37784522003035</v>
      </c>
      <c r="J24" s="158">
        <v>95.411297121522338</v>
      </c>
      <c r="K24" s="158">
        <v>4.5887028784776591</v>
      </c>
      <c r="L24" s="158">
        <v>91.013071895424829</v>
      </c>
      <c r="M24" s="158">
        <v>8.9869281045751634</v>
      </c>
      <c r="N24" s="158">
        <v>91.187739463601531</v>
      </c>
      <c r="O24" s="158">
        <v>8.8122605363984672</v>
      </c>
      <c r="P24" s="158">
        <v>90.536139600447186</v>
      </c>
      <c r="Q24" s="158">
        <v>9.4638603995528126</v>
      </c>
    </row>
    <row r="25" spans="1:17" ht="8.25" customHeight="1">
      <c r="A25" s="2">
        <v>3</v>
      </c>
      <c r="B25" s="11" t="s">
        <v>32</v>
      </c>
      <c r="C25" s="157">
        <v>2017</v>
      </c>
      <c r="D25" s="158">
        <v>83.748753738783648</v>
      </c>
      <c r="E25" s="158">
        <v>16.251246261216352</v>
      </c>
      <c r="F25" s="158">
        <v>94.031141868512108</v>
      </c>
      <c r="G25" s="158">
        <v>5.968858131487889</v>
      </c>
      <c r="H25" s="158">
        <v>91.663599558336401</v>
      </c>
      <c r="I25" s="158">
        <v>8.3364004416635993</v>
      </c>
      <c r="J25" s="158">
        <v>97.563098346388159</v>
      </c>
      <c r="K25" s="158">
        <v>2.4369016536118364</v>
      </c>
      <c r="L25" s="158">
        <v>95.328083989501309</v>
      </c>
      <c r="M25" s="158">
        <v>4.6719160104986877</v>
      </c>
      <c r="N25" s="158">
        <v>93.527508090614887</v>
      </c>
      <c r="O25" s="158">
        <v>6.4724919093851128</v>
      </c>
      <c r="P25" s="158">
        <v>94.226353810830489</v>
      </c>
      <c r="Q25" s="158">
        <v>5.7736461891695132</v>
      </c>
    </row>
    <row r="26" spans="1:17" ht="8.25" customHeight="1">
      <c r="A26" s="2">
        <v>4</v>
      </c>
      <c r="B26" s="11" t="s">
        <v>33</v>
      </c>
      <c r="C26" s="157">
        <v>2017</v>
      </c>
      <c r="D26" s="158">
        <v>83.601669648181272</v>
      </c>
      <c r="E26" s="158">
        <v>16.398330351818725</v>
      </c>
      <c r="F26" s="158">
        <v>92.655217965653904</v>
      </c>
      <c r="G26" s="158">
        <v>7.3447820343461032</v>
      </c>
      <c r="H26" s="158">
        <v>88.612269207861829</v>
      </c>
      <c r="I26" s="158">
        <v>11.387730792138177</v>
      </c>
      <c r="J26" s="158">
        <v>97.005464480874309</v>
      </c>
      <c r="K26" s="158">
        <v>2.9945355191256828</v>
      </c>
      <c r="L26" s="158">
        <v>95.584599081596608</v>
      </c>
      <c r="M26" s="158">
        <v>4.4154009184033907</v>
      </c>
      <c r="N26" s="158">
        <v>92.167381974248926</v>
      </c>
      <c r="O26" s="158">
        <v>7.8326180257510734</v>
      </c>
      <c r="P26" s="158">
        <v>92.599925289503176</v>
      </c>
      <c r="Q26" s="158">
        <v>7.400074710496825</v>
      </c>
    </row>
    <row r="27" spans="1:17" s="116" customFormat="1" ht="16.5" customHeight="1">
      <c r="A27" s="117">
        <v>0</v>
      </c>
      <c r="B27" s="14" t="s">
        <v>34</v>
      </c>
      <c r="C27" s="159">
        <v>2017</v>
      </c>
      <c r="D27" s="160">
        <v>79.411764705882348</v>
      </c>
      <c r="E27" s="160">
        <v>20.588235294117645</v>
      </c>
      <c r="F27" s="160">
        <v>91.233427079148257</v>
      </c>
      <c r="G27" s="160">
        <v>8.7665729208517487</v>
      </c>
      <c r="H27" s="160">
        <v>89.226960110041261</v>
      </c>
      <c r="I27" s="160">
        <v>10.773039889958733</v>
      </c>
      <c r="J27" s="160">
        <v>96.422260011336732</v>
      </c>
      <c r="K27" s="160">
        <v>3.5777399886632657</v>
      </c>
      <c r="L27" s="160">
        <v>93.722494395084283</v>
      </c>
      <c r="M27" s="160">
        <v>6.277505604915719</v>
      </c>
      <c r="N27" s="160">
        <v>91.603773584905653</v>
      </c>
      <c r="O27" s="160">
        <v>8.3962264150943398</v>
      </c>
      <c r="P27" s="160">
        <v>92.338951685505648</v>
      </c>
      <c r="Q27" s="160">
        <v>7.661048314494348</v>
      </c>
    </row>
    <row r="28" spans="1:17" ht="8.25" customHeight="1">
      <c r="A28" s="2">
        <v>1</v>
      </c>
      <c r="B28" s="11" t="s">
        <v>30</v>
      </c>
      <c r="C28" s="87">
        <v>2016</v>
      </c>
      <c r="D28" s="23">
        <v>81.403508771929822</v>
      </c>
      <c r="E28" s="23">
        <v>18.596491228070175</v>
      </c>
      <c r="F28" s="23">
        <v>90.344337948171813</v>
      </c>
      <c r="G28" s="23">
        <v>9.6556620518281857</v>
      </c>
      <c r="H28" s="23">
        <v>91.682661548304552</v>
      </c>
      <c r="I28" s="23">
        <v>8.3173384516954574</v>
      </c>
      <c r="J28" s="23">
        <v>94.2</v>
      </c>
      <c r="K28" s="23">
        <v>2.8</v>
      </c>
      <c r="L28" s="23">
        <v>96.05602653888684</v>
      </c>
      <c r="M28" s="23">
        <v>3.9439734611131585</v>
      </c>
      <c r="N28" s="23">
        <v>90.196078431372555</v>
      </c>
      <c r="O28" s="23">
        <v>9.8039215686274517</v>
      </c>
      <c r="P28" s="23">
        <v>92.946483493951206</v>
      </c>
      <c r="Q28" s="23">
        <v>7.0535165060488003</v>
      </c>
    </row>
    <row r="29" spans="1:17" ht="8.25" customHeight="1">
      <c r="A29" s="2">
        <v>2</v>
      </c>
      <c r="B29" s="11" t="s">
        <v>31</v>
      </c>
      <c r="C29" s="87">
        <v>2016</v>
      </c>
      <c r="D29" s="23">
        <v>78.844765342960287</v>
      </c>
      <c r="E29" s="23">
        <v>21.155234657039713</v>
      </c>
      <c r="F29" s="23">
        <v>89.614395886889469</v>
      </c>
      <c r="G29" s="23">
        <v>10.38560411311054</v>
      </c>
      <c r="H29" s="23">
        <v>89.390142021720962</v>
      </c>
      <c r="I29" s="23">
        <v>10.609857978279031</v>
      </c>
      <c r="J29" s="23">
        <v>96.418426577744839</v>
      </c>
      <c r="K29" s="23">
        <v>3.5815734222551563</v>
      </c>
      <c r="L29" s="23">
        <v>92.442173211403983</v>
      </c>
      <c r="M29" s="23">
        <v>7.55782678859602</v>
      </c>
      <c r="N29" s="23">
        <v>92.199687987519496</v>
      </c>
      <c r="O29" s="23">
        <v>7.8003120124804992</v>
      </c>
      <c r="P29" s="23">
        <v>92.188819875776389</v>
      </c>
      <c r="Q29" s="23">
        <v>7.8111801242236032</v>
      </c>
    </row>
    <row r="30" spans="1:17" ht="8.25" customHeight="1">
      <c r="A30" s="2">
        <v>3</v>
      </c>
      <c r="B30" s="11" t="s">
        <v>32</v>
      </c>
      <c r="C30" s="87">
        <v>2016</v>
      </c>
      <c r="D30" s="23">
        <v>84.343434343434339</v>
      </c>
      <c r="E30" s="23">
        <v>15.656565656565657</v>
      </c>
      <c r="F30" s="23">
        <v>94.15384615384616</v>
      </c>
      <c r="G30" s="23">
        <v>5.8461538461538458</v>
      </c>
      <c r="H30" s="23">
        <v>93.190512624330523</v>
      </c>
      <c r="I30" s="23">
        <v>6.8094873756694723</v>
      </c>
      <c r="J30" s="23">
        <v>97.746090156393734</v>
      </c>
      <c r="K30" s="23">
        <v>2.2539098436062557</v>
      </c>
      <c r="L30" s="23">
        <v>97.280966767371595</v>
      </c>
      <c r="M30" s="23">
        <v>2.7190332326283988</v>
      </c>
      <c r="N30" s="23">
        <v>92.957746478873233</v>
      </c>
      <c r="O30" s="23">
        <v>7.042253521126761</v>
      </c>
      <c r="P30" s="23">
        <v>94.808525188055611</v>
      </c>
      <c r="Q30" s="23">
        <v>5.1914748119443814</v>
      </c>
    </row>
    <row r="31" spans="1:17" ht="8.25" customHeight="1">
      <c r="A31" s="2">
        <v>4</v>
      </c>
      <c r="B31" s="11" t="s">
        <v>33</v>
      </c>
      <c r="C31" s="87">
        <v>2016</v>
      </c>
      <c r="D31" s="23">
        <v>84.323271665043819</v>
      </c>
      <c r="E31" s="23">
        <v>15.676728334956183</v>
      </c>
      <c r="F31" s="23">
        <v>93.7020316027088</v>
      </c>
      <c r="G31" s="23">
        <v>6.2979683972911964</v>
      </c>
      <c r="H31" s="23">
        <v>90.786240786240796</v>
      </c>
      <c r="I31" s="23">
        <v>9.2137592137592144</v>
      </c>
      <c r="J31" s="23">
        <v>97.445091887046161</v>
      </c>
      <c r="K31" s="23">
        <v>2.5549081129538322</v>
      </c>
      <c r="L31" s="23">
        <v>95.620437956204384</v>
      </c>
      <c r="M31" s="23">
        <v>4.3795620437956204</v>
      </c>
      <c r="N31" s="23">
        <v>93.1640625</v>
      </c>
      <c r="O31" s="23">
        <v>6.8359375</v>
      </c>
      <c r="P31" s="23">
        <v>93.596601039414281</v>
      </c>
      <c r="Q31" s="23">
        <v>6.4033989605857142</v>
      </c>
    </row>
    <row r="32" spans="1:17" s="116" customFormat="1" ht="16.149999999999999" customHeight="1">
      <c r="A32" s="117">
        <v>0</v>
      </c>
      <c r="B32" s="14" t="s">
        <v>34</v>
      </c>
      <c r="C32" s="114">
        <v>2016</v>
      </c>
      <c r="D32" s="115">
        <v>82.385988103106413</v>
      </c>
      <c r="E32" s="115">
        <v>17.61401189689359</v>
      </c>
      <c r="F32" s="115">
        <v>91.941471937104168</v>
      </c>
      <c r="G32" s="115">
        <v>8.058528062895828</v>
      </c>
      <c r="H32" s="115">
        <v>91.429955787051057</v>
      </c>
      <c r="I32" s="115">
        <v>8.5700442129489431</v>
      </c>
      <c r="J32" s="115">
        <v>96.980990153172868</v>
      </c>
      <c r="K32" s="115">
        <v>3.0190098468271334</v>
      </c>
      <c r="L32" s="115">
        <v>94.88258957807092</v>
      </c>
      <c r="M32" s="115">
        <v>5.1174104219290859</v>
      </c>
      <c r="N32" s="115">
        <v>92.380560131795718</v>
      </c>
      <c r="O32" s="115">
        <v>7.6194398682042834</v>
      </c>
      <c r="P32" s="115">
        <v>93.385876819424141</v>
      </c>
      <c r="Q32" s="115">
        <v>6.6141231805758594</v>
      </c>
    </row>
    <row r="33" spans="1:17" ht="8.25" customHeight="1">
      <c r="A33" s="2">
        <v>1</v>
      </c>
      <c r="B33" s="11" t="s">
        <v>30</v>
      </c>
      <c r="C33" s="87">
        <v>2015</v>
      </c>
      <c r="D33" s="23">
        <v>84.492350486787203</v>
      </c>
      <c r="E33" s="23">
        <v>15.507649513212796</v>
      </c>
      <c r="F33" s="23">
        <v>93.181076672104396</v>
      </c>
      <c r="G33" s="23">
        <v>6.8189233278955959</v>
      </c>
      <c r="H33" s="23">
        <v>94.859813084112147</v>
      </c>
      <c r="I33" s="23">
        <v>5.1401869158878499</v>
      </c>
      <c r="J33" s="23">
        <v>93.9</v>
      </c>
      <c r="K33" s="23">
        <v>2.6</v>
      </c>
      <c r="L33" s="23">
        <v>95.644149132521221</v>
      </c>
      <c r="M33" s="23">
        <v>4.3558508674787744</v>
      </c>
      <c r="N33" s="23">
        <v>89.555125725338485</v>
      </c>
      <c r="O33" s="23">
        <v>10.444874274661508</v>
      </c>
      <c r="P33" s="23">
        <v>94.408050246505027</v>
      </c>
      <c r="Q33" s="23">
        <v>5.5919497534949691</v>
      </c>
    </row>
    <row r="34" spans="1:17" ht="8.25" customHeight="1">
      <c r="A34" s="2">
        <v>2</v>
      </c>
      <c r="B34" s="11" t="s">
        <v>31</v>
      </c>
      <c r="C34" s="87">
        <v>2015</v>
      </c>
      <c r="D34" s="23">
        <v>79.856584093872229</v>
      </c>
      <c r="E34" s="23">
        <v>20.143415906127771</v>
      </c>
      <c r="F34" s="23">
        <v>91.330596474281577</v>
      </c>
      <c r="G34" s="23">
        <v>8.6694035257184243</v>
      </c>
      <c r="H34" s="23">
        <v>90.763390974272468</v>
      </c>
      <c r="I34" s="23">
        <v>9.2366090257275406</v>
      </c>
      <c r="J34" s="23">
        <v>96.465081906638744</v>
      </c>
      <c r="K34" s="23">
        <v>3.5349180933612514</v>
      </c>
      <c r="L34" s="23">
        <v>91.67620137299771</v>
      </c>
      <c r="M34" s="23">
        <v>8.3237986270022883</v>
      </c>
      <c r="N34" s="23">
        <v>90.701219512195124</v>
      </c>
      <c r="O34" s="23">
        <v>9.2987804878048781</v>
      </c>
      <c r="P34" s="23">
        <v>92.489048580006894</v>
      </c>
      <c r="Q34" s="23">
        <v>7.5109514199931091</v>
      </c>
    </row>
    <row r="35" spans="1:17" ht="8.25" customHeight="1">
      <c r="A35" s="2">
        <v>3</v>
      </c>
      <c r="B35" s="11" t="s">
        <v>32</v>
      </c>
      <c r="C35" s="87">
        <v>2015</v>
      </c>
      <c r="D35" s="23">
        <v>85.397553516819571</v>
      </c>
      <c r="E35" s="23">
        <v>14.602446483180428</v>
      </c>
      <c r="F35" s="23">
        <v>96.382252559726965</v>
      </c>
      <c r="G35" s="23">
        <v>3.6177474402730376</v>
      </c>
      <c r="H35" s="23">
        <v>94.876395534290268</v>
      </c>
      <c r="I35" s="23">
        <v>5.1236044657097288</v>
      </c>
      <c r="J35" s="23">
        <v>98.547469302186286</v>
      </c>
      <c r="K35" s="23">
        <v>1.4525306978137167</v>
      </c>
      <c r="L35" s="23">
        <v>97.085492227979273</v>
      </c>
      <c r="M35" s="23">
        <v>2.9145077720207255</v>
      </c>
      <c r="N35" s="23">
        <v>92.688172043010752</v>
      </c>
      <c r="O35" s="23">
        <v>7.3118279569892479</v>
      </c>
      <c r="P35" s="23">
        <v>95.931107519090347</v>
      </c>
      <c r="Q35" s="23">
        <v>4.0688924809096489</v>
      </c>
    </row>
    <row r="36" spans="1:17" ht="8.25" customHeight="1">
      <c r="A36" s="2">
        <v>4</v>
      </c>
      <c r="B36" s="11" t="s">
        <v>33</v>
      </c>
      <c r="C36" s="87">
        <v>2015</v>
      </c>
      <c r="D36" s="23">
        <v>86.017121891561359</v>
      </c>
      <c r="E36" s="23">
        <v>13.982878108438646</v>
      </c>
      <c r="F36" s="23">
        <v>95.14910536779324</v>
      </c>
      <c r="G36" s="23">
        <v>4.8508946322067592</v>
      </c>
      <c r="H36" s="23">
        <v>93.10500225326723</v>
      </c>
      <c r="I36" s="23">
        <v>6.8949977467327628</v>
      </c>
      <c r="J36" s="23">
        <v>97.836458448907138</v>
      </c>
      <c r="K36" s="23">
        <v>2.1635415510928659</v>
      </c>
      <c r="L36" s="23">
        <v>97.319513938527521</v>
      </c>
      <c r="M36" s="23">
        <v>2.6804860614724801</v>
      </c>
      <c r="N36" s="23">
        <v>93.224699828473405</v>
      </c>
      <c r="O36" s="23">
        <v>6.7753001715265864</v>
      </c>
      <c r="P36" s="23">
        <v>94.85562562230335</v>
      </c>
      <c r="Q36" s="23">
        <v>5.1443743776966482</v>
      </c>
    </row>
    <row r="37" spans="1:17" s="116" customFormat="1" ht="16.5" customHeight="1">
      <c r="A37" s="117">
        <v>0</v>
      </c>
      <c r="B37" s="14" t="s">
        <v>34</v>
      </c>
      <c r="C37" s="114">
        <v>2015</v>
      </c>
      <c r="D37" s="115">
        <v>84.1675330461904</v>
      </c>
      <c r="E37" s="115">
        <v>15.832466953809595</v>
      </c>
      <c r="F37" s="115">
        <v>93.946986680733218</v>
      </c>
      <c r="G37" s="115">
        <v>6.053013319266781</v>
      </c>
      <c r="H37" s="115">
        <v>93.48861150431091</v>
      </c>
      <c r="I37" s="115">
        <v>6.5113884956891006</v>
      </c>
      <c r="J37" s="115">
        <v>97.529772031303168</v>
      </c>
      <c r="K37" s="115">
        <v>2.4702279686968356</v>
      </c>
      <c r="L37" s="115">
        <v>94.984355740968994</v>
      </c>
      <c r="M37" s="115">
        <v>5.0156442590310037</v>
      </c>
      <c r="N37" s="115">
        <v>91.868758915834519</v>
      </c>
      <c r="O37" s="115">
        <v>8.1312410841654774</v>
      </c>
      <c r="P37" s="115">
        <v>94.413958244992642</v>
      </c>
      <c r="Q37" s="115">
        <v>5.5860417550073578</v>
      </c>
    </row>
    <row r="38" spans="1:17" ht="8.25" customHeight="1">
      <c r="A38" s="2">
        <v>1</v>
      </c>
      <c r="B38" s="16" t="s">
        <v>30</v>
      </c>
      <c r="C38" s="17">
        <v>2014</v>
      </c>
      <c r="D38" s="18">
        <v>86.500283607487233</v>
      </c>
      <c r="E38" s="18">
        <v>13.499716392512761</v>
      </c>
      <c r="F38" s="18">
        <v>93.81606765327696</v>
      </c>
      <c r="G38" s="18">
        <v>6.1839323467230445</v>
      </c>
      <c r="H38" s="18">
        <v>96.561604584527217</v>
      </c>
      <c r="I38" s="18">
        <v>3.4383954154727796</v>
      </c>
      <c r="J38" s="18">
        <v>97.195308516063221</v>
      </c>
      <c r="K38" s="18">
        <v>2.8046914839367667</v>
      </c>
      <c r="L38" s="18">
        <v>96.278118609406945</v>
      </c>
      <c r="M38" s="18">
        <v>3.7218813905930475</v>
      </c>
      <c r="N38" s="18">
        <v>91.840607210626189</v>
      </c>
      <c r="O38" s="18">
        <v>8.159392789373813</v>
      </c>
      <c r="P38" s="18">
        <v>94.776360929509991</v>
      </c>
      <c r="Q38" s="18">
        <v>5.2236390704899991</v>
      </c>
    </row>
    <row r="39" spans="1:17" ht="8.25" customHeight="1">
      <c r="A39" s="2">
        <v>2</v>
      </c>
      <c r="B39" s="11" t="s">
        <v>31</v>
      </c>
      <c r="C39" s="12">
        <v>2014</v>
      </c>
      <c r="D39" s="19">
        <v>84.094407388404306</v>
      </c>
      <c r="E39" s="19">
        <v>15.90559261159569</v>
      </c>
      <c r="F39" s="19">
        <v>91.752360965372503</v>
      </c>
      <c r="G39" s="19">
        <v>8.2476390346274915</v>
      </c>
      <c r="H39" s="19">
        <v>92.284139620330691</v>
      </c>
      <c r="I39" s="19">
        <v>7.7158603796693201</v>
      </c>
      <c r="J39" s="19">
        <v>96.6276923076923</v>
      </c>
      <c r="K39" s="19">
        <v>3.3723076923076927</v>
      </c>
      <c r="L39" s="19">
        <v>92.628571428571433</v>
      </c>
      <c r="M39" s="19">
        <v>7.3714285714285719</v>
      </c>
      <c r="N39" s="19">
        <v>86.526576019777508</v>
      </c>
      <c r="O39" s="19">
        <v>13.473423980222496</v>
      </c>
      <c r="P39" s="19">
        <v>92.92623069149704</v>
      </c>
      <c r="Q39" s="19">
        <v>7.0737693085029596</v>
      </c>
    </row>
    <row r="40" spans="1:17" ht="8.25" customHeight="1">
      <c r="A40" s="2">
        <v>3</v>
      </c>
      <c r="B40" s="11" t="s">
        <v>32</v>
      </c>
      <c r="C40" s="12">
        <v>2014</v>
      </c>
      <c r="D40" s="19">
        <v>89.040451552210726</v>
      </c>
      <c r="E40" s="19">
        <v>10.959548447789276</v>
      </c>
      <c r="F40" s="19">
        <v>96.707070707070713</v>
      </c>
      <c r="G40" s="19">
        <v>3.2929292929292928</v>
      </c>
      <c r="H40" s="19">
        <v>96.141479099678463</v>
      </c>
      <c r="I40" s="19">
        <v>3.8585209003215439</v>
      </c>
      <c r="J40" s="19">
        <v>98.278905560458966</v>
      </c>
      <c r="K40" s="19">
        <v>1.7210944395410415</v>
      </c>
      <c r="L40" s="19">
        <v>96.958855098389989</v>
      </c>
      <c r="M40" s="19">
        <v>3.0411449016100178</v>
      </c>
      <c r="N40" s="19">
        <v>90.121317157712298</v>
      </c>
      <c r="O40" s="19">
        <v>9.8786828422876951</v>
      </c>
      <c r="P40" s="19">
        <v>96.123989506932915</v>
      </c>
      <c r="Q40" s="19">
        <v>3.8760104930670809</v>
      </c>
    </row>
    <row r="41" spans="1:17" ht="8.25" customHeight="1">
      <c r="A41" s="2">
        <v>4</v>
      </c>
      <c r="B41" s="11" t="s">
        <v>33</v>
      </c>
      <c r="C41" s="12">
        <v>2014</v>
      </c>
      <c r="D41" s="19">
        <v>87.415799142682175</v>
      </c>
      <c r="E41" s="19">
        <v>12.584200857317821</v>
      </c>
      <c r="F41" s="19">
        <v>94.854126960856178</v>
      </c>
      <c r="G41" s="19">
        <v>5.1458730391438205</v>
      </c>
      <c r="H41" s="19">
        <v>94.944341372912803</v>
      </c>
      <c r="I41" s="19">
        <v>5.0556586270871984</v>
      </c>
      <c r="J41" s="19">
        <v>97.60907888937858</v>
      </c>
      <c r="K41" s="19">
        <v>2.3909211106214192</v>
      </c>
      <c r="L41" s="19">
        <v>97.566291318561568</v>
      </c>
      <c r="M41" s="19">
        <v>2.4337086814384308</v>
      </c>
      <c r="N41" s="19">
        <v>91.816816816816811</v>
      </c>
      <c r="O41" s="19">
        <v>8.1831831831831838</v>
      </c>
      <c r="P41" s="19">
        <v>95.018142235123378</v>
      </c>
      <c r="Q41" s="19">
        <v>4.9818577648766329</v>
      </c>
    </row>
    <row r="42" spans="1:17" s="116" customFormat="1" ht="16.5" customHeight="1">
      <c r="A42" s="117">
        <v>0</v>
      </c>
      <c r="B42" s="14" t="s">
        <v>34</v>
      </c>
      <c r="C42" s="15">
        <v>2014</v>
      </c>
      <c r="D42" s="20">
        <v>86.906854130052722</v>
      </c>
      <c r="E42" s="20">
        <v>13.093145869947275</v>
      </c>
      <c r="F42" s="20">
        <v>94.384842519685037</v>
      </c>
      <c r="G42" s="20">
        <v>5.6151574803149602</v>
      </c>
      <c r="H42" s="20">
        <v>95.050485052464865</v>
      </c>
      <c r="I42" s="20">
        <v>4.9495149475351417</v>
      </c>
      <c r="J42" s="20">
        <v>97.41315842313098</v>
      </c>
      <c r="K42" s="20">
        <v>2.5868415768690181</v>
      </c>
      <c r="L42" s="20">
        <v>95.415647921760396</v>
      </c>
      <c r="M42" s="20">
        <v>4.5843520782396094</v>
      </c>
      <c r="N42" s="20">
        <v>90.200308166409854</v>
      </c>
      <c r="O42" s="20">
        <v>9.7996918335901384</v>
      </c>
      <c r="P42" s="20">
        <v>94.696188870969706</v>
      </c>
      <c r="Q42" s="20">
        <v>5.3038111290303025</v>
      </c>
    </row>
    <row r="43" spans="1:17" ht="8.25" customHeight="1">
      <c r="A43" s="2">
        <v>1</v>
      </c>
      <c r="B43" s="11" t="s">
        <v>30</v>
      </c>
      <c r="C43" s="15">
        <v>2013</v>
      </c>
      <c r="D43" s="99">
        <v>87.665406427221171</v>
      </c>
      <c r="E43" s="99">
        <v>12.334593572778827</v>
      </c>
      <c r="F43" s="99">
        <v>92.291535391724437</v>
      </c>
      <c r="G43" s="99">
        <v>7.7084646082755723</v>
      </c>
      <c r="H43" s="99" t="s">
        <v>35</v>
      </c>
      <c r="I43" s="99" t="s">
        <v>35</v>
      </c>
      <c r="J43" s="99">
        <v>97.336365112879648</v>
      </c>
      <c r="K43" s="99">
        <v>2.663634887120351</v>
      </c>
      <c r="L43" s="99">
        <v>96.851633215269587</v>
      </c>
      <c r="M43" s="99">
        <v>3.1483667847304213</v>
      </c>
      <c r="N43" s="99">
        <v>88.047138047138048</v>
      </c>
      <c r="O43" s="99">
        <v>11.952861952861953</v>
      </c>
      <c r="P43" s="99">
        <v>94.167852062588906</v>
      </c>
      <c r="Q43" s="99">
        <v>5.8321479374110954</v>
      </c>
    </row>
    <row r="44" spans="1:17" ht="8.25" customHeight="1">
      <c r="A44" s="2">
        <v>2</v>
      </c>
      <c r="B44" s="11" t="s">
        <v>31</v>
      </c>
      <c r="C44" s="15">
        <v>2013</v>
      </c>
      <c r="D44" s="99">
        <v>84.060650887573956</v>
      </c>
      <c r="E44" s="99">
        <v>15.939349112426035</v>
      </c>
      <c r="F44" s="99">
        <v>91.621275232297336</v>
      </c>
      <c r="G44" s="99">
        <v>8.3787247677026588</v>
      </c>
      <c r="H44" s="99" t="s">
        <v>35</v>
      </c>
      <c r="I44" s="99" t="s">
        <v>35</v>
      </c>
      <c r="J44" s="99">
        <v>95.770179767359892</v>
      </c>
      <c r="K44" s="99">
        <v>4.2298202326401126</v>
      </c>
      <c r="L44" s="99">
        <v>92.695805221472568</v>
      </c>
      <c r="M44" s="99">
        <v>7.3041947785274273</v>
      </c>
      <c r="N44" s="99">
        <v>86.771844660194176</v>
      </c>
      <c r="O44" s="99">
        <v>13.228155339805825</v>
      </c>
      <c r="P44" s="99">
        <v>92.291378515444904</v>
      </c>
      <c r="Q44" s="99">
        <v>7.7086214845550947</v>
      </c>
    </row>
    <row r="45" spans="1:17" ht="8.25" customHeight="1">
      <c r="A45" s="2">
        <v>3</v>
      </c>
      <c r="B45" s="11" t="s">
        <v>32</v>
      </c>
      <c r="C45" s="15">
        <v>2013</v>
      </c>
      <c r="D45" s="99">
        <v>91.190914671577644</v>
      </c>
      <c r="E45" s="99">
        <v>8.8090853284223449</v>
      </c>
      <c r="F45" s="99">
        <v>96.96693569382974</v>
      </c>
      <c r="G45" s="99">
        <v>3.0330643061702682</v>
      </c>
      <c r="H45" s="99" t="s">
        <v>35</v>
      </c>
      <c r="I45" s="99" t="s">
        <v>35</v>
      </c>
      <c r="J45" s="99">
        <v>98.66909498458952</v>
      </c>
      <c r="K45" s="99">
        <v>1.3309050154104791</v>
      </c>
      <c r="L45" s="99">
        <v>98.303030303030297</v>
      </c>
      <c r="M45" s="99">
        <v>1.6969696969696972</v>
      </c>
      <c r="N45" s="99">
        <v>91.256830601092901</v>
      </c>
      <c r="O45" s="99">
        <v>8.7431693989071047</v>
      </c>
      <c r="P45" s="99">
        <v>96.519638083487564</v>
      </c>
      <c r="Q45" s="99">
        <v>3.4803619165124409</v>
      </c>
    </row>
    <row r="46" spans="1:17" ht="8.25" customHeight="1">
      <c r="A46" s="2">
        <v>4</v>
      </c>
      <c r="B46" s="11" t="s">
        <v>33</v>
      </c>
      <c r="C46" s="15">
        <v>2013</v>
      </c>
      <c r="D46" s="99">
        <v>90.400782013685244</v>
      </c>
      <c r="E46" s="99">
        <v>9.5992179863147609</v>
      </c>
      <c r="F46" s="99">
        <v>95.600074892342263</v>
      </c>
      <c r="G46" s="99">
        <v>4.3999251076577419</v>
      </c>
      <c r="H46" s="99" t="s">
        <v>35</v>
      </c>
      <c r="I46" s="99" t="s">
        <v>35</v>
      </c>
      <c r="J46" s="99">
        <v>97.672680687520014</v>
      </c>
      <c r="K46" s="99">
        <v>2.3273193124799829</v>
      </c>
      <c r="L46" s="99">
        <v>98.19678557428459</v>
      </c>
      <c r="M46" s="99">
        <v>1.8032144257154059</v>
      </c>
      <c r="N46" s="99">
        <v>91.390728476821195</v>
      </c>
      <c r="O46" s="99">
        <v>8.6092715231788084</v>
      </c>
      <c r="P46" s="99">
        <v>95.384192061635829</v>
      </c>
      <c r="Q46" s="99">
        <v>4.6158079383641741</v>
      </c>
    </row>
    <row r="47" spans="1:17" s="116" customFormat="1" ht="16.5" customHeight="1">
      <c r="A47" s="117">
        <v>0</v>
      </c>
      <c r="B47" s="14" t="s">
        <v>34</v>
      </c>
      <c r="C47" s="15">
        <v>2013</v>
      </c>
      <c r="D47" s="99">
        <v>88.857727582809062</v>
      </c>
      <c r="E47" s="99">
        <v>11.142272417190934</v>
      </c>
      <c r="F47" s="99">
        <v>94.575543977934416</v>
      </c>
      <c r="G47" s="99">
        <v>5.4244560220655842</v>
      </c>
      <c r="H47" s="99" t="s">
        <v>35</v>
      </c>
      <c r="I47" s="99" t="s">
        <v>35</v>
      </c>
      <c r="J47" s="99">
        <v>97.314984120873831</v>
      </c>
      <c r="K47" s="99">
        <v>2.6850158791261669</v>
      </c>
      <c r="L47" s="99">
        <v>95.828865537207804</v>
      </c>
      <c r="M47" s="99">
        <v>4.1711344627921942</v>
      </c>
      <c r="N47" s="99">
        <v>89.627179795550219</v>
      </c>
      <c r="O47" s="99">
        <v>10.372820204449789</v>
      </c>
      <c r="P47" s="99">
        <v>94.635642762053592</v>
      </c>
      <c r="Q47" s="99">
        <v>5.3643572379464031</v>
      </c>
    </row>
    <row r="48" spans="1:17" ht="8.25" customHeight="1">
      <c r="A48" s="2">
        <v>1</v>
      </c>
      <c r="B48" s="11" t="s">
        <v>30</v>
      </c>
      <c r="C48" s="12">
        <v>2012</v>
      </c>
      <c r="D48" s="19">
        <v>87.432600580671917</v>
      </c>
      <c r="E48" s="19">
        <v>12.56739941932808</v>
      </c>
      <c r="F48" s="19">
        <v>92.855767379164263</v>
      </c>
      <c r="G48" s="19">
        <v>7.1442326208357398</v>
      </c>
      <c r="H48" s="21" t="s">
        <v>35</v>
      </c>
      <c r="I48" s="21" t="s">
        <v>35</v>
      </c>
      <c r="J48" s="19">
        <v>97.165030091859364</v>
      </c>
      <c r="K48" s="19">
        <v>2.8349699081406396</v>
      </c>
      <c r="L48" s="19">
        <v>94.611457742484404</v>
      </c>
      <c r="M48" s="19">
        <v>5.3885422575155983</v>
      </c>
      <c r="N48" s="19">
        <v>87.220447284345042</v>
      </c>
      <c r="O48" s="19">
        <v>12.779552715654951</v>
      </c>
      <c r="P48" s="19">
        <v>93.695958790703386</v>
      </c>
      <c r="Q48" s="19">
        <v>6.3040412092966207</v>
      </c>
    </row>
    <row r="49" spans="1:17" ht="8.25" customHeight="1">
      <c r="A49" s="2">
        <v>2</v>
      </c>
      <c r="B49" s="11" t="s">
        <v>31</v>
      </c>
      <c r="C49" s="12">
        <v>2012</v>
      </c>
      <c r="D49" s="19">
        <v>83.954840916866232</v>
      </c>
      <c r="E49" s="19">
        <v>16.045159083133768</v>
      </c>
      <c r="F49" s="19">
        <v>91.018922852983991</v>
      </c>
      <c r="G49" s="19">
        <v>8.9810771470160109</v>
      </c>
      <c r="H49" s="21" t="s">
        <v>35</v>
      </c>
      <c r="I49" s="21" t="s">
        <v>35</v>
      </c>
      <c r="J49" s="19">
        <v>95.382870107770842</v>
      </c>
      <c r="K49" s="19">
        <v>4.6171298922291548</v>
      </c>
      <c r="L49" s="19">
        <v>91.507135398538111</v>
      </c>
      <c r="M49" s="19">
        <v>8.4928646014618874</v>
      </c>
      <c r="N49" s="19">
        <v>83.146067415730343</v>
      </c>
      <c r="O49" s="19">
        <v>16.853932584269664</v>
      </c>
      <c r="P49" s="19">
        <v>91.531611754229743</v>
      </c>
      <c r="Q49" s="19">
        <v>8.4683882457702584</v>
      </c>
    </row>
    <row r="50" spans="1:17" ht="8.25" customHeight="1">
      <c r="A50" s="2">
        <v>3</v>
      </c>
      <c r="B50" s="11" t="s">
        <v>32</v>
      </c>
      <c r="C50" s="12">
        <v>2012</v>
      </c>
      <c r="D50" s="19">
        <v>90.391983495431774</v>
      </c>
      <c r="E50" s="19">
        <v>9.6080165045682282</v>
      </c>
      <c r="F50" s="19">
        <v>96.638874413757165</v>
      </c>
      <c r="G50" s="19">
        <v>3.3611255862428351</v>
      </c>
      <c r="H50" s="21" t="s">
        <v>35</v>
      </c>
      <c r="I50" s="21" t="s">
        <v>35</v>
      </c>
      <c r="J50" s="19">
        <v>98.426996504436687</v>
      </c>
      <c r="K50" s="19">
        <v>1.5730034955633236</v>
      </c>
      <c r="L50" s="19">
        <v>98.720292504570381</v>
      </c>
      <c r="M50" s="19">
        <v>1.2797074954296161</v>
      </c>
      <c r="N50" s="19">
        <v>89.905362776025228</v>
      </c>
      <c r="O50" s="19">
        <v>10.094637223974763</v>
      </c>
      <c r="P50" s="19">
        <v>96.078829744006498</v>
      </c>
      <c r="Q50" s="19">
        <v>3.9211702559934989</v>
      </c>
    </row>
    <row r="51" spans="1:17" ht="8.25" customHeight="1">
      <c r="A51" s="2">
        <v>4</v>
      </c>
      <c r="B51" s="11" t="s">
        <v>33</v>
      </c>
      <c r="C51" s="12">
        <v>2012</v>
      </c>
      <c r="D51" s="19">
        <v>90.007163323782237</v>
      </c>
      <c r="E51" s="19">
        <v>9.9928366762177649</v>
      </c>
      <c r="F51" s="19">
        <v>95.456582131015324</v>
      </c>
      <c r="G51" s="19">
        <v>4.543417868984676</v>
      </c>
      <c r="H51" s="21" t="s">
        <v>35</v>
      </c>
      <c r="I51" s="21" t="s">
        <v>35</v>
      </c>
      <c r="J51" s="19">
        <v>97.879487717824901</v>
      </c>
      <c r="K51" s="19">
        <v>2.1205122821750999</v>
      </c>
      <c r="L51" s="19">
        <v>98.545861297539147</v>
      </c>
      <c r="M51" s="19">
        <v>1.4541387024608501</v>
      </c>
      <c r="N51" s="19">
        <v>89.977728285077944</v>
      </c>
      <c r="O51" s="19">
        <v>10.022271714922049</v>
      </c>
      <c r="P51" s="19">
        <v>95.143517888722613</v>
      </c>
      <c r="Q51" s="19">
        <v>4.8564821112773773</v>
      </c>
    </row>
    <row r="52" spans="1:17" s="116" customFormat="1" ht="16.5" customHeight="1">
      <c r="A52" s="117">
        <v>0</v>
      </c>
      <c r="B52" s="14" t="s">
        <v>34</v>
      </c>
      <c r="C52" s="15">
        <v>2012</v>
      </c>
      <c r="D52" s="20">
        <v>88.428481587589971</v>
      </c>
      <c r="E52" s="20">
        <v>11.571518412410034</v>
      </c>
      <c r="F52" s="20">
        <v>94.326493624182788</v>
      </c>
      <c r="G52" s="20">
        <v>5.6735063758172046</v>
      </c>
      <c r="H52" s="22" t="s">
        <v>35</v>
      </c>
      <c r="I52" s="22" t="s">
        <v>35</v>
      </c>
      <c r="J52" s="20">
        <v>97.180070420340883</v>
      </c>
      <c r="K52" s="20">
        <v>2.8199295796591155</v>
      </c>
      <c r="L52" s="20">
        <v>94.663606369244008</v>
      </c>
      <c r="M52" s="20">
        <v>5.3363936307559889</v>
      </c>
      <c r="N52" s="20">
        <v>87.618516452872285</v>
      </c>
      <c r="O52" s="20">
        <v>12.38148354712772</v>
      </c>
      <c r="P52" s="20">
        <v>94.161099033678965</v>
      </c>
      <c r="Q52" s="20">
        <v>5.8389009663210372</v>
      </c>
    </row>
    <row r="53" spans="1:17" ht="8.25" customHeight="1">
      <c r="A53" s="2">
        <v>1</v>
      </c>
      <c r="B53" s="11" t="s">
        <v>30</v>
      </c>
      <c r="C53" s="15">
        <v>2011</v>
      </c>
      <c r="D53" s="20">
        <v>87.360308285163782</v>
      </c>
      <c r="E53" s="20">
        <v>12.639691714836223</v>
      </c>
      <c r="F53" s="20" t="e">
        <f>'2020_B4_Berechnung_final'!#REF!</f>
        <v>#REF!</v>
      </c>
      <c r="G53" s="20" t="e">
        <f>'2020_B4_Berechnung_final'!#REF!</f>
        <v>#REF!</v>
      </c>
      <c r="H53" s="22" t="s">
        <v>35</v>
      </c>
      <c r="I53" s="22" t="s">
        <v>35</v>
      </c>
      <c r="J53" s="20" t="s">
        <v>35</v>
      </c>
      <c r="K53" s="20" t="s">
        <v>35</v>
      </c>
      <c r="L53" s="20">
        <v>94.8072383949646</v>
      </c>
      <c r="M53" s="20">
        <v>5.1927616050354048</v>
      </c>
      <c r="N53" s="20">
        <v>83.2</v>
      </c>
      <c r="O53" s="20">
        <v>16.8</v>
      </c>
      <c r="P53" s="20">
        <v>93.619019665394774</v>
      </c>
      <c r="Q53" s="20">
        <v>6.3809803346052245</v>
      </c>
    </row>
    <row r="54" spans="1:17" ht="8.25" customHeight="1">
      <c r="A54" s="2">
        <v>2</v>
      </c>
      <c r="B54" s="11" t="s">
        <v>31</v>
      </c>
      <c r="C54" s="15">
        <v>2011</v>
      </c>
      <c r="D54" s="20">
        <v>84.688847812692543</v>
      </c>
      <c r="E54" s="20">
        <v>15.311152187307457</v>
      </c>
      <c r="F54" s="20" t="e">
        <f>'2020_B4_Berechnung_final'!#REF!</f>
        <v>#REF!</v>
      </c>
      <c r="G54" s="20" t="e">
        <f>'2020_B4_Berechnung_final'!#REF!</f>
        <v>#REF!</v>
      </c>
      <c r="H54" s="22" t="s">
        <v>35</v>
      </c>
      <c r="I54" s="22" t="s">
        <v>35</v>
      </c>
      <c r="J54" s="20">
        <v>95.173766205469008</v>
      </c>
      <c r="K54" s="20">
        <v>4.8262337945309941</v>
      </c>
      <c r="L54" s="20">
        <v>89.962018448182306</v>
      </c>
      <c r="M54" s="20">
        <v>10.037981551817689</v>
      </c>
      <c r="N54" s="20">
        <v>81.226053639846739</v>
      </c>
      <c r="O54" s="20">
        <v>18.773946360153257</v>
      </c>
      <c r="P54" s="20">
        <v>91.406959152798791</v>
      </c>
      <c r="Q54" s="20">
        <v>8.5930408472012108</v>
      </c>
    </row>
    <row r="55" spans="1:17" ht="8.25" customHeight="1">
      <c r="A55" s="2">
        <v>3</v>
      </c>
      <c r="B55" s="11" t="s">
        <v>32</v>
      </c>
      <c r="C55" s="15">
        <v>2011</v>
      </c>
      <c r="D55" s="20">
        <v>90.789818945158757</v>
      </c>
      <c r="E55" s="20">
        <v>9.2101810548412484</v>
      </c>
      <c r="F55" s="20" t="e">
        <f>'2020_B4_Berechnung_final'!#REF!</f>
        <v>#REF!</v>
      </c>
      <c r="G55" s="20" t="e">
        <f>'2020_B4_Berechnung_final'!#REF!</f>
        <v>#REF!</v>
      </c>
      <c r="H55" s="22" t="s">
        <v>35</v>
      </c>
      <c r="I55" s="22" t="s">
        <v>35</v>
      </c>
      <c r="J55" s="20">
        <v>98.211972013474991</v>
      </c>
      <c r="K55" s="20">
        <v>1.7880279865250066</v>
      </c>
      <c r="L55" s="20">
        <v>99.739583333333343</v>
      </c>
      <c r="M55" s="20">
        <v>0.26041666666666663</v>
      </c>
      <c r="N55" s="20">
        <v>87.878787878787875</v>
      </c>
      <c r="O55" s="20">
        <v>12.121212121212121</v>
      </c>
      <c r="P55" s="20">
        <v>95.844781875150645</v>
      </c>
      <c r="Q55" s="20">
        <v>4.1552181248493616</v>
      </c>
    </row>
    <row r="56" spans="1:17" ht="8.25" customHeight="1">
      <c r="A56" s="2">
        <v>4</v>
      </c>
      <c r="B56" s="11" t="s">
        <v>33</v>
      </c>
      <c r="C56" s="15">
        <v>2011</v>
      </c>
      <c r="D56" s="20">
        <v>89.929357647445372</v>
      </c>
      <c r="E56" s="20">
        <v>10.070642352554625</v>
      </c>
      <c r="F56" s="20" t="e">
        <f>'2020_B4_Berechnung_final'!#REF!</f>
        <v>#REF!</v>
      </c>
      <c r="G56" s="20" t="e">
        <f>'2020_B4_Berechnung_final'!#REF!</f>
        <v>#REF!</v>
      </c>
      <c r="H56" s="22" t="s">
        <v>35</v>
      </c>
      <c r="I56" s="22" t="s">
        <v>35</v>
      </c>
      <c r="J56" s="20">
        <v>97.569513902780557</v>
      </c>
      <c r="K56" s="20">
        <v>2.4304860972194442</v>
      </c>
      <c r="L56" s="20">
        <v>98.557692307692307</v>
      </c>
      <c r="M56" s="20">
        <v>1.4423076923076923</v>
      </c>
      <c r="N56" s="20">
        <v>89.026162790697668</v>
      </c>
      <c r="O56" s="20">
        <v>10.973837209302326</v>
      </c>
      <c r="P56" s="20">
        <v>94.909410272257105</v>
      </c>
      <c r="Q56" s="20">
        <v>5.0905897277429011</v>
      </c>
    </row>
    <row r="57" spans="1:17" s="116" customFormat="1" ht="16.5" customHeight="1">
      <c r="A57" s="117">
        <v>0</v>
      </c>
      <c r="B57" s="14" t="s">
        <v>34</v>
      </c>
      <c r="C57" s="15">
        <v>2011</v>
      </c>
      <c r="D57" s="20">
        <v>88.63333121545206</v>
      </c>
      <c r="E57" s="20">
        <v>11.366668784547938</v>
      </c>
      <c r="F57" s="20" t="e">
        <f>'2020_B4_Berechnung_final'!#REF!</f>
        <v>#REF!</v>
      </c>
      <c r="G57" s="20" t="e">
        <f>'2020_B4_Berechnung_final'!#REF!</f>
        <v>#REF!</v>
      </c>
      <c r="H57" s="22" t="s">
        <v>35</v>
      </c>
      <c r="I57" s="22" t="s">
        <v>35</v>
      </c>
      <c r="J57" s="20">
        <v>96.981435680443397</v>
      </c>
      <c r="K57" s="20">
        <v>3.0185643195566016</v>
      </c>
      <c r="L57" s="20">
        <v>94.489301574485268</v>
      </c>
      <c r="M57" s="20">
        <v>5.5106984255147351</v>
      </c>
      <c r="N57" s="20">
        <v>85.660781166399147</v>
      </c>
      <c r="O57" s="20">
        <v>14.339218833600857</v>
      </c>
      <c r="P57" s="20">
        <v>93.997250649152292</v>
      </c>
      <c r="Q57" s="20">
        <v>6.0027493508477168</v>
      </c>
    </row>
    <row r="58" spans="1:17" ht="8.25" customHeight="1">
      <c r="A58" s="2">
        <v>1</v>
      </c>
      <c r="B58" s="11" t="s">
        <v>30</v>
      </c>
      <c r="C58" s="12">
        <v>2010</v>
      </c>
      <c r="D58" s="23">
        <v>86.239534037131421</v>
      </c>
      <c r="E58" s="23">
        <v>13.760465962868585</v>
      </c>
      <c r="F58" s="23">
        <v>93.136738634368967</v>
      </c>
      <c r="G58" s="23">
        <v>6.8632613656310335</v>
      </c>
      <c r="H58" s="21" t="s">
        <v>35</v>
      </c>
      <c r="I58" s="21" t="s">
        <v>35</v>
      </c>
      <c r="J58" s="23">
        <v>97.029702970297024</v>
      </c>
      <c r="K58" s="23">
        <v>2.9702970297029703</v>
      </c>
      <c r="L58" s="23">
        <v>95.104333868378816</v>
      </c>
      <c r="M58" s="23">
        <v>4.8956661316211871</v>
      </c>
      <c r="N58" s="23">
        <v>83.228840125391841</v>
      </c>
      <c r="O58" s="23">
        <v>16.771159874608148</v>
      </c>
      <c r="P58" s="23">
        <v>93.407288194045293</v>
      </c>
      <c r="Q58" s="23">
        <v>6.592711805954707</v>
      </c>
    </row>
    <row r="59" spans="1:17" ht="8.25" customHeight="1">
      <c r="A59" s="2">
        <v>2</v>
      </c>
      <c r="B59" s="11" t="s">
        <v>31</v>
      </c>
      <c r="C59" s="12">
        <v>2010</v>
      </c>
      <c r="D59" s="23">
        <v>83.760941744642309</v>
      </c>
      <c r="E59" s="23">
        <v>16.239058255357683</v>
      </c>
      <c r="F59" s="23">
        <v>90.865384615384613</v>
      </c>
      <c r="G59" s="23">
        <v>9.1346153846153832</v>
      </c>
      <c r="H59" s="21" t="s">
        <v>35</v>
      </c>
      <c r="I59" s="21" t="s">
        <v>35</v>
      </c>
      <c r="J59" s="23">
        <v>95.661811272957564</v>
      </c>
      <c r="K59" s="23">
        <v>4.3381887270424313</v>
      </c>
      <c r="L59" s="23">
        <v>91.787709497206706</v>
      </c>
      <c r="M59" s="23">
        <v>8.2122905027932962</v>
      </c>
      <c r="N59" s="23">
        <v>80.323193916349808</v>
      </c>
      <c r="O59" s="23">
        <v>19.676806083650188</v>
      </c>
      <c r="P59" s="23">
        <v>91.404594021715624</v>
      </c>
      <c r="Q59" s="23">
        <v>8.5954059782843792</v>
      </c>
    </row>
    <row r="60" spans="1:17" ht="8.25" customHeight="1">
      <c r="A60" s="2">
        <v>3</v>
      </c>
      <c r="B60" s="11" t="s">
        <v>32</v>
      </c>
      <c r="C60" s="12">
        <v>2010</v>
      </c>
      <c r="D60" s="23">
        <v>90.6642259414226</v>
      </c>
      <c r="E60" s="23">
        <v>9.3357740585774067</v>
      </c>
      <c r="F60" s="23">
        <v>96.662561576354676</v>
      </c>
      <c r="G60" s="23">
        <v>3.3374384236453203</v>
      </c>
      <c r="H60" s="21" t="s">
        <v>35</v>
      </c>
      <c r="I60" s="21" t="s">
        <v>35</v>
      </c>
      <c r="J60" s="23">
        <v>98.307422266800401</v>
      </c>
      <c r="K60" s="23">
        <v>1.6925777331995988</v>
      </c>
      <c r="L60" s="23">
        <v>99.430199430199423</v>
      </c>
      <c r="M60" s="23">
        <v>0.56980056980056981</v>
      </c>
      <c r="N60" s="23">
        <v>91.290824261275276</v>
      </c>
      <c r="O60" s="23">
        <v>8.7091757387247277</v>
      </c>
      <c r="P60" s="23">
        <v>96.07439992349623</v>
      </c>
      <c r="Q60" s="23">
        <v>3.9256000765037777</v>
      </c>
    </row>
    <row r="61" spans="1:17" ht="8.25" customHeight="1">
      <c r="A61" s="2">
        <v>4</v>
      </c>
      <c r="B61" s="11" t="s">
        <v>33</v>
      </c>
      <c r="C61" s="12">
        <v>2010</v>
      </c>
      <c r="D61" s="23">
        <v>90.694263363754885</v>
      </c>
      <c r="E61" s="23">
        <v>9.3057366362451113</v>
      </c>
      <c r="F61" s="23">
        <v>95.899482129213013</v>
      </c>
      <c r="G61" s="23">
        <v>4.1005178707869936</v>
      </c>
      <c r="H61" s="21" t="s">
        <v>35</v>
      </c>
      <c r="I61" s="21" t="s">
        <v>35</v>
      </c>
      <c r="J61" s="23">
        <v>97.813688212927758</v>
      </c>
      <c r="K61" s="23">
        <v>2.1863117870722433</v>
      </c>
      <c r="L61" s="23">
        <v>98.354525056095738</v>
      </c>
      <c r="M61" s="23">
        <v>1.6454749439042633</v>
      </c>
      <c r="N61" s="23">
        <v>90.104166666666657</v>
      </c>
      <c r="O61" s="23">
        <v>9.8958333333333321</v>
      </c>
      <c r="P61" s="23">
        <v>95.375369584779534</v>
      </c>
      <c r="Q61" s="23">
        <v>4.6246304152204658</v>
      </c>
    </row>
    <row r="62" spans="1:17" s="116" customFormat="1" ht="16.5" customHeight="1">
      <c r="A62" s="117">
        <v>0</v>
      </c>
      <c r="B62" s="14" t="s">
        <v>34</v>
      </c>
      <c r="C62" s="15">
        <v>2010</v>
      </c>
      <c r="D62" s="20">
        <v>88.489388264669174</v>
      </c>
      <c r="E62" s="20">
        <v>11.510611735330837</v>
      </c>
      <c r="F62" s="20">
        <v>94.471647926490149</v>
      </c>
      <c r="G62" s="20">
        <v>5.5283520735098541</v>
      </c>
      <c r="H62" s="22" t="s">
        <v>35</v>
      </c>
      <c r="I62" s="22" t="s">
        <v>35</v>
      </c>
      <c r="J62" s="20">
        <v>97.186073059360737</v>
      </c>
      <c r="K62" s="20">
        <v>2.8139269406392695</v>
      </c>
      <c r="L62" s="20">
        <v>95.088907705334464</v>
      </c>
      <c r="M62" s="20">
        <v>4.9110922946655373</v>
      </c>
      <c r="N62" s="20">
        <v>86.320369866739185</v>
      </c>
      <c r="O62" s="20">
        <v>13.679630133260812</v>
      </c>
      <c r="P62" s="20">
        <v>94.171484142849422</v>
      </c>
      <c r="Q62" s="20">
        <v>5.8285158571505757</v>
      </c>
    </row>
    <row r="63" spans="1:17" ht="8.25" customHeight="1">
      <c r="A63" s="2">
        <v>1</v>
      </c>
      <c r="B63" s="11" t="s">
        <v>30</v>
      </c>
      <c r="C63" s="12">
        <v>2005</v>
      </c>
      <c r="D63" s="19">
        <v>86.913463805706201</v>
      </c>
      <c r="E63" s="19">
        <v>13.086536194293799</v>
      </c>
      <c r="F63" s="19">
        <v>93.560314281312586</v>
      </c>
      <c r="G63" s="19">
        <v>6.4396857186874126</v>
      </c>
      <c r="H63" s="21" t="s">
        <v>35</v>
      </c>
      <c r="I63" s="21" t="s">
        <v>35</v>
      </c>
      <c r="J63" s="19">
        <v>96.894803548795949</v>
      </c>
      <c r="K63" s="19">
        <v>3.1051964512040557</v>
      </c>
      <c r="L63" s="19">
        <v>93.974820143884898</v>
      </c>
      <c r="M63" s="19">
        <v>6.0251798561151082</v>
      </c>
      <c r="N63" s="19">
        <v>82.465462274176403</v>
      </c>
      <c r="O63" s="19">
        <v>17.534537725823593</v>
      </c>
      <c r="P63" s="19">
        <v>92.663769178404991</v>
      </c>
      <c r="Q63" s="19">
        <v>7.3362308215950147</v>
      </c>
    </row>
    <row r="64" spans="1:17" ht="8.25" customHeight="1">
      <c r="A64" s="2">
        <v>2</v>
      </c>
      <c r="B64" s="11" t="s">
        <v>31</v>
      </c>
      <c r="C64" s="12">
        <v>2005</v>
      </c>
      <c r="D64" s="19">
        <v>85.288440917864037</v>
      </c>
      <c r="E64" s="19">
        <v>14.711559082135963</v>
      </c>
      <c r="F64" s="19">
        <v>90.760604583130174</v>
      </c>
      <c r="G64" s="19">
        <v>9.2393954168698187</v>
      </c>
      <c r="H64" s="21" t="s">
        <v>35</v>
      </c>
      <c r="I64" s="21" t="s">
        <v>35</v>
      </c>
      <c r="J64" s="19">
        <v>94.035594035594045</v>
      </c>
      <c r="K64" s="19">
        <v>5.9644059644059642</v>
      </c>
      <c r="L64" s="19">
        <v>91.464891041162232</v>
      </c>
      <c r="M64" s="19">
        <v>8.5351089588377729</v>
      </c>
      <c r="N64" s="19">
        <v>77.061469265367322</v>
      </c>
      <c r="O64" s="19">
        <v>22.938530734632685</v>
      </c>
      <c r="P64" s="19">
        <v>90.123712193305465</v>
      </c>
      <c r="Q64" s="19">
        <v>9.8762878066945259</v>
      </c>
    </row>
    <row r="65" spans="1:17" ht="8.25" customHeight="1">
      <c r="A65" s="2">
        <v>3</v>
      </c>
      <c r="B65" s="11" t="s">
        <v>32</v>
      </c>
      <c r="C65" s="12">
        <v>2005</v>
      </c>
      <c r="D65" s="19">
        <v>90.577507598784194</v>
      </c>
      <c r="E65" s="19">
        <v>9.4224924012158056</v>
      </c>
      <c r="F65" s="19">
        <v>96.638340414896277</v>
      </c>
      <c r="G65" s="19">
        <v>3.3616595851037241</v>
      </c>
      <c r="H65" s="21" t="s">
        <v>35</v>
      </c>
      <c r="I65" s="21" t="s">
        <v>35</v>
      </c>
      <c r="J65" s="19">
        <v>98.081991215226935</v>
      </c>
      <c r="K65" s="19">
        <v>1.91800878477306</v>
      </c>
      <c r="L65" s="19">
        <v>100</v>
      </c>
      <c r="M65" s="24">
        <v>0</v>
      </c>
      <c r="N65" s="19">
        <v>85.654450261780099</v>
      </c>
      <c r="O65" s="19">
        <v>14.345549738219896</v>
      </c>
      <c r="P65" s="19">
        <v>95.095870206489678</v>
      </c>
      <c r="Q65" s="19">
        <v>4.9041297935103243</v>
      </c>
    </row>
    <row r="66" spans="1:17" ht="8.25" customHeight="1">
      <c r="A66" s="2">
        <v>4</v>
      </c>
      <c r="B66" s="11" t="s">
        <v>33</v>
      </c>
      <c r="C66" s="12">
        <v>2005</v>
      </c>
      <c r="D66" s="19">
        <v>92.082011780697783</v>
      </c>
      <c r="E66" s="19">
        <v>7.9179882193022202</v>
      </c>
      <c r="F66" s="19">
        <v>96.033129904097649</v>
      </c>
      <c r="G66" s="19">
        <v>3.9668700959023542</v>
      </c>
      <c r="H66" s="21" t="s">
        <v>35</v>
      </c>
      <c r="I66" s="21" t="s">
        <v>35</v>
      </c>
      <c r="J66" s="19">
        <v>97.395491354782223</v>
      </c>
      <c r="K66" s="19">
        <v>2.6045086452177721</v>
      </c>
      <c r="L66" s="19">
        <v>96.677215189873422</v>
      </c>
      <c r="M66" s="19">
        <v>3.3227848101265818</v>
      </c>
      <c r="N66" s="19">
        <v>86.965699208443269</v>
      </c>
      <c r="O66" s="19">
        <v>13.034300791556728</v>
      </c>
      <c r="P66" s="19">
        <v>94.842767295597483</v>
      </c>
      <c r="Q66" s="19">
        <v>5.1572327044025164</v>
      </c>
    </row>
    <row r="67" spans="1:17" s="116" customFormat="1" ht="16.5" customHeight="1">
      <c r="A67" s="117">
        <v>0</v>
      </c>
      <c r="B67" s="14" t="s">
        <v>34</v>
      </c>
      <c r="C67" s="15">
        <v>2005</v>
      </c>
      <c r="D67" s="20">
        <v>89.423365487674161</v>
      </c>
      <c r="E67" s="20">
        <v>10.57663451232583</v>
      </c>
      <c r="F67" s="20">
        <v>94.43907864313519</v>
      </c>
      <c r="G67" s="20">
        <v>5.560921356864811</v>
      </c>
      <c r="H67" s="22" t="s">
        <v>35</v>
      </c>
      <c r="I67" s="22" t="s">
        <v>35</v>
      </c>
      <c r="J67" s="20">
        <v>96.53222643482809</v>
      </c>
      <c r="K67" s="20">
        <v>3.4677735651719179</v>
      </c>
      <c r="L67" s="20">
        <v>94.244935543278089</v>
      </c>
      <c r="M67" s="20">
        <v>5.7550644567219154</v>
      </c>
      <c r="N67" s="20">
        <v>83.317073170731703</v>
      </c>
      <c r="O67" s="20">
        <v>16.682926829268293</v>
      </c>
      <c r="P67" s="20">
        <v>93.303402113636139</v>
      </c>
      <c r="Q67" s="20">
        <v>6.69659788636387</v>
      </c>
    </row>
    <row r="68" spans="1:17" ht="8.25" customHeight="1">
      <c r="A68" s="25"/>
      <c r="B68" s="17"/>
      <c r="C68" s="26"/>
      <c r="D68" s="26"/>
      <c r="E68" s="26"/>
      <c r="F68" s="26"/>
      <c r="G68" s="27"/>
      <c r="H68" s="27"/>
      <c r="I68" s="26"/>
      <c r="J68" s="26"/>
      <c r="K68" s="26"/>
      <c r="L68" s="26"/>
      <c r="M68" s="26"/>
      <c r="N68" s="26"/>
      <c r="O68" s="26"/>
      <c r="P68" s="26"/>
    </row>
    <row r="69" spans="1:17" ht="8.25" customHeight="1">
      <c r="A69" s="28" t="s">
        <v>119</v>
      </c>
      <c r="B69" s="28"/>
      <c r="C69" s="28"/>
      <c r="D69" s="28"/>
      <c r="E69" s="28"/>
      <c r="F69" s="28"/>
      <c r="G69" s="28"/>
      <c r="H69" s="28"/>
      <c r="I69" s="28"/>
      <c r="J69" s="26"/>
      <c r="K69" s="26"/>
      <c r="L69" s="26"/>
      <c r="M69" s="26"/>
      <c r="N69" s="26"/>
      <c r="O69" s="26"/>
      <c r="P69" s="26"/>
    </row>
    <row r="70" spans="1:17" ht="8.25" customHeight="1">
      <c r="A70" s="28" t="s">
        <v>36</v>
      </c>
      <c r="B70" s="28"/>
      <c r="C70" s="28"/>
      <c r="D70" s="28"/>
      <c r="E70" s="28"/>
      <c r="F70" s="28"/>
      <c r="G70" s="28"/>
      <c r="H70" s="28"/>
      <c r="I70" s="28"/>
      <c r="J70" s="26"/>
      <c r="K70" s="26"/>
      <c r="L70" s="26"/>
      <c r="M70" s="26"/>
      <c r="N70" s="26"/>
      <c r="O70" s="26"/>
      <c r="P70" s="26"/>
    </row>
    <row r="71" spans="1:17" ht="8.25" customHeight="1">
      <c r="A71" s="144"/>
      <c r="B71" s="144"/>
      <c r="C71" s="144"/>
      <c r="D71" s="144"/>
      <c r="E71" s="144"/>
      <c r="F71" s="30"/>
      <c r="G71" s="144"/>
      <c r="H71" s="144"/>
      <c r="I71" s="144"/>
      <c r="J71" s="26"/>
      <c r="K71" s="26"/>
      <c r="L71" s="26"/>
      <c r="M71" s="26"/>
      <c r="N71" s="26"/>
      <c r="O71" s="26"/>
      <c r="P71" s="26"/>
    </row>
    <row r="72" spans="1:17" ht="8.25" customHeight="1">
      <c r="A72" s="31" t="s">
        <v>37</v>
      </c>
      <c r="B72" s="31"/>
      <c r="C72" s="31"/>
      <c r="D72" s="31"/>
      <c r="E72" s="31"/>
      <c r="F72" s="31"/>
      <c r="G72" s="31"/>
      <c r="H72" s="31"/>
      <c r="I72" s="31"/>
      <c r="J72" s="26"/>
      <c r="K72" s="26"/>
      <c r="L72" s="26"/>
      <c r="M72" s="26"/>
      <c r="N72" s="26"/>
      <c r="O72" s="26"/>
      <c r="P72" s="26"/>
    </row>
    <row r="73" spans="1:17" ht="8.25" customHeight="1"/>
    <row r="74" spans="1:17" ht="8.25" customHeight="1"/>
    <row r="75" spans="1:17" ht="8.25" customHeight="1"/>
    <row r="76" spans="1:17" ht="8.25" customHeight="1">
      <c r="A76" s="227" t="s">
        <v>117</v>
      </c>
      <c r="B76" s="237" t="s">
        <v>2</v>
      </c>
      <c r="C76" s="233" t="s">
        <v>3</v>
      </c>
      <c r="D76" s="236" t="s">
        <v>4</v>
      </c>
      <c r="E76" s="236"/>
      <c r="F76" s="236" t="s">
        <v>5</v>
      </c>
      <c r="G76" s="236"/>
      <c r="H76" s="242" t="s">
        <v>6</v>
      </c>
      <c r="I76" s="242"/>
      <c r="J76" s="236" t="s">
        <v>7</v>
      </c>
      <c r="K76" s="236"/>
      <c r="L76" s="236" t="s">
        <v>8</v>
      </c>
      <c r="M76" s="236"/>
      <c r="N76" s="236" t="s">
        <v>9</v>
      </c>
      <c r="O76" s="236"/>
      <c r="P76" s="236" t="s">
        <v>10</v>
      </c>
      <c r="Q76" s="240"/>
    </row>
    <row r="77" spans="1:17" ht="8.25" customHeight="1">
      <c r="A77" s="228"/>
      <c r="B77" s="238"/>
      <c r="C77" s="234"/>
      <c r="D77" s="141" t="s">
        <v>11</v>
      </c>
      <c r="E77" s="142" t="s">
        <v>12</v>
      </c>
      <c r="F77" s="141" t="s">
        <v>11</v>
      </c>
      <c r="G77" s="142" t="s">
        <v>12</v>
      </c>
      <c r="H77" s="141" t="s">
        <v>11</v>
      </c>
      <c r="I77" s="142" t="s">
        <v>12</v>
      </c>
      <c r="J77" s="141" t="s">
        <v>11</v>
      </c>
      <c r="K77" s="142" t="s">
        <v>12</v>
      </c>
      <c r="L77" s="141" t="s">
        <v>11</v>
      </c>
      <c r="M77" s="142" t="s">
        <v>12</v>
      </c>
      <c r="N77" s="141" t="s">
        <v>11</v>
      </c>
      <c r="O77" s="142" t="s">
        <v>12</v>
      </c>
      <c r="P77" s="141" t="s">
        <v>11</v>
      </c>
      <c r="Q77" s="145" t="s">
        <v>12</v>
      </c>
    </row>
    <row r="78" spans="1:17" ht="8.25" customHeight="1">
      <c r="A78" s="229"/>
      <c r="B78" s="239"/>
      <c r="C78" s="235"/>
      <c r="D78" s="240" t="s">
        <v>38</v>
      </c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</row>
    <row r="79" spans="1:17" ht="8.25" customHeight="1">
      <c r="A79" s="9" t="s">
        <v>14</v>
      </c>
      <c r="B79" s="10" t="s">
        <v>15</v>
      </c>
      <c r="C79" s="10">
        <v>3</v>
      </c>
      <c r="D79" s="10">
        <v>4</v>
      </c>
      <c r="E79" s="10">
        <v>5</v>
      </c>
      <c r="F79" s="10">
        <v>6</v>
      </c>
      <c r="G79" s="10">
        <v>7</v>
      </c>
      <c r="H79" s="10">
        <v>8</v>
      </c>
      <c r="I79" s="10">
        <v>9</v>
      </c>
      <c r="J79" s="10">
        <v>10</v>
      </c>
      <c r="K79" s="10">
        <v>11</v>
      </c>
      <c r="L79" s="10">
        <v>12</v>
      </c>
      <c r="M79" s="10">
        <v>13</v>
      </c>
      <c r="N79" s="10">
        <v>14</v>
      </c>
      <c r="O79" s="10">
        <v>15</v>
      </c>
      <c r="P79" s="10">
        <v>16</v>
      </c>
      <c r="Q79" s="118">
        <v>17</v>
      </c>
    </row>
    <row r="80" spans="1:17" ht="8.25" customHeight="1">
      <c r="A80" s="2">
        <v>1</v>
      </c>
      <c r="B80" s="11" t="s">
        <v>30</v>
      </c>
      <c r="C80" s="138">
        <v>2020</v>
      </c>
      <c r="D80" s="130" t="e">
        <f>'2020_B4_Berechnung_final'!#REF!</f>
        <v>#REF!</v>
      </c>
      <c r="E80" s="130" t="e">
        <f>'2020_B4_Berechnung_final'!#REF!</f>
        <v>#REF!</v>
      </c>
      <c r="F80" s="130" t="e">
        <f>'2020_B4_Berechnung_final'!#REF!</f>
        <v>#REF!</v>
      </c>
      <c r="G80" s="130" t="e">
        <f>'2020_B4_Berechnung_final'!#REF!</f>
        <v>#REF!</v>
      </c>
      <c r="H80" s="130" t="e">
        <f>'2020_B4_Berechnung_final'!#REF!</f>
        <v>#REF!</v>
      </c>
      <c r="I80" s="130" t="e">
        <f>'2020_B4_Berechnung_final'!#REF!</f>
        <v>#REF!</v>
      </c>
      <c r="J80" s="130" t="e">
        <f>'2020_B4_Berechnung_final'!#REF!</f>
        <v>#REF!</v>
      </c>
      <c r="K80" s="130" t="e">
        <f>'2020_B4_Berechnung_final'!#REF!</f>
        <v>#REF!</v>
      </c>
      <c r="L80" s="130" t="e">
        <f>'2020_B4_Berechnung_final'!#REF!</f>
        <v>#REF!</v>
      </c>
      <c r="M80" s="130" t="e">
        <f>'2020_B4_Berechnung_final'!#REF!</f>
        <v>#REF!</v>
      </c>
      <c r="N80" s="130" t="e">
        <f>'2020_B4_Berechnung_final'!#REF!</f>
        <v>#REF!</v>
      </c>
      <c r="O80" s="130" t="e">
        <f>'2020_B4_Berechnung_final'!#REF!</f>
        <v>#REF!</v>
      </c>
      <c r="P80" s="130" t="e">
        <f>'2020_B4_Berechnung_final'!#REF!</f>
        <v>#REF!</v>
      </c>
      <c r="Q80" s="130" t="e">
        <f>'2020_B4_Berechnung_final'!#REF!</f>
        <v>#REF!</v>
      </c>
    </row>
    <row r="81" spans="1:17" ht="8.25" customHeight="1">
      <c r="A81" s="2">
        <v>2</v>
      </c>
      <c r="B81" s="11" t="s">
        <v>31</v>
      </c>
      <c r="C81" s="138">
        <v>2020</v>
      </c>
      <c r="D81" s="130" t="e">
        <f>'2020_B4_Berechnung_final'!#REF!</f>
        <v>#REF!</v>
      </c>
      <c r="E81" s="130" t="e">
        <f>'2020_B4_Berechnung_final'!#REF!</f>
        <v>#REF!</v>
      </c>
      <c r="F81" s="130" t="e">
        <f>'2020_B4_Berechnung_final'!#REF!</f>
        <v>#REF!</v>
      </c>
      <c r="G81" s="130" t="e">
        <f>'2020_B4_Berechnung_final'!#REF!</f>
        <v>#REF!</v>
      </c>
      <c r="H81" s="130" t="e">
        <f>'2020_B4_Berechnung_final'!#REF!</f>
        <v>#REF!</v>
      </c>
      <c r="I81" s="130" t="e">
        <f>'2020_B4_Berechnung_final'!#REF!</f>
        <v>#REF!</v>
      </c>
      <c r="J81" s="130" t="e">
        <f>'2020_B4_Berechnung_final'!#REF!</f>
        <v>#REF!</v>
      </c>
      <c r="K81" s="130" t="e">
        <f>'2020_B4_Berechnung_final'!#REF!</f>
        <v>#REF!</v>
      </c>
      <c r="L81" s="130" t="e">
        <f>'2020_B4_Berechnung_final'!#REF!</f>
        <v>#REF!</v>
      </c>
      <c r="M81" s="130" t="e">
        <f>'2020_B4_Berechnung_final'!#REF!</f>
        <v>#REF!</v>
      </c>
      <c r="N81" s="130" t="e">
        <f>'2020_B4_Berechnung_final'!#REF!</f>
        <v>#REF!</v>
      </c>
      <c r="O81" s="130" t="e">
        <f>'2020_B4_Berechnung_final'!#REF!</f>
        <v>#REF!</v>
      </c>
      <c r="P81" s="130" t="e">
        <f>'2020_B4_Berechnung_final'!#REF!</f>
        <v>#REF!</v>
      </c>
      <c r="Q81" s="130" t="e">
        <f>'2020_B4_Berechnung_final'!#REF!</f>
        <v>#REF!</v>
      </c>
    </row>
    <row r="82" spans="1:17" ht="8.25" customHeight="1">
      <c r="A82" s="2">
        <v>3</v>
      </c>
      <c r="B82" s="11" t="s">
        <v>32</v>
      </c>
      <c r="C82" s="138">
        <v>2020</v>
      </c>
      <c r="D82" s="130" t="e">
        <f>'2020_B4_Berechnung_final'!#REF!</f>
        <v>#REF!</v>
      </c>
      <c r="E82" s="130" t="e">
        <f>'2020_B4_Berechnung_final'!#REF!</f>
        <v>#REF!</v>
      </c>
      <c r="F82" s="130" t="e">
        <f>'2020_B4_Berechnung_final'!#REF!</f>
        <v>#REF!</v>
      </c>
      <c r="G82" s="130" t="e">
        <f>'2020_B4_Berechnung_final'!#REF!</f>
        <v>#REF!</v>
      </c>
      <c r="H82" s="130" t="e">
        <f>'2020_B4_Berechnung_final'!#REF!</f>
        <v>#REF!</v>
      </c>
      <c r="I82" s="130" t="e">
        <f>'2020_B4_Berechnung_final'!#REF!</f>
        <v>#REF!</v>
      </c>
      <c r="J82" s="130" t="e">
        <f>'2020_B4_Berechnung_final'!#REF!</f>
        <v>#REF!</v>
      </c>
      <c r="K82" s="130" t="e">
        <f>'2020_B4_Berechnung_final'!#REF!</f>
        <v>#REF!</v>
      </c>
      <c r="L82" s="130" t="e">
        <f>'2020_B4_Berechnung_final'!#REF!</f>
        <v>#REF!</v>
      </c>
      <c r="M82" s="130" t="e">
        <f>'2020_B4_Berechnung_final'!#REF!</f>
        <v>#REF!</v>
      </c>
      <c r="N82" s="130" t="e">
        <f>'2020_B4_Berechnung_final'!#REF!</f>
        <v>#REF!</v>
      </c>
      <c r="O82" s="130" t="e">
        <f>'2020_B4_Berechnung_final'!#REF!</f>
        <v>#REF!</v>
      </c>
      <c r="P82" s="130" t="e">
        <f>'2020_B4_Berechnung_final'!#REF!</f>
        <v>#REF!</v>
      </c>
      <c r="Q82" s="130" t="e">
        <f>'2020_B4_Berechnung_final'!#REF!</f>
        <v>#REF!</v>
      </c>
    </row>
    <row r="83" spans="1:17" ht="8.25" customHeight="1">
      <c r="A83" s="2">
        <v>4</v>
      </c>
      <c r="B83" s="11" t="s">
        <v>33</v>
      </c>
      <c r="C83" s="138">
        <v>2020</v>
      </c>
      <c r="D83" s="130" t="e">
        <f>'2020_B4_Berechnung_final'!#REF!</f>
        <v>#REF!</v>
      </c>
      <c r="E83" s="130" t="e">
        <f>'2020_B4_Berechnung_final'!#REF!</f>
        <v>#REF!</v>
      </c>
      <c r="F83" s="130" t="e">
        <f>'2020_B4_Berechnung_final'!#REF!</f>
        <v>#REF!</v>
      </c>
      <c r="G83" s="130" t="e">
        <f>'2020_B4_Berechnung_final'!#REF!</f>
        <v>#REF!</v>
      </c>
      <c r="H83" s="130" t="e">
        <f>'2020_B4_Berechnung_final'!#REF!</f>
        <v>#REF!</v>
      </c>
      <c r="I83" s="130" t="e">
        <f>'2020_B4_Berechnung_final'!#REF!</f>
        <v>#REF!</v>
      </c>
      <c r="J83" s="130" t="e">
        <f>'2020_B4_Berechnung_final'!#REF!</f>
        <v>#REF!</v>
      </c>
      <c r="K83" s="130" t="e">
        <f>'2020_B4_Berechnung_final'!#REF!</f>
        <v>#REF!</v>
      </c>
      <c r="L83" s="130" t="e">
        <f>'2020_B4_Berechnung_final'!#REF!</f>
        <v>#REF!</v>
      </c>
      <c r="M83" s="130" t="e">
        <f>'2020_B4_Berechnung_final'!#REF!</f>
        <v>#REF!</v>
      </c>
      <c r="N83" s="130" t="e">
        <f>'2020_B4_Berechnung_final'!#REF!</f>
        <v>#REF!</v>
      </c>
      <c r="O83" s="130" t="e">
        <f>'2020_B4_Berechnung_final'!#REF!</f>
        <v>#REF!</v>
      </c>
      <c r="P83" s="130" t="e">
        <f>'2020_B4_Berechnung_final'!#REF!</f>
        <v>#REF!</v>
      </c>
      <c r="Q83" s="130" t="e">
        <f>'2020_B4_Berechnung_final'!#REF!</f>
        <v>#REF!</v>
      </c>
    </row>
    <row r="84" spans="1:17" ht="8.25" customHeight="1">
      <c r="A84" s="32">
        <v>0</v>
      </c>
      <c r="B84" s="125" t="s">
        <v>34</v>
      </c>
      <c r="C84" s="138">
        <v>2020</v>
      </c>
      <c r="D84" s="130" t="e">
        <f>'2020_B4_Berechnung_final'!#REF!</f>
        <v>#REF!</v>
      </c>
      <c r="E84" s="130" t="e">
        <f>'2020_B4_Berechnung_final'!#REF!</f>
        <v>#REF!</v>
      </c>
      <c r="F84" s="130" t="e">
        <f>'2020_B4_Berechnung_final'!#REF!</f>
        <v>#REF!</v>
      </c>
      <c r="G84" s="130" t="e">
        <f>'2020_B4_Berechnung_final'!#REF!</f>
        <v>#REF!</v>
      </c>
      <c r="H84" s="130" t="e">
        <f>'2020_B4_Berechnung_final'!#REF!</f>
        <v>#REF!</v>
      </c>
      <c r="I84" s="130" t="e">
        <f>'2020_B4_Berechnung_final'!#REF!</f>
        <v>#REF!</v>
      </c>
      <c r="J84" s="130" t="e">
        <f>'2020_B4_Berechnung_final'!#REF!</f>
        <v>#REF!</v>
      </c>
      <c r="K84" s="130" t="e">
        <f>'2020_B4_Berechnung_final'!#REF!</f>
        <v>#REF!</v>
      </c>
      <c r="L84" s="130" t="e">
        <f>'2020_B4_Berechnung_final'!#REF!</f>
        <v>#REF!</v>
      </c>
      <c r="M84" s="130" t="e">
        <f>'2020_B4_Berechnung_final'!#REF!</f>
        <v>#REF!</v>
      </c>
      <c r="N84" s="130" t="e">
        <f>'2020_B4_Berechnung_final'!#REF!</f>
        <v>#REF!</v>
      </c>
      <c r="O84" s="130" t="e">
        <f>'2020_B4_Berechnung_final'!#REF!</f>
        <v>#REF!</v>
      </c>
      <c r="P84" s="130" t="e">
        <f>'2020_B4_Berechnung_final'!#REF!</f>
        <v>#REF!</v>
      </c>
      <c r="Q84" s="130" t="e">
        <f>'2020_B4_Berechnung_final'!#REF!</f>
        <v>#REF!</v>
      </c>
    </row>
    <row r="85" spans="1:17" ht="8.25" customHeight="1">
      <c r="A85" s="2">
        <v>1</v>
      </c>
      <c r="B85" s="11" t="s">
        <v>30</v>
      </c>
      <c r="C85" s="157">
        <v>2019</v>
      </c>
      <c r="D85" s="163" t="e">
        <f>'2020_B4_Berechnung_final'!#REF!</f>
        <v>#REF!</v>
      </c>
      <c r="E85" s="163" t="e">
        <f>'2020_B4_Berechnung_final'!#REF!</f>
        <v>#REF!</v>
      </c>
      <c r="F85" s="163" t="e">
        <f>'2020_B4_Berechnung_final'!#REF!</f>
        <v>#REF!</v>
      </c>
      <c r="G85" s="163" t="e">
        <f>'2020_B4_Berechnung_final'!#REF!</f>
        <v>#REF!</v>
      </c>
      <c r="H85" s="163" t="e">
        <f>'2020_B4_Berechnung_final'!#REF!</f>
        <v>#REF!</v>
      </c>
      <c r="I85" s="163" t="e">
        <f>'2020_B4_Berechnung_final'!#REF!</f>
        <v>#REF!</v>
      </c>
      <c r="J85" s="163" t="e">
        <f>'2020_B4_Berechnung_final'!#REF!</f>
        <v>#REF!</v>
      </c>
      <c r="K85" s="163" t="e">
        <f>'2020_B4_Berechnung_final'!#REF!</f>
        <v>#REF!</v>
      </c>
      <c r="L85" s="163" t="e">
        <f>'2020_B4_Berechnung_final'!#REF!</f>
        <v>#REF!</v>
      </c>
      <c r="M85" s="163" t="e">
        <f>'2020_B4_Berechnung_final'!#REF!</f>
        <v>#REF!</v>
      </c>
      <c r="N85" s="163" t="e">
        <f>'2020_B4_Berechnung_final'!#REF!</f>
        <v>#REF!</v>
      </c>
      <c r="O85" s="163" t="e">
        <f>'2020_B4_Berechnung_final'!#REF!</f>
        <v>#REF!</v>
      </c>
      <c r="P85" s="163" t="e">
        <f>'2020_B4_Berechnung_final'!#REF!</f>
        <v>#REF!</v>
      </c>
      <c r="Q85" s="163" t="e">
        <f>'2020_B4_Berechnung_final'!#REF!</f>
        <v>#REF!</v>
      </c>
    </row>
    <row r="86" spans="1:17" ht="8.25" customHeight="1">
      <c r="A86" s="2">
        <v>2</v>
      </c>
      <c r="B86" s="11" t="s">
        <v>31</v>
      </c>
      <c r="C86" s="157">
        <v>2019</v>
      </c>
      <c r="D86" s="163" t="e">
        <f>'2020_B4_Berechnung_final'!#REF!</f>
        <v>#REF!</v>
      </c>
      <c r="E86" s="163" t="e">
        <f>'2020_B4_Berechnung_final'!#REF!</f>
        <v>#REF!</v>
      </c>
      <c r="F86" s="163" t="e">
        <f>'2020_B4_Berechnung_final'!#REF!</f>
        <v>#REF!</v>
      </c>
      <c r="G86" s="163" t="e">
        <f>'2020_B4_Berechnung_final'!#REF!</f>
        <v>#REF!</v>
      </c>
      <c r="H86" s="163" t="e">
        <f>'2020_B4_Berechnung_final'!#REF!</f>
        <v>#REF!</v>
      </c>
      <c r="I86" s="163" t="e">
        <f>'2020_B4_Berechnung_final'!#REF!</f>
        <v>#REF!</v>
      </c>
      <c r="J86" s="163" t="e">
        <f>'2020_B4_Berechnung_final'!#REF!</f>
        <v>#REF!</v>
      </c>
      <c r="K86" s="163" t="e">
        <f>'2020_B4_Berechnung_final'!#REF!</f>
        <v>#REF!</v>
      </c>
      <c r="L86" s="163" t="e">
        <f>'2020_B4_Berechnung_final'!#REF!</f>
        <v>#REF!</v>
      </c>
      <c r="M86" s="163" t="e">
        <f>'2020_B4_Berechnung_final'!#REF!</f>
        <v>#REF!</v>
      </c>
      <c r="N86" s="163" t="e">
        <f>'2020_B4_Berechnung_final'!#REF!</f>
        <v>#REF!</v>
      </c>
      <c r="O86" s="163" t="e">
        <f>'2020_B4_Berechnung_final'!#REF!</f>
        <v>#REF!</v>
      </c>
      <c r="P86" s="163" t="e">
        <f>'2020_B4_Berechnung_final'!#REF!</f>
        <v>#REF!</v>
      </c>
      <c r="Q86" s="163" t="e">
        <f>'2020_B4_Berechnung_final'!#REF!</f>
        <v>#REF!</v>
      </c>
    </row>
    <row r="87" spans="1:17" ht="8.25" customHeight="1">
      <c r="A87" s="2">
        <v>3</v>
      </c>
      <c r="B87" s="11" t="s">
        <v>32</v>
      </c>
      <c r="C87" s="157">
        <v>2019</v>
      </c>
      <c r="D87" s="163" t="e">
        <f>'2020_B4_Berechnung_final'!#REF!</f>
        <v>#REF!</v>
      </c>
      <c r="E87" s="163" t="e">
        <f>'2020_B4_Berechnung_final'!#REF!</f>
        <v>#REF!</v>
      </c>
      <c r="F87" s="163" t="e">
        <f>'2020_B4_Berechnung_final'!#REF!</f>
        <v>#REF!</v>
      </c>
      <c r="G87" s="163" t="e">
        <f>'2020_B4_Berechnung_final'!#REF!</f>
        <v>#REF!</v>
      </c>
      <c r="H87" s="163" t="e">
        <f>'2020_B4_Berechnung_final'!#REF!</f>
        <v>#REF!</v>
      </c>
      <c r="I87" s="163" t="e">
        <f>'2020_B4_Berechnung_final'!#REF!</f>
        <v>#REF!</v>
      </c>
      <c r="J87" s="163" t="e">
        <f>'2020_B4_Berechnung_final'!#REF!</f>
        <v>#REF!</v>
      </c>
      <c r="K87" s="163" t="e">
        <f>'2020_B4_Berechnung_final'!#REF!</f>
        <v>#REF!</v>
      </c>
      <c r="L87" s="163" t="e">
        <f>'2020_B4_Berechnung_final'!#REF!</f>
        <v>#REF!</v>
      </c>
      <c r="M87" s="163" t="e">
        <f>'2020_B4_Berechnung_final'!#REF!</f>
        <v>#REF!</v>
      </c>
      <c r="N87" s="163" t="e">
        <f>'2020_B4_Berechnung_final'!#REF!</f>
        <v>#REF!</v>
      </c>
      <c r="O87" s="163" t="e">
        <f>'2020_B4_Berechnung_final'!#REF!</f>
        <v>#REF!</v>
      </c>
      <c r="P87" s="163" t="e">
        <f>'2020_B4_Berechnung_final'!#REF!</f>
        <v>#REF!</v>
      </c>
      <c r="Q87" s="163" t="e">
        <f>'2020_B4_Berechnung_final'!#REF!</f>
        <v>#REF!</v>
      </c>
    </row>
    <row r="88" spans="1:17" ht="8.25" customHeight="1">
      <c r="A88" s="2">
        <v>4</v>
      </c>
      <c r="B88" s="11" t="s">
        <v>33</v>
      </c>
      <c r="C88" s="157">
        <v>2019</v>
      </c>
      <c r="D88" s="163" t="e">
        <f>'2020_B4_Berechnung_final'!#REF!</f>
        <v>#REF!</v>
      </c>
      <c r="E88" s="163" t="e">
        <f>'2020_B4_Berechnung_final'!#REF!</f>
        <v>#REF!</v>
      </c>
      <c r="F88" s="163" t="e">
        <f>'2020_B4_Berechnung_final'!#REF!</f>
        <v>#REF!</v>
      </c>
      <c r="G88" s="163" t="e">
        <f>'2020_B4_Berechnung_final'!#REF!</f>
        <v>#REF!</v>
      </c>
      <c r="H88" s="163" t="e">
        <f>'2020_B4_Berechnung_final'!#REF!</f>
        <v>#REF!</v>
      </c>
      <c r="I88" s="163" t="e">
        <f>'2020_B4_Berechnung_final'!#REF!</f>
        <v>#REF!</v>
      </c>
      <c r="J88" s="163" t="e">
        <f>'2020_B4_Berechnung_final'!#REF!</f>
        <v>#REF!</v>
      </c>
      <c r="K88" s="163" t="e">
        <f>'2020_B4_Berechnung_final'!#REF!</f>
        <v>#REF!</v>
      </c>
      <c r="L88" s="163" t="e">
        <f>'2020_B4_Berechnung_final'!#REF!</f>
        <v>#REF!</v>
      </c>
      <c r="M88" s="163" t="e">
        <f>'2020_B4_Berechnung_final'!#REF!</f>
        <v>#REF!</v>
      </c>
      <c r="N88" s="163" t="e">
        <f>'2020_B4_Berechnung_final'!#REF!</f>
        <v>#REF!</v>
      </c>
      <c r="O88" s="163" t="e">
        <f>'2020_B4_Berechnung_final'!#REF!</f>
        <v>#REF!</v>
      </c>
      <c r="P88" s="163" t="e">
        <f>'2020_B4_Berechnung_final'!#REF!</f>
        <v>#REF!</v>
      </c>
      <c r="Q88" s="163" t="e">
        <f>'2020_B4_Berechnung_final'!#REF!</f>
        <v>#REF!</v>
      </c>
    </row>
    <row r="89" spans="1:17" s="101" customFormat="1" ht="16.5" customHeight="1">
      <c r="A89" s="32">
        <v>0</v>
      </c>
      <c r="B89" s="125" t="s">
        <v>34</v>
      </c>
      <c r="C89" s="164">
        <v>2019</v>
      </c>
      <c r="D89" s="165" t="e">
        <f>'2020_B4_Berechnung_final'!#REF!</f>
        <v>#REF!</v>
      </c>
      <c r="E89" s="165" t="e">
        <f>'2020_B4_Berechnung_final'!#REF!</f>
        <v>#REF!</v>
      </c>
      <c r="F89" s="165" t="e">
        <f>'2020_B4_Berechnung_final'!#REF!</f>
        <v>#REF!</v>
      </c>
      <c r="G89" s="165" t="e">
        <f>'2020_B4_Berechnung_final'!#REF!</f>
        <v>#REF!</v>
      </c>
      <c r="H89" s="165" t="e">
        <f>'2020_B4_Berechnung_final'!#REF!</f>
        <v>#REF!</v>
      </c>
      <c r="I89" s="165" t="e">
        <f>'2020_B4_Berechnung_final'!#REF!</f>
        <v>#REF!</v>
      </c>
      <c r="J89" s="165" t="e">
        <f>'2020_B4_Berechnung_final'!#REF!</f>
        <v>#REF!</v>
      </c>
      <c r="K89" s="165" t="e">
        <f>'2020_B4_Berechnung_final'!#REF!</f>
        <v>#REF!</v>
      </c>
      <c r="L89" s="165" t="e">
        <f>'2020_B4_Berechnung_final'!#REF!</f>
        <v>#REF!</v>
      </c>
      <c r="M89" s="165" t="e">
        <f>'2020_B4_Berechnung_final'!#REF!</f>
        <v>#REF!</v>
      </c>
      <c r="N89" s="165" t="e">
        <f>'2020_B4_Berechnung_final'!#REF!</f>
        <v>#REF!</v>
      </c>
      <c r="O89" s="165" t="e">
        <f>'2020_B4_Berechnung_final'!#REF!</f>
        <v>#REF!</v>
      </c>
      <c r="P89" s="165" t="e">
        <f>'2020_B4_Berechnung_final'!#REF!</f>
        <v>#REF!</v>
      </c>
      <c r="Q89" s="165" t="e">
        <f>'2020_B4_Berechnung_final'!#REF!</f>
        <v>#REF!</v>
      </c>
    </row>
    <row r="90" spans="1:17" ht="8.25" customHeight="1">
      <c r="A90" s="2">
        <v>1</v>
      </c>
      <c r="B90" s="11" t="s">
        <v>30</v>
      </c>
      <c r="C90" s="157">
        <v>2018</v>
      </c>
      <c r="D90" s="163">
        <v>926</v>
      </c>
      <c r="E90" s="163">
        <v>327</v>
      </c>
      <c r="F90" s="163">
        <v>2369</v>
      </c>
      <c r="G90" s="163">
        <v>247</v>
      </c>
      <c r="H90" s="163">
        <v>1402</v>
      </c>
      <c r="I90" s="163">
        <v>198</v>
      </c>
      <c r="J90" s="163">
        <v>5496</v>
      </c>
      <c r="K90" s="163">
        <v>229</v>
      </c>
      <c r="L90" s="163">
        <v>2866</v>
      </c>
      <c r="M90" s="163">
        <v>216</v>
      </c>
      <c r="N90" s="163">
        <v>311</v>
      </c>
      <c r="O90" s="163">
        <v>40</v>
      </c>
      <c r="P90" s="163">
        <v>13370</v>
      </c>
      <c r="Q90" s="163">
        <v>1257</v>
      </c>
    </row>
    <row r="91" spans="1:17" ht="8.25" customHeight="1">
      <c r="A91" s="2">
        <v>2</v>
      </c>
      <c r="B91" s="11" t="s">
        <v>31</v>
      </c>
      <c r="C91" s="157">
        <v>2018</v>
      </c>
      <c r="D91" s="163">
        <v>877</v>
      </c>
      <c r="E91" s="163">
        <v>388</v>
      </c>
      <c r="F91" s="163">
        <v>2956</v>
      </c>
      <c r="G91" s="163">
        <v>471</v>
      </c>
      <c r="H91" s="163">
        <v>2437</v>
      </c>
      <c r="I91" s="163">
        <v>406</v>
      </c>
      <c r="J91" s="163">
        <v>7927</v>
      </c>
      <c r="K91" s="163">
        <v>346</v>
      </c>
      <c r="L91" s="163">
        <v>3885</v>
      </c>
      <c r="M91" s="163">
        <v>435</v>
      </c>
      <c r="N91" s="163">
        <v>498</v>
      </c>
      <c r="O91" s="163">
        <v>43</v>
      </c>
      <c r="P91" s="163">
        <v>18580</v>
      </c>
      <c r="Q91" s="163">
        <v>2089</v>
      </c>
    </row>
    <row r="92" spans="1:17" ht="8.25" customHeight="1">
      <c r="A92" s="2">
        <v>3</v>
      </c>
      <c r="B92" s="11" t="s">
        <v>32</v>
      </c>
      <c r="C92" s="157">
        <v>2018</v>
      </c>
      <c r="D92" s="163">
        <v>838</v>
      </c>
      <c r="E92" s="163">
        <v>165</v>
      </c>
      <c r="F92" s="163">
        <v>2107</v>
      </c>
      <c r="G92" s="163">
        <v>146</v>
      </c>
      <c r="H92" s="163">
        <v>4997</v>
      </c>
      <c r="I92" s="163">
        <v>546</v>
      </c>
      <c r="J92" s="163">
        <v>6490</v>
      </c>
      <c r="K92" s="163">
        <v>179</v>
      </c>
      <c r="L92" s="163">
        <v>1892</v>
      </c>
      <c r="M92" s="163">
        <v>123</v>
      </c>
      <c r="N92" s="163">
        <v>292</v>
      </c>
      <c r="O92" s="163">
        <v>29</v>
      </c>
      <c r="P92" s="163">
        <v>16616</v>
      </c>
      <c r="Q92" s="163">
        <v>1188</v>
      </c>
    </row>
    <row r="93" spans="1:17" ht="8.25" customHeight="1">
      <c r="A93" s="2">
        <v>4</v>
      </c>
      <c r="B93" s="11" t="s">
        <v>33</v>
      </c>
      <c r="C93" s="157">
        <v>2018</v>
      </c>
      <c r="D93" s="163">
        <v>1230</v>
      </c>
      <c r="E93" s="163">
        <v>325</v>
      </c>
      <c r="F93" s="163">
        <v>2932</v>
      </c>
      <c r="G93" s="163">
        <v>260</v>
      </c>
      <c r="H93" s="163">
        <v>7673</v>
      </c>
      <c r="I93" s="163">
        <v>1064</v>
      </c>
      <c r="J93" s="163">
        <v>8930</v>
      </c>
      <c r="K93" s="163">
        <v>293</v>
      </c>
      <c r="L93" s="163">
        <v>2840</v>
      </c>
      <c r="M93" s="163">
        <v>167</v>
      </c>
      <c r="N93" s="163">
        <v>754</v>
      </c>
      <c r="O93" s="163">
        <v>74</v>
      </c>
      <c r="P93" s="163">
        <v>24359</v>
      </c>
      <c r="Q93" s="163">
        <v>2183</v>
      </c>
    </row>
    <row r="94" spans="1:17" s="101" customFormat="1" ht="16.5" customHeight="1">
      <c r="A94" s="32">
        <v>0</v>
      </c>
      <c r="B94" s="125" t="s">
        <v>34</v>
      </c>
      <c r="C94" s="164">
        <v>2018</v>
      </c>
      <c r="D94" s="165">
        <v>3871</v>
      </c>
      <c r="E94" s="165">
        <v>1205</v>
      </c>
      <c r="F94" s="165">
        <v>10364</v>
      </c>
      <c r="G94" s="165">
        <v>1124</v>
      </c>
      <c r="H94" s="165">
        <v>16509</v>
      </c>
      <c r="I94" s="165">
        <v>2214</v>
      </c>
      <c r="J94" s="165">
        <v>28843</v>
      </c>
      <c r="K94" s="165">
        <v>1047</v>
      </c>
      <c r="L94" s="165">
        <v>11483</v>
      </c>
      <c r="M94" s="165">
        <v>941</v>
      </c>
      <c r="N94" s="165">
        <v>1855</v>
      </c>
      <c r="O94" s="165">
        <v>186</v>
      </c>
      <c r="P94" s="165">
        <v>72925</v>
      </c>
      <c r="Q94" s="165">
        <v>6717</v>
      </c>
    </row>
    <row r="95" spans="1:17" ht="8.25" customHeight="1">
      <c r="A95" s="2">
        <v>1</v>
      </c>
      <c r="B95" s="11" t="s">
        <v>30</v>
      </c>
      <c r="C95" s="157">
        <v>2017</v>
      </c>
      <c r="D95" s="163">
        <v>1003</v>
      </c>
      <c r="E95" s="163">
        <v>295</v>
      </c>
      <c r="F95" s="163">
        <v>2487</v>
      </c>
      <c r="G95" s="163">
        <v>257</v>
      </c>
      <c r="H95" s="163">
        <v>1540</v>
      </c>
      <c r="I95" s="163">
        <v>170</v>
      </c>
      <c r="J95" s="163">
        <v>5394</v>
      </c>
      <c r="K95" s="163">
        <v>250</v>
      </c>
      <c r="L95" s="163">
        <v>2866</v>
      </c>
      <c r="M95" s="163">
        <v>157</v>
      </c>
      <c r="N95" s="163">
        <v>318</v>
      </c>
      <c r="O95" s="163">
        <v>39</v>
      </c>
      <c r="P95" s="163">
        <v>13608</v>
      </c>
      <c r="Q95" s="163">
        <v>1168</v>
      </c>
    </row>
    <row r="96" spans="1:17" ht="8.25" customHeight="1">
      <c r="A96" s="2">
        <v>2</v>
      </c>
      <c r="B96" s="11" t="s">
        <v>31</v>
      </c>
      <c r="C96" s="157">
        <v>2017</v>
      </c>
      <c r="D96" s="163">
        <v>886</v>
      </c>
      <c r="E96" s="163">
        <v>338</v>
      </c>
      <c r="F96" s="163">
        <v>3186</v>
      </c>
      <c r="G96" s="163">
        <v>418</v>
      </c>
      <c r="H96" s="163">
        <v>2257</v>
      </c>
      <c r="I96" s="163">
        <v>379</v>
      </c>
      <c r="J96" s="163">
        <v>7922</v>
      </c>
      <c r="K96" s="163">
        <v>381</v>
      </c>
      <c r="L96" s="163">
        <v>3899</v>
      </c>
      <c r="M96" s="163">
        <v>385</v>
      </c>
      <c r="N96" s="163">
        <v>476</v>
      </c>
      <c r="O96" s="163">
        <v>46</v>
      </c>
      <c r="P96" s="163">
        <v>18626</v>
      </c>
      <c r="Q96" s="163">
        <v>1947</v>
      </c>
    </row>
    <row r="97" spans="1:17" ht="8.25" customHeight="1">
      <c r="A97" s="2">
        <v>3</v>
      </c>
      <c r="B97" s="11" t="s">
        <v>32</v>
      </c>
      <c r="C97" s="157">
        <v>2017</v>
      </c>
      <c r="D97" s="163">
        <v>840</v>
      </c>
      <c r="E97" s="163">
        <v>163</v>
      </c>
      <c r="F97" s="163">
        <v>2174</v>
      </c>
      <c r="G97" s="163">
        <v>138</v>
      </c>
      <c r="H97" s="163">
        <v>4981</v>
      </c>
      <c r="I97" s="163">
        <v>453</v>
      </c>
      <c r="J97" s="163">
        <v>6726</v>
      </c>
      <c r="K97" s="163">
        <v>168</v>
      </c>
      <c r="L97" s="163">
        <v>1816</v>
      </c>
      <c r="M97" s="163">
        <v>89</v>
      </c>
      <c r="N97" s="163">
        <v>289</v>
      </c>
      <c r="O97" s="163">
        <v>20</v>
      </c>
      <c r="P97" s="163">
        <v>16826</v>
      </c>
      <c r="Q97" s="163">
        <v>1031</v>
      </c>
    </row>
    <row r="98" spans="1:17" ht="8.25" customHeight="1">
      <c r="A98" s="2">
        <v>4</v>
      </c>
      <c r="B98" s="11" t="s">
        <v>33</v>
      </c>
      <c r="C98" s="157">
        <v>2017</v>
      </c>
      <c r="D98" s="163">
        <v>1402</v>
      </c>
      <c r="E98" s="163">
        <v>275</v>
      </c>
      <c r="F98" s="163">
        <v>3507</v>
      </c>
      <c r="G98" s="163">
        <v>278</v>
      </c>
      <c r="H98" s="163">
        <v>7439</v>
      </c>
      <c r="I98" s="163">
        <v>956</v>
      </c>
      <c r="J98" s="163">
        <v>8876</v>
      </c>
      <c r="K98" s="163">
        <v>274</v>
      </c>
      <c r="L98" s="163">
        <v>2706</v>
      </c>
      <c r="M98" s="163">
        <v>125</v>
      </c>
      <c r="N98" s="163">
        <v>859</v>
      </c>
      <c r="O98" s="163">
        <v>73</v>
      </c>
      <c r="P98" s="163">
        <v>24789</v>
      </c>
      <c r="Q98" s="163">
        <v>1981</v>
      </c>
    </row>
    <row r="99" spans="1:17" s="101" customFormat="1" ht="16.5" customHeight="1">
      <c r="A99" s="117">
        <v>0</v>
      </c>
      <c r="B99" s="14" t="s">
        <v>34</v>
      </c>
      <c r="C99" s="164">
        <v>2017</v>
      </c>
      <c r="D99" s="165">
        <v>4131</v>
      </c>
      <c r="E99" s="165">
        <v>1071</v>
      </c>
      <c r="F99" s="165">
        <v>11354</v>
      </c>
      <c r="G99" s="165">
        <v>1091</v>
      </c>
      <c r="H99" s="165">
        <v>16217</v>
      </c>
      <c r="I99" s="165">
        <v>1958</v>
      </c>
      <c r="J99" s="165">
        <v>28918</v>
      </c>
      <c r="K99" s="165">
        <v>1073</v>
      </c>
      <c r="L99" s="165">
        <v>11287</v>
      </c>
      <c r="M99" s="165">
        <v>756</v>
      </c>
      <c r="N99" s="165">
        <v>1942</v>
      </c>
      <c r="O99" s="165">
        <v>178</v>
      </c>
      <c r="P99" s="165">
        <v>73849</v>
      </c>
      <c r="Q99" s="165">
        <v>6127</v>
      </c>
    </row>
    <row r="100" spans="1:17" ht="8.25" customHeight="1">
      <c r="A100" s="2">
        <v>1</v>
      </c>
      <c r="B100" s="11" t="s">
        <v>30</v>
      </c>
      <c r="C100" s="87">
        <v>2016</v>
      </c>
      <c r="D100" s="24">
        <v>1160</v>
      </c>
      <c r="E100" s="24">
        <v>265</v>
      </c>
      <c r="F100" s="24">
        <v>2545</v>
      </c>
      <c r="G100" s="24">
        <v>272</v>
      </c>
      <c r="H100" s="24">
        <v>1433</v>
      </c>
      <c r="I100" s="24">
        <v>130</v>
      </c>
      <c r="J100" s="24">
        <v>5404</v>
      </c>
      <c r="K100" s="24">
        <v>218</v>
      </c>
      <c r="L100" s="24">
        <v>2606</v>
      </c>
      <c r="M100" s="24">
        <v>107</v>
      </c>
      <c r="N100" s="24">
        <v>368</v>
      </c>
      <c r="O100" s="24">
        <v>40</v>
      </c>
      <c r="P100" s="24">
        <v>13599</v>
      </c>
      <c r="Q100" s="24">
        <v>1032</v>
      </c>
    </row>
    <row r="101" spans="1:17" ht="8.25" customHeight="1">
      <c r="A101" s="2">
        <v>2</v>
      </c>
      <c r="B101" s="11" t="s">
        <v>31</v>
      </c>
      <c r="C101" s="87">
        <v>2016</v>
      </c>
      <c r="D101" s="24">
        <v>1092</v>
      </c>
      <c r="E101" s="24">
        <v>293</v>
      </c>
      <c r="F101" s="24">
        <v>3486</v>
      </c>
      <c r="G101" s="24">
        <v>404</v>
      </c>
      <c r="H101" s="24">
        <v>2140</v>
      </c>
      <c r="I101" s="24">
        <v>254</v>
      </c>
      <c r="J101" s="24">
        <v>7807</v>
      </c>
      <c r="K101" s="24">
        <v>290</v>
      </c>
      <c r="L101" s="24">
        <v>3437</v>
      </c>
      <c r="M101" s="24">
        <v>281</v>
      </c>
      <c r="N101" s="24">
        <v>591</v>
      </c>
      <c r="O101" s="24">
        <v>50</v>
      </c>
      <c r="P101" s="24">
        <v>18553</v>
      </c>
      <c r="Q101" s="24">
        <v>1572</v>
      </c>
    </row>
    <row r="102" spans="1:17" ht="8.25" customHeight="1">
      <c r="A102" s="2">
        <v>3</v>
      </c>
      <c r="B102" s="11" t="s">
        <v>32</v>
      </c>
      <c r="C102" s="87">
        <v>2016</v>
      </c>
      <c r="D102" s="24">
        <v>1002</v>
      </c>
      <c r="E102" s="24">
        <v>186</v>
      </c>
      <c r="F102" s="24">
        <v>2448</v>
      </c>
      <c r="G102" s="24">
        <v>152</v>
      </c>
      <c r="H102" s="24">
        <v>4872</v>
      </c>
      <c r="I102" s="24">
        <v>356</v>
      </c>
      <c r="J102" s="24">
        <v>6375</v>
      </c>
      <c r="K102" s="24">
        <v>147</v>
      </c>
      <c r="L102" s="24">
        <v>1610</v>
      </c>
      <c r="M102" s="24">
        <v>45</v>
      </c>
      <c r="N102" s="24">
        <v>330</v>
      </c>
      <c r="O102" s="24">
        <v>25</v>
      </c>
      <c r="P102" s="24">
        <v>16637</v>
      </c>
      <c r="Q102" s="24">
        <v>911</v>
      </c>
    </row>
    <row r="103" spans="1:17" ht="8.25" customHeight="1">
      <c r="A103" s="2">
        <v>4</v>
      </c>
      <c r="B103" s="11" t="s">
        <v>33</v>
      </c>
      <c r="C103" s="87">
        <v>2016</v>
      </c>
      <c r="D103" s="24">
        <v>1732</v>
      </c>
      <c r="E103" s="24">
        <v>322</v>
      </c>
      <c r="F103" s="24">
        <v>4151</v>
      </c>
      <c r="G103" s="24">
        <v>279</v>
      </c>
      <c r="H103" s="24">
        <v>6651</v>
      </c>
      <c r="I103" s="24">
        <v>675</v>
      </c>
      <c r="J103" s="24">
        <v>8696</v>
      </c>
      <c r="K103" s="24">
        <v>228</v>
      </c>
      <c r="L103" s="24">
        <v>2489</v>
      </c>
      <c r="M103" s="24">
        <v>114</v>
      </c>
      <c r="N103" s="24">
        <v>954</v>
      </c>
      <c r="O103" s="24">
        <v>70</v>
      </c>
      <c r="P103" s="24">
        <v>24673</v>
      </c>
      <c r="Q103" s="24">
        <v>1688</v>
      </c>
    </row>
    <row r="104" spans="1:17" s="101" customFormat="1" ht="16.5" customHeight="1">
      <c r="A104" s="32">
        <v>0</v>
      </c>
      <c r="B104" s="125" t="s">
        <v>34</v>
      </c>
      <c r="C104" s="100">
        <v>2016</v>
      </c>
      <c r="D104" s="37">
        <v>4986</v>
      </c>
      <c r="E104" s="37">
        <v>1066</v>
      </c>
      <c r="F104" s="37">
        <v>12630</v>
      </c>
      <c r="G104" s="37">
        <v>1107</v>
      </c>
      <c r="H104" s="37">
        <v>15096</v>
      </c>
      <c r="I104" s="37">
        <v>1415</v>
      </c>
      <c r="J104" s="37">
        <v>28365</v>
      </c>
      <c r="K104" s="37">
        <v>883</v>
      </c>
      <c r="L104" s="37">
        <v>10142</v>
      </c>
      <c r="M104" s="37">
        <v>547</v>
      </c>
      <c r="N104" s="37">
        <v>2243</v>
      </c>
      <c r="O104" s="37">
        <v>185</v>
      </c>
      <c r="P104" s="37">
        <v>73462</v>
      </c>
      <c r="Q104" s="37">
        <v>5203</v>
      </c>
    </row>
    <row r="105" spans="1:17" ht="8.25" customHeight="1">
      <c r="A105" s="2">
        <v>1</v>
      </c>
      <c r="B105" s="11" t="s">
        <v>30</v>
      </c>
      <c r="C105" s="87">
        <v>2015</v>
      </c>
      <c r="D105" s="24">
        <v>1215</v>
      </c>
      <c r="E105" s="24">
        <v>223</v>
      </c>
      <c r="F105" s="24">
        <v>2856</v>
      </c>
      <c r="G105" s="24">
        <v>209</v>
      </c>
      <c r="H105" s="24">
        <v>1421</v>
      </c>
      <c r="I105" s="24">
        <v>77</v>
      </c>
      <c r="J105" s="24">
        <v>5394</v>
      </c>
      <c r="K105" s="24">
        <v>250</v>
      </c>
      <c r="L105" s="24">
        <v>2591</v>
      </c>
      <c r="M105" s="24">
        <v>118</v>
      </c>
      <c r="N105" s="24">
        <v>463</v>
      </c>
      <c r="O105" s="24">
        <v>54</v>
      </c>
      <c r="P105" s="24">
        <v>13979</v>
      </c>
      <c r="Q105" s="24">
        <v>828</v>
      </c>
    </row>
    <row r="106" spans="1:17" ht="8.25" customHeight="1">
      <c r="A106" s="2">
        <v>2</v>
      </c>
      <c r="B106" s="11" t="s">
        <v>31</v>
      </c>
      <c r="C106" s="87">
        <v>2015</v>
      </c>
      <c r="D106" s="24">
        <v>1225</v>
      </c>
      <c r="E106" s="24">
        <v>309</v>
      </c>
      <c r="F106" s="24">
        <v>3782</v>
      </c>
      <c r="G106" s="24">
        <v>359</v>
      </c>
      <c r="H106" s="24">
        <v>2152</v>
      </c>
      <c r="I106" s="24">
        <v>219</v>
      </c>
      <c r="J106" s="24">
        <v>7832</v>
      </c>
      <c r="K106" s="24">
        <v>287</v>
      </c>
      <c r="L106" s="24">
        <v>3205</v>
      </c>
      <c r="M106" s="24">
        <v>291</v>
      </c>
      <c r="N106" s="24">
        <v>595</v>
      </c>
      <c r="O106" s="24">
        <v>61</v>
      </c>
      <c r="P106" s="24">
        <v>18791</v>
      </c>
      <c r="Q106" s="24">
        <v>1526</v>
      </c>
    </row>
    <row r="107" spans="1:17" ht="8.25" customHeight="1">
      <c r="A107" s="2">
        <v>3</v>
      </c>
      <c r="B107" s="11" t="s">
        <v>32</v>
      </c>
      <c r="C107" s="87">
        <v>2015</v>
      </c>
      <c r="D107" s="24">
        <v>1117</v>
      </c>
      <c r="E107" s="24">
        <v>191</v>
      </c>
      <c r="F107" s="24">
        <v>2824</v>
      </c>
      <c r="G107" s="24">
        <v>106</v>
      </c>
      <c r="H107" s="24">
        <v>4759</v>
      </c>
      <c r="I107" s="24">
        <v>257</v>
      </c>
      <c r="J107" s="24">
        <v>6581</v>
      </c>
      <c r="K107" s="24">
        <v>97</v>
      </c>
      <c r="L107" s="24">
        <v>1499</v>
      </c>
      <c r="M107" s="24">
        <v>45</v>
      </c>
      <c r="N107" s="24">
        <v>431</v>
      </c>
      <c r="O107" s="24">
        <v>34</v>
      </c>
      <c r="P107" s="24">
        <v>17211</v>
      </c>
      <c r="Q107" s="24">
        <v>730</v>
      </c>
    </row>
    <row r="108" spans="1:17" ht="8.25" customHeight="1">
      <c r="A108" s="2">
        <v>4</v>
      </c>
      <c r="B108" s="11" t="s">
        <v>33</v>
      </c>
      <c r="C108" s="87">
        <v>2015</v>
      </c>
      <c r="D108" s="24">
        <v>2110</v>
      </c>
      <c r="E108" s="24">
        <v>343</v>
      </c>
      <c r="F108" s="24">
        <v>4786</v>
      </c>
      <c r="G108" s="24">
        <v>244</v>
      </c>
      <c r="H108" s="24">
        <v>6198</v>
      </c>
      <c r="I108" s="24">
        <v>459</v>
      </c>
      <c r="J108" s="24">
        <v>8818</v>
      </c>
      <c r="K108" s="24">
        <v>195</v>
      </c>
      <c r="L108" s="24">
        <v>2723</v>
      </c>
      <c r="M108" s="24">
        <v>75</v>
      </c>
      <c r="N108" s="24">
        <v>1087</v>
      </c>
      <c r="O108" s="24">
        <v>79</v>
      </c>
      <c r="P108" s="24">
        <v>25722</v>
      </c>
      <c r="Q108" s="24">
        <v>1395</v>
      </c>
    </row>
    <row r="109" spans="1:17" s="101" customFormat="1" ht="16.5" customHeight="1">
      <c r="A109" s="32">
        <v>0</v>
      </c>
      <c r="B109" s="125" t="s">
        <v>34</v>
      </c>
      <c r="C109" s="100">
        <v>2015</v>
      </c>
      <c r="D109" s="37">
        <v>5667</v>
      </c>
      <c r="E109" s="37">
        <v>1066</v>
      </c>
      <c r="F109" s="37">
        <v>14248</v>
      </c>
      <c r="G109" s="37">
        <v>918</v>
      </c>
      <c r="H109" s="37">
        <v>14530</v>
      </c>
      <c r="I109" s="37">
        <v>1012</v>
      </c>
      <c r="J109" s="37">
        <v>28664</v>
      </c>
      <c r="K109" s="37">
        <v>726</v>
      </c>
      <c r="L109" s="37">
        <v>10018</v>
      </c>
      <c r="M109" s="37">
        <v>529</v>
      </c>
      <c r="N109" s="37">
        <v>2576</v>
      </c>
      <c r="O109" s="37">
        <v>228</v>
      </c>
      <c r="P109" s="37">
        <v>75703</v>
      </c>
      <c r="Q109" s="37">
        <v>4479</v>
      </c>
    </row>
    <row r="110" spans="1:17" ht="8.25" customHeight="1">
      <c r="A110" s="2">
        <v>1</v>
      </c>
      <c r="B110" s="11" t="s">
        <v>30</v>
      </c>
      <c r="C110" s="12">
        <v>2014</v>
      </c>
      <c r="D110" s="24">
        <v>1525</v>
      </c>
      <c r="E110" s="24">
        <v>238</v>
      </c>
      <c r="F110" s="24">
        <v>3550</v>
      </c>
      <c r="G110" s="24">
        <v>234</v>
      </c>
      <c r="H110" s="24">
        <v>1011</v>
      </c>
      <c r="I110" s="24">
        <v>36</v>
      </c>
      <c r="J110" s="24">
        <v>5718</v>
      </c>
      <c r="K110" s="24">
        <v>165</v>
      </c>
      <c r="L110" s="24">
        <v>2354</v>
      </c>
      <c r="M110" s="24">
        <v>91</v>
      </c>
      <c r="N110" s="24">
        <v>484</v>
      </c>
      <c r="O110" s="24">
        <v>43</v>
      </c>
      <c r="P110" s="24">
        <v>14642</v>
      </c>
      <c r="Q110" s="24">
        <v>807</v>
      </c>
    </row>
    <row r="111" spans="1:17" ht="8.25" customHeight="1">
      <c r="A111" s="2">
        <v>2</v>
      </c>
      <c r="B111" s="11" t="s">
        <v>31</v>
      </c>
      <c r="C111" s="12">
        <v>2014</v>
      </c>
      <c r="D111" s="24">
        <v>1639</v>
      </c>
      <c r="E111" s="24">
        <v>310</v>
      </c>
      <c r="F111" s="24">
        <v>4372</v>
      </c>
      <c r="G111" s="24">
        <v>393</v>
      </c>
      <c r="H111" s="24">
        <v>1507</v>
      </c>
      <c r="I111" s="24">
        <v>126</v>
      </c>
      <c r="J111" s="24">
        <v>7851</v>
      </c>
      <c r="K111" s="24">
        <v>274</v>
      </c>
      <c r="L111" s="24">
        <v>3242</v>
      </c>
      <c r="M111" s="24">
        <v>258</v>
      </c>
      <c r="N111" s="24">
        <v>700</v>
      </c>
      <c r="O111" s="24">
        <v>109</v>
      </c>
      <c r="P111" s="24">
        <v>19311</v>
      </c>
      <c r="Q111" s="24">
        <v>1470</v>
      </c>
    </row>
    <row r="112" spans="1:17" ht="8.25" customHeight="1">
      <c r="A112" s="2">
        <v>3</v>
      </c>
      <c r="B112" s="11" t="s">
        <v>32</v>
      </c>
      <c r="C112" s="12">
        <v>2014</v>
      </c>
      <c r="D112" s="24">
        <v>1893</v>
      </c>
      <c r="E112" s="24">
        <v>233</v>
      </c>
      <c r="F112" s="24">
        <v>4787</v>
      </c>
      <c r="G112" s="24">
        <v>163</v>
      </c>
      <c r="H112" s="24">
        <v>2990</v>
      </c>
      <c r="I112" s="24">
        <v>120</v>
      </c>
      <c r="J112" s="24">
        <v>6681</v>
      </c>
      <c r="K112" s="24">
        <v>117</v>
      </c>
      <c r="L112" s="24">
        <v>1084</v>
      </c>
      <c r="M112" s="24">
        <v>34</v>
      </c>
      <c r="N112" s="24">
        <v>520</v>
      </c>
      <c r="O112" s="24">
        <v>57</v>
      </c>
      <c r="P112" s="24">
        <v>17955</v>
      </c>
      <c r="Q112" s="24">
        <v>724</v>
      </c>
    </row>
    <row r="113" spans="1:17" ht="8.25" customHeight="1">
      <c r="A113" s="2">
        <v>4</v>
      </c>
      <c r="B113" s="11" t="s">
        <v>33</v>
      </c>
      <c r="C113" s="12">
        <v>2014</v>
      </c>
      <c r="D113" s="24">
        <v>2855</v>
      </c>
      <c r="E113" s="24">
        <v>411</v>
      </c>
      <c r="F113" s="24">
        <v>6470</v>
      </c>
      <c r="G113" s="24">
        <v>351</v>
      </c>
      <c r="H113" s="24">
        <v>4094</v>
      </c>
      <c r="I113" s="24">
        <v>218</v>
      </c>
      <c r="J113" s="24">
        <v>8859</v>
      </c>
      <c r="K113" s="24">
        <v>217</v>
      </c>
      <c r="L113" s="24">
        <v>2686</v>
      </c>
      <c r="M113" s="24">
        <v>67</v>
      </c>
      <c r="N113" s="24">
        <v>1223</v>
      </c>
      <c r="O113" s="24">
        <v>109</v>
      </c>
      <c r="P113" s="24">
        <v>26187</v>
      </c>
      <c r="Q113" s="24">
        <v>1373</v>
      </c>
    </row>
    <row r="114" spans="1:17" s="101" customFormat="1" ht="16.5" customHeight="1">
      <c r="A114" s="32">
        <v>0</v>
      </c>
      <c r="B114" s="125" t="s">
        <v>34</v>
      </c>
      <c r="C114" s="15">
        <v>2014</v>
      </c>
      <c r="D114" s="94">
        <v>7912</v>
      </c>
      <c r="E114" s="94">
        <v>1192</v>
      </c>
      <c r="F114" s="94">
        <v>19179</v>
      </c>
      <c r="G114" s="94">
        <v>1141</v>
      </c>
      <c r="H114" s="94">
        <v>9602</v>
      </c>
      <c r="I114" s="94">
        <v>500</v>
      </c>
      <c r="J114" s="94">
        <v>29109</v>
      </c>
      <c r="K114" s="94">
        <v>773</v>
      </c>
      <c r="L114" s="94">
        <v>9366</v>
      </c>
      <c r="M114" s="94">
        <v>450</v>
      </c>
      <c r="N114" s="94">
        <v>2927</v>
      </c>
      <c r="O114" s="94">
        <v>318</v>
      </c>
      <c r="P114" s="94">
        <v>78095</v>
      </c>
      <c r="Q114" s="94">
        <v>4374</v>
      </c>
    </row>
    <row r="115" spans="1:17" ht="8.25" customHeight="1">
      <c r="A115" s="2">
        <v>1</v>
      </c>
      <c r="B115" s="11" t="s">
        <v>30</v>
      </c>
      <c r="C115" s="15">
        <v>2013</v>
      </c>
      <c r="D115" s="94">
        <v>1855</v>
      </c>
      <c r="E115" s="94">
        <v>261</v>
      </c>
      <c r="F115" s="94">
        <v>4394</v>
      </c>
      <c r="G115" s="94">
        <v>367</v>
      </c>
      <c r="H115" s="94" t="s">
        <v>35</v>
      </c>
      <c r="I115" s="94" t="s">
        <v>35</v>
      </c>
      <c r="J115" s="94">
        <v>5993</v>
      </c>
      <c r="K115" s="94">
        <v>164</v>
      </c>
      <c r="L115" s="94">
        <v>2461</v>
      </c>
      <c r="M115" s="94">
        <v>80</v>
      </c>
      <c r="N115" s="94">
        <v>523</v>
      </c>
      <c r="O115" s="94">
        <v>71</v>
      </c>
      <c r="P115" s="94">
        <v>15226</v>
      </c>
      <c r="Q115" s="94">
        <v>943</v>
      </c>
    </row>
    <row r="116" spans="1:17" ht="8.25" customHeight="1">
      <c r="A116" s="2">
        <v>2</v>
      </c>
      <c r="B116" s="11" t="s">
        <v>31</v>
      </c>
      <c r="C116" s="15">
        <v>2013</v>
      </c>
      <c r="D116" s="94">
        <v>2273</v>
      </c>
      <c r="E116" s="94">
        <v>431</v>
      </c>
      <c r="F116" s="94">
        <v>5719</v>
      </c>
      <c r="G116" s="94">
        <v>523</v>
      </c>
      <c r="H116" s="94" t="s">
        <v>35</v>
      </c>
      <c r="I116" s="94" t="s">
        <v>35</v>
      </c>
      <c r="J116" s="94">
        <v>8151</v>
      </c>
      <c r="K116" s="94">
        <v>360</v>
      </c>
      <c r="L116" s="94">
        <v>3160</v>
      </c>
      <c r="M116" s="94">
        <v>249</v>
      </c>
      <c r="N116" s="94">
        <v>715</v>
      </c>
      <c r="O116" s="94">
        <v>109</v>
      </c>
      <c r="P116" s="94">
        <v>20018</v>
      </c>
      <c r="Q116" s="94">
        <v>1672</v>
      </c>
    </row>
    <row r="117" spans="1:17" ht="8.25" customHeight="1">
      <c r="A117" s="2">
        <v>3</v>
      </c>
      <c r="B117" s="11" t="s">
        <v>32</v>
      </c>
      <c r="C117" s="15">
        <v>2013</v>
      </c>
      <c r="D117" s="94">
        <v>2971</v>
      </c>
      <c r="E117" s="94">
        <v>287</v>
      </c>
      <c r="F117" s="94">
        <v>7449</v>
      </c>
      <c r="G117" s="94">
        <v>233</v>
      </c>
      <c r="H117" s="94" t="s">
        <v>35</v>
      </c>
      <c r="I117" s="94" t="s">
        <v>35</v>
      </c>
      <c r="J117" s="94">
        <v>7043</v>
      </c>
      <c r="K117" s="94">
        <v>95</v>
      </c>
      <c r="L117" s="94">
        <v>811</v>
      </c>
      <c r="M117" s="94">
        <v>14</v>
      </c>
      <c r="N117" s="94">
        <v>501</v>
      </c>
      <c r="O117" s="94">
        <v>48</v>
      </c>
      <c r="P117" s="94">
        <v>18775</v>
      </c>
      <c r="Q117" s="94">
        <v>677</v>
      </c>
    </row>
    <row r="118" spans="1:17" ht="8.25" customHeight="1">
      <c r="A118" s="2">
        <v>4</v>
      </c>
      <c r="B118" s="11" t="s">
        <v>33</v>
      </c>
      <c r="C118" s="15">
        <v>2013</v>
      </c>
      <c r="D118" s="94">
        <v>4624</v>
      </c>
      <c r="E118" s="94">
        <v>491</v>
      </c>
      <c r="F118" s="94">
        <v>10212</v>
      </c>
      <c r="G118" s="94">
        <v>470</v>
      </c>
      <c r="H118" s="94" t="s">
        <v>35</v>
      </c>
      <c r="I118" s="94" t="s">
        <v>35</v>
      </c>
      <c r="J118" s="94">
        <v>9149</v>
      </c>
      <c r="K118" s="94">
        <v>218</v>
      </c>
      <c r="L118" s="94">
        <v>2505</v>
      </c>
      <c r="M118" s="94">
        <v>46</v>
      </c>
      <c r="N118" s="94">
        <v>1242</v>
      </c>
      <c r="O118" s="94">
        <v>117</v>
      </c>
      <c r="P118" s="94">
        <v>27732</v>
      </c>
      <c r="Q118" s="94">
        <v>1342</v>
      </c>
    </row>
    <row r="119" spans="1:17" s="101" customFormat="1" ht="16.5" customHeight="1">
      <c r="A119" s="32">
        <v>0</v>
      </c>
      <c r="B119" s="125" t="s">
        <v>34</v>
      </c>
      <c r="C119" s="15">
        <v>2013</v>
      </c>
      <c r="D119" s="94">
        <v>11723</v>
      </c>
      <c r="E119" s="94">
        <v>1470</v>
      </c>
      <c r="F119" s="94">
        <v>27774</v>
      </c>
      <c r="G119" s="94">
        <v>1593</v>
      </c>
      <c r="H119" s="94" t="s">
        <v>35</v>
      </c>
      <c r="I119" s="94" t="s">
        <v>35</v>
      </c>
      <c r="J119" s="94">
        <v>30336</v>
      </c>
      <c r="K119" s="94">
        <v>837</v>
      </c>
      <c r="L119" s="94">
        <v>8937</v>
      </c>
      <c r="M119" s="94">
        <v>389</v>
      </c>
      <c r="N119" s="94">
        <v>2981</v>
      </c>
      <c r="O119" s="94">
        <v>345</v>
      </c>
      <c r="P119" s="94">
        <v>81751</v>
      </c>
      <c r="Q119" s="94">
        <v>4634</v>
      </c>
    </row>
    <row r="120" spans="1:17" ht="8.25" customHeight="1">
      <c r="A120" s="2">
        <v>1</v>
      </c>
      <c r="B120" s="11" t="s">
        <v>30</v>
      </c>
      <c r="C120" s="12">
        <v>2012</v>
      </c>
      <c r="D120" s="24">
        <v>2108</v>
      </c>
      <c r="E120" s="24">
        <v>303</v>
      </c>
      <c r="F120" s="24">
        <v>4822</v>
      </c>
      <c r="G120" s="24">
        <v>371</v>
      </c>
      <c r="H120" s="119" t="s">
        <v>35</v>
      </c>
      <c r="I120" s="119" t="s">
        <v>35</v>
      </c>
      <c r="J120" s="24">
        <v>6135</v>
      </c>
      <c r="K120" s="24">
        <v>179</v>
      </c>
      <c r="L120" s="24">
        <v>1668</v>
      </c>
      <c r="M120" s="24">
        <v>95</v>
      </c>
      <c r="N120" s="24">
        <v>546</v>
      </c>
      <c r="O120" s="24">
        <v>80</v>
      </c>
      <c r="P120" s="24">
        <v>15279</v>
      </c>
      <c r="Q120" s="24">
        <v>1028</v>
      </c>
    </row>
    <row r="121" spans="1:17" ht="8.25" customHeight="1">
      <c r="A121" s="2">
        <v>2</v>
      </c>
      <c r="B121" s="11" t="s">
        <v>31</v>
      </c>
      <c r="C121" s="12">
        <v>2012</v>
      </c>
      <c r="D121" s="24">
        <v>2454</v>
      </c>
      <c r="E121" s="24">
        <v>469</v>
      </c>
      <c r="F121" s="24">
        <v>6253</v>
      </c>
      <c r="G121" s="24">
        <v>617</v>
      </c>
      <c r="H121" s="119" t="s">
        <v>35</v>
      </c>
      <c r="I121" s="119" t="s">
        <v>35</v>
      </c>
      <c r="J121" s="24">
        <v>8408</v>
      </c>
      <c r="K121" s="24">
        <v>407</v>
      </c>
      <c r="L121" s="24">
        <v>2629</v>
      </c>
      <c r="M121" s="24">
        <v>244</v>
      </c>
      <c r="N121" s="24">
        <v>814</v>
      </c>
      <c r="O121" s="24">
        <v>165</v>
      </c>
      <c r="P121" s="24">
        <v>20558</v>
      </c>
      <c r="Q121" s="24">
        <v>1902</v>
      </c>
    </row>
    <row r="122" spans="1:17" ht="8.25" customHeight="1">
      <c r="A122" s="2">
        <v>3</v>
      </c>
      <c r="B122" s="11" t="s">
        <v>32</v>
      </c>
      <c r="C122" s="12">
        <v>2012</v>
      </c>
      <c r="D122" s="24">
        <v>3067</v>
      </c>
      <c r="E122" s="24">
        <v>326</v>
      </c>
      <c r="F122" s="24">
        <v>7418</v>
      </c>
      <c r="G122" s="24">
        <v>258</v>
      </c>
      <c r="H122" s="119" t="s">
        <v>35</v>
      </c>
      <c r="I122" s="119" t="s">
        <v>35</v>
      </c>
      <c r="J122" s="24">
        <v>7321</v>
      </c>
      <c r="K122" s="24">
        <v>117</v>
      </c>
      <c r="L122" s="24">
        <v>540</v>
      </c>
      <c r="M122" s="24">
        <v>7</v>
      </c>
      <c r="N122" s="24">
        <v>570</v>
      </c>
      <c r="O122" s="24">
        <v>64</v>
      </c>
      <c r="P122" s="24">
        <v>18916</v>
      </c>
      <c r="Q122" s="24">
        <v>772</v>
      </c>
    </row>
    <row r="123" spans="1:17" ht="8.25" customHeight="1">
      <c r="A123" s="2">
        <v>4</v>
      </c>
      <c r="B123" s="11" t="s">
        <v>33</v>
      </c>
      <c r="C123" s="12">
        <v>2012</v>
      </c>
      <c r="D123" s="24">
        <v>5026</v>
      </c>
      <c r="E123" s="24">
        <v>558</v>
      </c>
      <c r="F123" s="24">
        <v>10652</v>
      </c>
      <c r="G123" s="24">
        <v>507</v>
      </c>
      <c r="H123" s="119" t="s">
        <v>35</v>
      </c>
      <c r="I123" s="119" t="s">
        <v>35</v>
      </c>
      <c r="J123" s="24">
        <v>9324</v>
      </c>
      <c r="K123" s="24">
        <v>202</v>
      </c>
      <c r="L123" s="24">
        <v>1762</v>
      </c>
      <c r="M123" s="24">
        <v>26</v>
      </c>
      <c r="N123" s="24">
        <v>1212</v>
      </c>
      <c r="O123" s="24">
        <v>135</v>
      </c>
      <c r="P123" s="24">
        <v>27976</v>
      </c>
      <c r="Q123" s="24">
        <v>1428</v>
      </c>
    </row>
    <row r="124" spans="1:17" s="101" customFormat="1" ht="16.5" customHeight="1">
      <c r="A124" s="32">
        <v>0</v>
      </c>
      <c r="B124" s="125" t="s">
        <v>34</v>
      </c>
      <c r="C124" s="15">
        <v>2012</v>
      </c>
      <c r="D124" s="94">
        <v>12655</v>
      </c>
      <c r="E124" s="94">
        <v>1656</v>
      </c>
      <c r="F124" s="94">
        <v>29145</v>
      </c>
      <c r="G124" s="94">
        <v>1753</v>
      </c>
      <c r="H124" s="120" t="s">
        <v>35</v>
      </c>
      <c r="I124" s="120" t="s">
        <v>35</v>
      </c>
      <c r="J124" s="94">
        <v>31188</v>
      </c>
      <c r="K124" s="94">
        <v>905</v>
      </c>
      <c r="L124" s="94">
        <v>6599</v>
      </c>
      <c r="M124" s="94">
        <v>372</v>
      </c>
      <c r="N124" s="94">
        <v>3142</v>
      </c>
      <c r="O124" s="94">
        <v>444</v>
      </c>
      <c r="P124" s="94">
        <v>82729</v>
      </c>
      <c r="Q124" s="94">
        <v>5130</v>
      </c>
    </row>
    <row r="125" spans="1:17" ht="8.25" customHeight="1">
      <c r="A125" s="2">
        <v>1</v>
      </c>
      <c r="B125" s="11" t="s">
        <v>30</v>
      </c>
      <c r="C125" s="15">
        <v>2011</v>
      </c>
      <c r="D125" s="24">
        <v>2267</v>
      </c>
      <c r="E125" s="24">
        <v>328</v>
      </c>
      <c r="F125" s="24">
        <v>5244</v>
      </c>
      <c r="G125" s="24">
        <v>636</v>
      </c>
      <c r="H125" s="121" t="s">
        <v>35</v>
      </c>
      <c r="I125" s="122" t="s">
        <v>35</v>
      </c>
      <c r="J125" s="24">
        <v>6279</v>
      </c>
      <c r="K125" s="24">
        <v>189</v>
      </c>
      <c r="L125" s="24">
        <v>1205</v>
      </c>
      <c r="M125" s="24">
        <v>66</v>
      </c>
      <c r="N125" s="24">
        <v>520</v>
      </c>
      <c r="O125" s="24">
        <v>105</v>
      </c>
      <c r="P125" s="24">
        <v>15948</v>
      </c>
      <c r="Q125" s="24">
        <v>1087</v>
      </c>
    </row>
    <row r="126" spans="1:17" ht="8.25" customHeight="1">
      <c r="A126" s="2">
        <v>2</v>
      </c>
      <c r="B126" s="11" t="s">
        <v>31</v>
      </c>
      <c r="C126" s="15">
        <v>2011</v>
      </c>
      <c r="D126" s="24">
        <v>2749</v>
      </c>
      <c r="E126" s="24">
        <v>497</v>
      </c>
      <c r="F126" s="24">
        <v>7156</v>
      </c>
      <c r="G126" s="24">
        <v>667</v>
      </c>
      <c r="H126" s="121" t="s">
        <v>35</v>
      </c>
      <c r="I126" s="122" t="s">
        <v>35</v>
      </c>
      <c r="J126" s="24">
        <v>8736</v>
      </c>
      <c r="K126" s="24">
        <v>443</v>
      </c>
      <c r="L126" s="24">
        <v>1658</v>
      </c>
      <c r="M126" s="24">
        <v>185</v>
      </c>
      <c r="N126" s="24">
        <v>848</v>
      </c>
      <c r="O126" s="24">
        <v>196</v>
      </c>
      <c r="P126" s="24">
        <v>21147</v>
      </c>
      <c r="Q126" s="24">
        <v>1988</v>
      </c>
    </row>
    <row r="127" spans="1:17" ht="8.25" customHeight="1">
      <c r="A127" s="2">
        <v>3</v>
      </c>
      <c r="B127" s="11" t="s">
        <v>32</v>
      </c>
      <c r="C127" s="15">
        <v>2011</v>
      </c>
      <c r="D127" s="24">
        <v>3460</v>
      </c>
      <c r="E127" s="24">
        <v>351</v>
      </c>
      <c r="F127" s="24">
        <v>7851</v>
      </c>
      <c r="G127" s="24">
        <v>288</v>
      </c>
      <c r="H127" s="121" t="s">
        <v>35</v>
      </c>
      <c r="I127" s="122" t="s">
        <v>35</v>
      </c>
      <c r="J127" s="24">
        <v>7580</v>
      </c>
      <c r="K127" s="24">
        <v>138</v>
      </c>
      <c r="L127" s="24">
        <v>383</v>
      </c>
      <c r="M127" s="24">
        <v>1</v>
      </c>
      <c r="N127" s="24">
        <v>609</v>
      </c>
      <c r="O127" s="24">
        <v>84</v>
      </c>
      <c r="P127" s="24">
        <v>19883</v>
      </c>
      <c r="Q127" s="24">
        <v>862</v>
      </c>
    </row>
    <row r="128" spans="1:17" ht="8.25" customHeight="1">
      <c r="A128" s="2">
        <v>4</v>
      </c>
      <c r="B128" s="11" t="s">
        <v>33</v>
      </c>
      <c r="C128" s="15">
        <v>2011</v>
      </c>
      <c r="D128" s="24">
        <v>5474</v>
      </c>
      <c r="E128" s="24">
        <v>613</v>
      </c>
      <c r="F128" s="24">
        <v>11289</v>
      </c>
      <c r="G128" s="24">
        <v>537</v>
      </c>
      <c r="H128" s="121" t="s">
        <v>35</v>
      </c>
      <c r="I128" s="122" t="s">
        <v>35</v>
      </c>
      <c r="J128" s="24">
        <v>9755</v>
      </c>
      <c r="K128" s="24">
        <v>243</v>
      </c>
      <c r="L128" s="24">
        <v>1435</v>
      </c>
      <c r="M128" s="24">
        <v>21</v>
      </c>
      <c r="N128" s="24">
        <v>1225</v>
      </c>
      <c r="O128" s="24">
        <v>151</v>
      </c>
      <c r="P128" s="24">
        <v>29178</v>
      </c>
      <c r="Q128" s="24">
        <v>1565</v>
      </c>
    </row>
    <row r="129" spans="1:17" s="101" customFormat="1" ht="16.5" customHeight="1">
      <c r="A129" s="32">
        <v>0</v>
      </c>
      <c r="B129" s="125" t="s">
        <v>34</v>
      </c>
      <c r="C129" s="15">
        <v>2011</v>
      </c>
      <c r="D129" s="102">
        <v>13950</v>
      </c>
      <c r="E129" s="37">
        <v>1789</v>
      </c>
      <c r="F129" s="102">
        <f>SUM(F125:F128)</f>
        <v>31540</v>
      </c>
      <c r="G129" s="37">
        <f>SUM(G125:G128)</f>
        <v>2128</v>
      </c>
      <c r="H129" s="123" t="s">
        <v>35</v>
      </c>
      <c r="I129" s="124" t="s">
        <v>35</v>
      </c>
      <c r="J129" s="102">
        <v>32546</v>
      </c>
      <c r="K129" s="37">
        <v>1013</v>
      </c>
      <c r="L129" s="102">
        <v>4681</v>
      </c>
      <c r="M129" s="37">
        <v>273</v>
      </c>
      <c r="N129" s="102">
        <v>3202</v>
      </c>
      <c r="O129" s="102">
        <v>536</v>
      </c>
      <c r="P129" s="37">
        <v>86156</v>
      </c>
      <c r="Q129" s="37">
        <v>5502</v>
      </c>
    </row>
    <row r="130" spans="1:17" ht="8.25" customHeight="1">
      <c r="A130" s="2">
        <v>1</v>
      </c>
      <c r="B130" s="11" t="s">
        <v>30</v>
      </c>
      <c r="C130" s="12">
        <v>2010</v>
      </c>
      <c r="D130" s="24">
        <v>2369</v>
      </c>
      <c r="E130" s="24">
        <v>378</v>
      </c>
      <c r="F130" s="24">
        <v>5306</v>
      </c>
      <c r="G130" s="24">
        <v>391</v>
      </c>
      <c r="H130" s="119" t="s">
        <v>35</v>
      </c>
      <c r="I130" s="119" t="s">
        <v>35</v>
      </c>
      <c r="J130" s="24">
        <v>6860</v>
      </c>
      <c r="K130" s="24">
        <v>210</v>
      </c>
      <c r="L130" s="24">
        <v>1185</v>
      </c>
      <c r="M130" s="24">
        <v>61</v>
      </c>
      <c r="N130" s="24">
        <v>531</v>
      </c>
      <c r="O130" s="24">
        <v>107</v>
      </c>
      <c r="P130" s="24">
        <v>16251</v>
      </c>
      <c r="Q130" s="24">
        <v>1147</v>
      </c>
    </row>
    <row r="131" spans="1:17" ht="8.25" customHeight="1">
      <c r="A131" s="2">
        <v>2</v>
      </c>
      <c r="B131" s="11" t="s">
        <v>31</v>
      </c>
      <c r="C131" s="12">
        <v>2010</v>
      </c>
      <c r="D131" s="24">
        <v>2775</v>
      </c>
      <c r="E131" s="24">
        <v>538</v>
      </c>
      <c r="F131" s="24">
        <v>6804</v>
      </c>
      <c r="G131" s="24">
        <v>684</v>
      </c>
      <c r="H131" s="119" t="s">
        <v>35</v>
      </c>
      <c r="I131" s="119" t="s">
        <v>35</v>
      </c>
      <c r="J131" s="24">
        <v>9063</v>
      </c>
      <c r="K131" s="24">
        <v>411</v>
      </c>
      <c r="L131" s="24">
        <v>1643</v>
      </c>
      <c r="M131" s="24">
        <v>147</v>
      </c>
      <c r="N131" s="24">
        <v>845</v>
      </c>
      <c r="O131" s="24">
        <v>207</v>
      </c>
      <c r="P131" s="24">
        <v>21130</v>
      </c>
      <c r="Q131" s="24">
        <v>1987</v>
      </c>
    </row>
    <row r="132" spans="1:17" ht="8.25" customHeight="1">
      <c r="A132" s="2">
        <v>3</v>
      </c>
      <c r="B132" s="11" t="s">
        <v>32</v>
      </c>
      <c r="C132" s="12">
        <v>2010</v>
      </c>
      <c r="D132" s="24">
        <v>3467</v>
      </c>
      <c r="E132" s="24">
        <v>357</v>
      </c>
      <c r="F132" s="24">
        <v>7849</v>
      </c>
      <c r="G132" s="24">
        <v>271</v>
      </c>
      <c r="H132" s="119" t="s">
        <v>35</v>
      </c>
      <c r="I132" s="119" t="s">
        <v>35</v>
      </c>
      <c r="J132" s="24">
        <v>7841</v>
      </c>
      <c r="K132" s="24">
        <v>135</v>
      </c>
      <c r="L132" s="24">
        <v>349</v>
      </c>
      <c r="M132" s="24">
        <v>2</v>
      </c>
      <c r="N132" s="24">
        <v>587</v>
      </c>
      <c r="O132" s="24">
        <v>56</v>
      </c>
      <c r="P132" s="24">
        <v>20093</v>
      </c>
      <c r="Q132" s="24">
        <v>821</v>
      </c>
    </row>
    <row r="133" spans="1:17" ht="8.25" customHeight="1">
      <c r="A133" s="2">
        <v>4</v>
      </c>
      <c r="B133" s="11" t="s">
        <v>33</v>
      </c>
      <c r="C133" s="12">
        <v>2010</v>
      </c>
      <c r="D133" s="24">
        <v>5565</v>
      </c>
      <c r="E133" s="24">
        <v>571</v>
      </c>
      <c r="F133" s="24">
        <v>11296</v>
      </c>
      <c r="G133" s="24">
        <v>483</v>
      </c>
      <c r="H133" s="119" t="s">
        <v>35</v>
      </c>
      <c r="I133" s="119" t="s">
        <v>35</v>
      </c>
      <c r="J133" s="24">
        <v>10290</v>
      </c>
      <c r="K133" s="24">
        <v>230</v>
      </c>
      <c r="L133" s="24">
        <v>1315</v>
      </c>
      <c r="M133" s="24">
        <v>22</v>
      </c>
      <c r="N133" s="24">
        <v>1211</v>
      </c>
      <c r="O133" s="24">
        <v>133</v>
      </c>
      <c r="P133" s="24">
        <v>29677</v>
      </c>
      <c r="Q133" s="24">
        <v>1439</v>
      </c>
    </row>
    <row r="134" spans="1:17" s="101" customFormat="1" ht="16.5" customHeight="1">
      <c r="A134" s="32">
        <v>0</v>
      </c>
      <c r="B134" s="125" t="s">
        <v>34</v>
      </c>
      <c r="C134" s="15">
        <v>2010</v>
      </c>
      <c r="D134" s="94">
        <v>14176</v>
      </c>
      <c r="E134" s="94">
        <v>1844</v>
      </c>
      <c r="F134" s="94">
        <v>31255</v>
      </c>
      <c r="G134" s="94">
        <v>1829</v>
      </c>
      <c r="H134" s="120" t="s">
        <v>35</v>
      </c>
      <c r="I134" s="120" t="s">
        <v>35</v>
      </c>
      <c r="J134" s="94">
        <v>34054</v>
      </c>
      <c r="K134" s="94">
        <v>986</v>
      </c>
      <c r="L134" s="94">
        <v>4492</v>
      </c>
      <c r="M134" s="94">
        <v>232</v>
      </c>
      <c r="N134" s="94">
        <v>3174</v>
      </c>
      <c r="O134" s="94">
        <v>503</v>
      </c>
      <c r="P134" s="94">
        <v>87151</v>
      </c>
      <c r="Q134" s="94">
        <v>5394</v>
      </c>
    </row>
    <row r="135" spans="1:17" ht="8.25" customHeight="1">
      <c r="A135" s="2">
        <v>1</v>
      </c>
      <c r="B135" s="11" t="s">
        <v>30</v>
      </c>
      <c r="C135" s="12">
        <v>2005</v>
      </c>
      <c r="D135" s="24">
        <v>3686</v>
      </c>
      <c r="E135" s="24">
        <v>555</v>
      </c>
      <c r="F135" s="24">
        <v>6073</v>
      </c>
      <c r="G135" s="24">
        <v>418</v>
      </c>
      <c r="H135" s="119" t="s">
        <v>35</v>
      </c>
      <c r="I135" s="119" t="s">
        <v>35</v>
      </c>
      <c r="J135" s="24">
        <v>6116</v>
      </c>
      <c r="K135" s="24">
        <v>196</v>
      </c>
      <c r="L135" s="24">
        <v>1045</v>
      </c>
      <c r="M135" s="24">
        <v>67</v>
      </c>
      <c r="N135" s="24">
        <v>776</v>
      </c>
      <c r="O135" s="24">
        <v>165</v>
      </c>
      <c r="P135" s="24">
        <v>17696</v>
      </c>
      <c r="Q135" s="24">
        <v>1401</v>
      </c>
    </row>
    <row r="136" spans="1:17" ht="8.25" customHeight="1">
      <c r="A136" s="2">
        <v>2</v>
      </c>
      <c r="B136" s="11" t="s">
        <v>31</v>
      </c>
      <c r="C136" s="12">
        <v>2005</v>
      </c>
      <c r="D136" s="24">
        <v>3977</v>
      </c>
      <c r="E136" s="24">
        <v>686</v>
      </c>
      <c r="F136" s="24">
        <v>7446</v>
      </c>
      <c r="G136" s="24">
        <v>758</v>
      </c>
      <c r="H136" s="119" t="s">
        <v>35</v>
      </c>
      <c r="I136" s="119" t="s">
        <v>35</v>
      </c>
      <c r="J136" s="24">
        <v>7820</v>
      </c>
      <c r="K136" s="24">
        <v>496</v>
      </c>
      <c r="L136" s="24">
        <v>1511</v>
      </c>
      <c r="M136" s="24">
        <v>141</v>
      </c>
      <c r="N136" s="24">
        <v>1028</v>
      </c>
      <c r="O136" s="24">
        <v>306</v>
      </c>
      <c r="P136" s="24">
        <v>21782</v>
      </c>
      <c r="Q136" s="24">
        <v>2387</v>
      </c>
    </row>
    <row r="137" spans="1:17" ht="8.25" customHeight="1">
      <c r="A137" s="2">
        <v>3</v>
      </c>
      <c r="B137" s="11" t="s">
        <v>32</v>
      </c>
      <c r="C137" s="12">
        <v>2005</v>
      </c>
      <c r="D137" s="24">
        <v>5066</v>
      </c>
      <c r="E137" s="24">
        <v>527</v>
      </c>
      <c r="F137" s="24">
        <v>7733</v>
      </c>
      <c r="G137" s="24">
        <v>269</v>
      </c>
      <c r="H137" s="119" t="s">
        <v>35</v>
      </c>
      <c r="I137" s="119" t="s">
        <v>35</v>
      </c>
      <c r="J137" s="24">
        <v>6699</v>
      </c>
      <c r="K137" s="24">
        <v>131</v>
      </c>
      <c r="L137" s="24">
        <v>316</v>
      </c>
      <c r="M137" s="24">
        <v>0</v>
      </c>
      <c r="N137" s="24">
        <v>818</v>
      </c>
      <c r="O137" s="24">
        <v>137</v>
      </c>
      <c r="P137" s="24">
        <v>20632</v>
      </c>
      <c r="Q137" s="24">
        <v>1064</v>
      </c>
    </row>
    <row r="138" spans="1:17" ht="8.25" customHeight="1">
      <c r="A138" s="2">
        <v>4</v>
      </c>
      <c r="B138" s="11" t="s">
        <v>33</v>
      </c>
      <c r="C138" s="12">
        <v>2005</v>
      </c>
      <c r="D138" s="24">
        <v>8129</v>
      </c>
      <c r="E138" s="24">
        <v>699</v>
      </c>
      <c r="F138" s="24">
        <v>11015</v>
      </c>
      <c r="G138" s="24">
        <v>455</v>
      </c>
      <c r="H138" s="119" t="s">
        <v>35</v>
      </c>
      <c r="I138" s="119" t="s">
        <v>35</v>
      </c>
      <c r="J138" s="24">
        <v>8900</v>
      </c>
      <c r="K138" s="24">
        <v>238</v>
      </c>
      <c r="L138" s="24">
        <v>1222</v>
      </c>
      <c r="M138" s="24">
        <v>42</v>
      </c>
      <c r="N138" s="24">
        <v>1648</v>
      </c>
      <c r="O138" s="24">
        <v>247</v>
      </c>
      <c r="P138" s="24">
        <v>30914</v>
      </c>
      <c r="Q138" s="24">
        <v>1681</v>
      </c>
    </row>
    <row r="139" spans="1:17" ht="8.25" customHeight="1">
      <c r="A139" s="32">
        <v>0</v>
      </c>
      <c r="B139" s="125" t="s">
        <v>34</v>
      </c>
      <c r="C139" s="15">
        <v>2005</v>
      </c>
      <c r="D139" s="94">
        <v>20858</v>
      </c>
      <c r="E139" s="94">
        <v>2467</v>
      </c>
      <c r="F139" s="94">
        <v>32267</v>
      </c>
      <c r="G139" s="94">
        <v>1900</v>
      </c>
      <c r="H139" s="120" t="s">
        <v>35</v>
      </c>
      <c r="I139" s="120" t="s">
        <v>35</v>
      </c>
      <c r="J139" s="94">
        <v>29535</v>
      </c>
      <c r="K139" s="94">
        <v>1061</v>
      </c>
      <c r="L139" s="94">
        <v>4094</v>
      </c>
      <c r="M139" s="94">
        <v>250</v>
      </c>
      <c r="N139" s="94">
        <v>4270</v>
      </c>
      <c r="O139" s="94">
        <v>855</v>
      </c>
      <c r="P139" s="94">
        <v>91024</v>
      </c>
      <c r="Q139" s="94">
        <v>6533</v>
      </c>
    </row>
    <row r="140" spans="1:17">
      <c r="A140" s="25"/>
      <c r="B140" s="17"/>
      <c r="C140" s="26"/>
      <c r="D140" s="26"/>
      <c r="E140" s="26"/>
      <c r="F140" s="26"/>
      <c r="G140" s="27"/>
      <c r="H140" s="27"/>
      <c r="I140" s="26"/>
      <c r="J140" s="26"/>
      <c r="K140" s="26"/>
      <c r="L140" s="26"/>
      <c r="M140" s="26"/>
      <c r="N140" s="26"/>
      <c r="O140" s="26"/>
      <c r="P140" s="26"/>
    </row>
    <row r="141" spans="1:17">
      <c r="A141" s="28" t="s">
        <v>118</v>
      </c>
      <c r="B141" s="28"/>
      <c r="C141" s="28"/>
      <c r="D141" s="28"/>
      <c r="E141" s="28"/>
      <c r="F141" s="28"/>
      <c r="G141" s="28"/>
      <c r="H141" s="28"/>
      <c r="I141" s="28"/>
      <c r="J141" s="26"/>
      <c r="K141" s="26"/>
      <c r="L141" s="26"/>
      <c r="M141" s="26"/>
      <c r="N141" s="26"/>
      <c r="O141" s="26"/>
      <c r="P141" s="26"/>
    </row>
    <row r="142" spans="1:17">
      <c r="A142" s="28" t="s">
        <v>36</v>
      </c>
      <c r="B142" s="28"/>
      <c r="C142" s="28"/>
      <c r="D142" s="28"/>
      <c r="E142" s="28"/>
      <c r="F142" s="28"/>
      <c r="G142" s="28"/>
      <c r="H142" s="28"/>
      <c r="I142" s="28"/>
      <c r="J142" s="26"/>
      <c r="K142" s="26"/>
      <c r="L142" s="26"/>
      <c r="M142" s="26"/>
      <c r="N142" s="26"/>
      <c r="O142" s="26"/>
      <c r="P142" s="26"/>
    </row>
    <row r="143" spans="1:17">
      <c r="A143" s="144"/>
      <c r="B143" s="144"/>
      <c r="C143" s="144"/>
      <c r="D143" s="144"/>
      <c r="E143" s="144"/>
      <c r="F143" s="30"/>
      <c r="G143" s="144"/>
      <c r="H143" s="144"/>
      <c r="I143" s="144"/>
      <c r="J143" s="26"/>
      <c r="K143" s="26"/>
      <c r="L143" s="26"/>
      <c r="M143" s="26"/>
      <c r="N143" s="26"/>
      <c r="O143" s="26"/>
      <c r="P143" s="26"/>
    </row>
    <row r="144" spans="1:17">
      <c r="A144" s="31" t="s">
        <v>37</v>
      </c>
      <c r="B144" s="31"/>
      <c r="C144" s="31"/>
      <c r="D144" s="31"/>
      <c r="E144" s="31"/>
      <c r="F144" s="31"/>
      <c r="G144" s="31"/>
      <c r="H144" s="31"/>
      <c r="I144" s="31"/>
      <c r="J144" s="26"/>
      <c r="K144" s="26"/>
      <c r="L144" s="26"/>
      <c r="M144" s="26"/>
      <c r="N144" s="26"/>
      <c r="O144" s="26"/>
      <c r="P144" s="26"/>
    </row>
    <row r="145" spans="1:16">
      <c r="A145" s="32"/>
      <c r="B145" s="33"/>
      <c r="C145" s="34"/>
      <c r="D145" s="34"/>
      <c r="E145" s="35"/>
      <c r="F145" s="35"/>
      <c r="G145" s="34"/>
      <c r="H145" s="34"/>
      <c r="I145" s="35"/>
      <c r="J145" s="35"/>
      <c r="K145" s="34"/>
      <c r="L145" s="34"/>
      <c r="M145" s="36"/>
      <c r="N145" s="36"/>
      <c r="O145" s="37"/>
      <c r="P145" s="37"/>
    </row>
  </sheetData>
  <mergeCells count="24">
    <mergeCell ref="A1:H1"/>
    <mergeCell ref="A2:H2"/>
    <mergeCell ref="A4:A6"/>
    <mergeCell ref="B4:B6"/>
    <mergeCell ref="C4:C6"/>
    <mergeCell ref="D4:E4"/>
    <mergeCell ref="F4:G4"/>
    <mergeCell ref="H4:I4"/>
    <mergeCell ref="A76:A78"/>
    <mergeCell ref="B76:B78"/>
    <mergeCell ref="C76:C78"/>
    <mergeCell ref="D76:E76"/>
    <mergeCell ref="F76:G76"/>
    <mergeCell ref="D78:Q78"/>
    <mergeCell ref="H76:I76"/>
    <mergeCell ref="J76:K76"/>
    <mergeCell ref="L76:M76"/>
    <mergeCell ref="N76:O76"/>
    <mergeCell ref="P76:Q76"/>
    <mergeCell ref="J4:K4"/>
    <mergeCell ref="L4:M4"/>
    <mergeCell ref="N4:O4"/>
    <mergeCell ref="P4:Q4"/>
    <mergeCell ref="D6:Q6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9"/>
  </sheetPr>
  <dimension ref="A1:O46"/>
  <sheetViews>
    <sheetView workbookViewId="0"/>
  </sheetViews>
  <sheetFormatPr baseColWidth="10" defaultRowHeight="15"/>
  <cols>
    <col min="2" max="2" width="15" customWidth="1"/>
  </cols>
  <sheetData>
    <row r="1" spans="1:15" ht="30" customHeight="1">
      <c r="A1" s="108" t="s">
        <v>125</v>
      </c>
      <c r="B1" s="109"/>
      <c r="C1" s="109"/>
      <c r="D1" s="109"/>
      <c r="E1" s="109"/>
      <c r="F1" s="109"/>
      <c r="G1" s="109"/>
      <c r="H1" s="109"/>
      <c r="I1" s="110"/>
    </row>
    <row r="2" spans="1:15">
      <c r="A2" s="108"/>
      <c r="B2" s="109"/>
      <c r="C2" s="109"/>
      <c r="D2" s="109"/>
      <c r="E2" s="109"/>
      <c r="F2" s="109"/>
      <c r="G2" s="109"/>
      <c r="H2" s="109"/>
      <c r="I2" s="110"/>
    </row>
    <row r="3" spans="1:15" ht="8.25" customHeight="1">
      <c r="A3" s="246" t="s">
        <v>112</v>
      </c>
      <c r="B3" s="246" t="s">
        <v>113</v>
      </c>
      <c r="C3" s="248">
        <v>2005</v>
      </c>
      <c r="D3" s="236"/>
      <c r="E3" s="236"/>
      <c r="F3" s="236"/>
      <c r="G3" s="236">
        <v>2018</v>
      </c>
      <c r="H3" s="236"/>
      <c r="I3" s="236"/>
      <c r="J3" s="240"/>
      <c r="K3" s="236">
        <v>2019</v>
      </c>
      <c r="L3" s="236"/>
      <c r="M3" s="236"/>
      <c r="N3" s="236"/>
    </row>
    <row r="4" spans="1:15" ht="8.25" customHeight="1">
      <c r="A4" s="247"/>
      <c r="B4" s="247"/>
      <c r="C4" s="81" t="s">
        <v>11</v>
      </c>
      <c r="D4" s="6" t="s">
        <v>12</v>
      </c>
      <c r="E4" s="6" t="s">
        <v>11</v>
      </c>
      <c r="F4" s="6" t="s">
        <v>12</v>
      </c>
      <c r="G4" s="6" t="s">
        <v>11</v>
      </c>
      <c r="H4" s="6" t="s">
        <v>12</v>
      </c>
      <c r="I4" s="6" t="s">
        <v>11</v>
      </c>
      <c r="J4" s="73" t="s">
        <v>12</v>
      </c>
      <c r="K4" s="152" t="s">
        <v>11</v>
      </c>
      <c r="L4" s="152" t="s">
        <v>12</v>
      </c>
      <c r="M4" s="152" t="s">
        <v>11</v>
      </c>
      <c r="N4" s="152" t="s">
        <v>12</v>
      </c>
    </row>
    <row r="5" spans="1:15" ht="8.25" customHeight="1">
      <c r="A5" s="247"/>
      <c r="B5" s="247"/>
      <c r="C5" s="246" t="s">
        <v>38</v>
      </c>
      <c r="D5" s="233"/>
      <c r="E5" s="233" t="s">
        <v>13</v>
      </c>
      <c r="F5" s="233"/>
      <c r="G5" s="233" t="s">
        <v>38</v>
      </c>
      <c r="H5" s="233"/>
      <c r="I5" s="233" t="s">
        <v>13</v>
      </c>
      <c r="J5" s="230"/>
      <c r="K5" s="233" t="s">
        <v>38</v>
      </c>
      <c r="L5" s="233"/>
      <c r="M5" s="233" t="s">
        <v>13</v>
      </c>
      <c r="N5" s="233"/>
    </row>
    <row r="6" spans="1:15" ht="8.25" customHeight="1">
      <c r="A6" s="5" t="s">
        <v>14</v>
      </c>
      <c r="B6" s="5" t="s">
        <v>15</v>
      </c>
      <c r="C6" s="5" t="s">
        <v>114</v>
      </c>
      <c r="D6" s="5" t="s">
        <v>16</v>
      </c>
      <c r="E6" s="5" t="s">
        <v>17</v>
      </c>
      <c r="F6" s="5" t="s">
        <v>18</v>
      </c>
      <c r="G6" s="5" t="s">
        <v>19</v>
      </c>
      <c r="H6" s="5" t="s">
        <v>20</v>
      </c>
      <c r="I6" s="5" t="s">
        <v>21</v>
      </c>
      <c r="J6" s="5" t="s">
        <v>22</v>
      </c>
      <c r="K6" s="10" t="s">
        <v>23</v>
      </c>
      <c r="L6" s="10" t="s">
        <v>24</v>
      </c>
      <c r="M6" s="10" t="s">
        <v>25</v>
      </c>
      <c r="N6" s="10" t="s">
        <v>26</v>
      </c>
      <c r="O6" s="87"/>
    </row>
    <row r="7" spans="1:15" ht="8.25" customHeight="1">
      <c r="A7" s="126" t="s">
        <v>4</v>
      </c>
      <c r="B7" s="126" t="s">
        <v>30</v>
      </c>
      <c r="C7" s="127">
        <v>3686</v>
      </c>
      <c r="D7" s="127">
        <v>555</v>
      </c>
      <c r="E7" s="128">
        <v>86.913463805706201</v>
      </c>
      <c r="F7" s="128">
        <v>13.086536194293799</v>
      </c>
      <c r="G7" s="129">
        <v>926</v>
      </c>
      <c r="H7" s="129">
        <v>327</v>
      </c>
      <c r="I7" s="130">
        <v>73.902633679169995</v>
      </c>
      <c r="J7" s="130">
        <v>26.097366320830005</v>
      </c>
      <c r="K7" s="155">
        <f>'2019_B4_Berechnung'!Q4</f>
        <v>850</v>
      </c>
      <c r="L7" s="155">
        <f>'2019_B4_Berechnung'!R4</f>
        <v>356</v>
      </c>
      <c r="M7" s="156">
        <f>K7/(K7+L7)*100</f>
        <v>70.48092868988391</v>
      </c>
      <c r="N7" s="156">
        <f t="shared" ref="N7:N41" si="0">L7/(L7+K7)*100</f>
        <v>29.519071310116086</v>
      </c>
    </row>
    <row r="8" spans="1:15" ht="8.25" customHeight="1">
      <c r="A8" s="126" t="s">
        <v>5</v>
      </c>
      <c r="B8" s="126" t="s">
        <v>30</v>
      </c>
      <c r="C8" s="127">
        <v>6073</v>
      </c>
      <c r="D8" s="127">
        <v>418</v>
      </c>
      <c r="E8" s="128">
        <v>93.560314281312586</v>
      </c>
      <c r="F8" s="128">
        <v>6.4396857186874126</v>
      </c>
      <c r="G8" s="129">
        <v>2369</v>
      </c>
      <c r="H8" s="129">
        <v>247</v>
      </c>
      <c r="I8" s="130">
        <v>90.558103975535161</v>
      </c>
      <c r="J8" s="130">
        <v>9.4418960244648318</v>
      </c>
      <c r="K8" s="155">
        <f>'2019_B4_Berechnung'!Q5</f>
        <v>2115</v>
      </c>
      <c r="L8" s="155">
        <f>'2019_B4_Berechnung'!R5</f>
        <v>294</v>
      </c>
      <c r="M8" s="156">
        <f t="shared" ref="M8:M41" si="1">K8/(K8+L8)*100</f>
        <v>87.795765877957649</v>
      </c>
      <c r="N8" s="156">
        <f t="shared" si="0"/>
        <v>12.204234122042342</v>
      </c>
    </row>
    <row r="9" spans="1:15" ht="8.25" customHeight="1">
      <c r="A9" s="126" t="s">
        <v>6</v>
      </c>
      <c r="B9" s="126" t="s">
        <v>30</v>
      </c>
      <c r="C9" s="129" t="s">
        <v>35</v>
      </c>
      <c r="D9" s="129" t="s">
        <v>35</v>
      </c>
      <c r="E9" s="129" t="s">
        <v>35</v>
      </c>
      <c r="F9" s="129" t="s">
        <v>35</v>
      </c>
      <c r="G9" s="129">
        <v>1402</v>
      </c>
      <c r="H9" s="129">
        <v>198</v>
      </c>
      <c r="I9" s="130">
        <v>87.625</v>
      </c>
      <c r="J9" s="130">
        <v>12.375</v>
      </c>
      <c r="K9" s="155">
        <f>'2019_B4_Berechnung'!Q6</f>
        <v>1426</v>
      </c>
      <c r="L9" s="155">
        <f>'2019_B4_Berechnung'!R6</f>
        <v>195</v>
      </c>
      <c r="M9" s="156">
        <f t="shared" si="1"/>
        <v>87.970388648982109</v>
      </c>
      <c r="N9" s="156">
        <f t="shared" si="0"/>
        <v>12.029611351017889</v>
      </c>
    </row>
    <row r="10" spans="1:15" ht="8.25" customHeight="1">
      <c r="A10" s="126" t="s">
        <v>7</v>
      </c>
      <c r="B10" s="126" t="s">
        <v>30</v>
      </c>
      <c r="C10" s="127">
        <v>6116</v>
      </c>
      <c r="D10" s="127">
        <v>196</v>
      </c>
      <c r="E10" s="128">
        <v>96.894803548795949</v>
      </c>
      <c r="F10" s="128">
        <v>3.1051964512040557</v>
      </c>
      <c r="G10" s="129">
        <v>5496</v>
      </c>
      <c r="H10" s="129">
        <v>229</v>
      </c>
      <c r="I10" s="130">
        <v>96</v>
      </c>
      <c r="J10" s="130">
        <v>4</v>
      </c>
      <c r="K10" s="155">
        <f>'2019_B4_Berechnung'!Q7</f>
        <v>5167</v>
      </c>
      <c r="L10" s="155">
        <f>'2019_B4_Berechnung'!R7</f>
        <v>259</v>
      </c>
      <c r="M10" s="156">
        <f t="shared" si="1"/>
        <v>95.226686325101355</v>
      </c>
      <c r="N10" s="156">
        <f t="shared" si="0"/>
        <v>4.7733136748986364</v>
      </c>
    </row>
    <row r="11" spans="1:15" ht="8.25" customHeight="1">
      <c r="A11" s="126" t="s">
        <v>115</v>
      </c>
      <c r="B11" s="126" t="s">
        <v>30</v>
      </c>
      <c r="C11" s="127">
        <v>1045</v>
      </c>
      <c r="D11" s="127">
        <v>67</v>
      </c>
      <c r="E11" s="128">
        <v>93.974820143884898</v>
      </c>
      <c r="F11" s="128">
        <v>6.0251798561151082</v>
      </c>
      <c r="G11" s="129">
        <v>2866</v>
      </c>
      <c r="H11" s="129">
        <v>216</v>
      </c>
      <c r="I11" s="130">
        <v>92.991563919532766</v>
      </c>
      <c r="J11" s="130">
        <v>7.008436080467229</v>
      </c>
      <c r="K11" s="155">
        <f>'2019_B4_Berechnung'!Q8+'2019_B4_Berechnung'!Q9+'2019_B4_Berechnung'!Q10+'2019_B4_Berechnung'!Q11+'2019_B4_Berechnung'!Q12</f>
        <v>3468</v>
      </c>
      <c r="L11" s="155">
        <f>'2019_B4_Berechnung'!R8+'2019_B4_Berechnung'!R9+'2019_B4_Berechnung'!R10+'2019_B4_Berechnung'!R11+'2019_B4_Berechnung'!R12</f>
        <v>222</v>
      </c>
      <c r="M11" s="156">
        <f t="shared" si="1"/>
        <v>93.983739837398375</v>
      </c>
      <c r="N11" s="156">
        <f t="shared" si="0"/>
        <v>6.0162601626016263</v>
      </c>
    </row>
    <row r="12" spans="1:15" ht="8.25" customHeight="1">
      <c r="A12" s="126" t="s">
        <v>9</v>
      </c>
      <c r="B12" s="126" t="s">
        <v>30</v>
      </c>
      <c r="C12" s="127">
        <v>776</v>
      </c>
      <c r="D12" s="127">
        <v>165</v>
      </c>
      <c r="E12" s="128">
        <v>82.465462274176403</v>
      </c>
      <c r="F12" s="128">
        <v>17.534537725823593</v>
      </c>
      <c r="G12" s="129">
        <v>311</v>
      </c>
      <c r="H12" s="129">
        <v>40</v>
      </c>
      <c r="I12" s="130">
        <v>88.603988603988597</v>
      </c>
      <c r="J12" s="130">
        <v>11.396011396011396</v>
      </c>
      <c r="K12" s="155">
        <f>'2019_B4_Berechnung'!Q13+'2019_B4_Berechnung'!Q14</f>
        <v>385</v>
      </c>
      <c r="L12" s="155">
        <f>'2019_B4_Berechnung'!R13+'2019_B4_Berechnung'!R14</f>
        <v>44</v>
      </c>
      <c r="M12" s="156">
        <f t="shared" si="1"/>
        <v>89.743589743589752</v>
      </c>
      <c r="N12" s="156">
        <f t="shared" si="0"/>
        <v>10.256410256410255</v>
      </c>
    </row>
    <row r="13" spans="1:15" ht="16.5" customHeight="1">
      <c r="A13" s="131" t="s">
        <v>10</v>
      </c>
      <c r="B13" s="131" t="s">
        <v>30</v>
      </c>
      <c r="C13" s="132">
        <v>17696</v>
      </c>
      <c r="D13" s="132">
        <v>1401</v>
      </c>
      <c r="E13" s="133">
        <v>92.663769178404991</v>
      </c>
      <c r="F13" s="133">
        <v>7.3362308215950147</v>
      </c>
      <c r="G13" s="134">
        <v>13370</v>
      </c>
      <c r="H13" s="134">
        <v>1257</v>
      </c>
      <c r="I13" s="135">
        <v>91.40630341149928</v>
      </c>
      <c r="J13" s="135">
        <v>8.5936965885007179</v>
      </c>
      <c r="K13" s="155">
        <f>'2019_B4_Berechnung'!Q3</f>
        <v>13411</v>
      </c>
      <c r="L13" s="155">
        <f>'2019_B4_Berechnung'!R3</f>
        <v>1370</v>
      </c>
      <c r="M13" s="156">
        <f t="shared" si="1"/>
        <v>90.731344293349565</v>
      </c>
      <c r="N13" s="156">
        <f t="shared" si="0"/>
        <v>9.2686557066504296</v>
      </c>
    </row>
    <row r="14" spans="1:15" ht="8.25" customHeight="1">
      <c r="A14" s="126" t="s">
        <v>4</v>
      </c>
      <c r="B14" s="126" t="s">
        <v>31</v>
      </c>
      <c r="C14" s="127">
        <v>3977</v>
      </c>
      <c r="D14" s="127">
        <v>686</v>
      </c>
      <c r="E14" s="128">
        <v>85.288440917864037</v>
      </c>
      <c r="F14" s="128">
        <v>14.711559082135963</v>
      </c>
      <c r="G14" s="129">
        <v>877</v>
      </c>
      <c r="H14" s="129">
        <v>388</v>
      </c>
      <c r="I14" s="130">
        <v>69.328063241106719</v>
      </c>
      <c r="J14" s="130">
        <v>30.671936758893281</v>
      </c>
      <c r="K14" s="155">
        <f>'2019_B4_Berechnung'!J19</f>
        <v>607</v>
      </c>
      <c r="L14" s="155">
        <f>'2019_B4_Berechnung'!K19</f>
        <v>392</v>
      </c>
      <c r="M14" s="156">
        <f t="shared" si="1"/>
        <v>60.76076076076076</v>
      </c>
      <c r="N14" s="156">
        <f t="shared" si="0"/>
        <v>39.23923923923924</v>
      </c>
    </row>
    <row r="15" spans="1:15" ht="8.25" customHeight="1">
      <c r="A15" s="126" t="s">
        <v>5</v>
      </c>
      <c r="B15" s="126" t="s">
        <v>31</v>
      </c>
      <c r="C15" s="127">
        <v>7446</v>
      </c>
      <c r="D15" s="127">
        <v>758</v>
      </c>
      <c r="E15" s="128">
        <v>90.760604583130174</v>
      </c>
      <c r="F15" s="128">
        <v>9.2393954168698187</v>
      </c>
      <c r="G15" s="129">
        <v>2956</v>
      </c>
      <c r="H15" s="129">
        <v>471</v>
      </c>
      <c r="I15" s="130">
        <v>86.256200758681061</v>
      </c>
      <c r="J15" s="130">
        <v>13.743799241318937</v>
      </c>
      <c r="K15" s="155">
        <f>'2019_B4_Berechnung'!J20</f>
        <v>2025</v>
      </c>
      <c r="L15" s="155">
        <f>'2019_B4_Berechnung'!K20</f>
        <v>1708</v>
      </c>
      <c r="M15" s="156">
        <f t="shared" si="1"/>
        <v>54.245914813822658</v>
      </c>
      <c r="N15" s="156">
        <f t="shared" si="0"/>
        <v>45.754085186177335</v>
      </c>
    </row>
    <row r="16" spans="1:15" ht="8.25" customHeight="1">
      <c r="A16" s="126" t="s">
        <v>6</v>
      </c>
      <c r="B16" s="126" t="s">
        <v>31</v>
      </c>
      <c r="C16" s="129" t="s">
        <v>35</v>
      </c>
      <c r="D16" s="129" t="s">
        <v>35</v>
      </c>
      <c r="E16" s="129" t="s">
        <v>35</v>
      </c>
      <c r="F16" s="129" t="s">
        <v>35</v>
      </c>
      <c r="G16" s="129">
        <v>2437</v>
      </c>
      <c r="H16" s="129">
        <v>406</v>
      </c>
      <c r="I16" s="130">
        <v>85.719310587407676</v>
      </c>
      <c r="J16" s="130">
        <v>14.280689412592332</v>
      </c>
      <c r="K16" s="155">
        <f>'2019_B4_Berechnung'!J21</f>
        <v>2967</v>
      </c>
      <c r="L16" s="155">
        <f>'2019_B4_Berechnung'!K21</f>
        <v>2379</v>
      </c>
      <c r="M16" s="156">
        <f t="shared" si="1"/>
        <v>55.499438832772164</v>
      </c>
      <c r="N16" s="156">
        <f t="shared" si="0"/>
        <v>44.500561167227829</v>
      </c>
    </row>
    <row r="17" spans="1:14" ht="8.25" customHeight="1">
      <c r="A17" s="126" t="s">
        <v>7</v>
      </c>
      <c r="B17" s="126" t="s">
        <v>31</v>
      </c>
      <c r="C17" s="127">
        <v>7820</v>
      </c>
      <c r="D17" s="127">
        <v>496</v>
      </c>
      <c r="E17" s="128">
        <v>94.035594035594045</v>
      </c>
      <c r="F17" s="128">
        <v>5.9644059644059642</v>
      </c>
      <c r="G17" s="129">
        <v>7927</v>
      </c>
      <c r="H17" s="129">
        <v>346</v>
      </c>
      <c r="I17" s="130">
        <v>95.817720294935327</v>
      </c>
      <c r="J17" s="130">
        <v>4.1822797050646683</v>
      </c>
      <c r="K17" s="155">
        <f>'2019_B4_Berechnung'!J22</f>
        <v>7386</v>
      </c>
      <c r="L17" s="155">
        <f>'2019_B4_Berechnung'!K22</f>
        <v>7030</v>
      </c>
      <c r="M17" s="156">
        <f t="shared" si="1"/>
        <v>51.234739178690347</v>
      </c>
      <c r="N17" s="156">
        <f t="shared" si="0"/>
        <v>48.76526082130966</v>
      </c>
    </row>
    <row r="18" spans="1:14" ht="8.25" customHeight="1">
      <c r="A18" s="126" t="s">
        <v>115</v>
      </c>
      <c r="B18" s="126" t="s">
        <v>31</v>
      </c>
      <c r="C18" s="127">
        <v>1511</v>
      </c>
      <c r="D18" s="127">
        <v>141</v>
      </c>
      <c r="E18" s="128">
        <v>91.464891041162232</v>
      </c>
      <c r="F18" s="128">
        <v>8.5351089588377729</v>
      </c>
      <c r="G18" s="129">
        <v>3885</v>
      </c>
      <c r="H18" s="129">
        <v>435</v>
      </c>
      <c r="I18" s="130">
        <v>89.930555555555557</v>
      </c>
      <c r="J18" s="130">
        <v>10.069444444444445</v>
      </c>
      <c r="K18" s="155">
        <f>'2019_B4_Berechnung'!K23+'2019_B4_Berechnung'!K24+'2019_B4_Berechnung'!K25+'2019_B4_Berechnung'!K26+'2019_B4_Berechnung'!K27</f>
        <v>6204</v>
      </c>
      <c r="L18" s="155">
        <f>'2019_B4_Berechnung'!L23+'2019_B4_Berechnung'!L24+'2019_B4_Berechnung'!L25+'2019_B4_Berechnung'!L26+'2019_B4_Berechnung'!L27</f>
        <v>753</v>
      </c>
      <c r="M18" s="156">
        <f t="shared" si="1"/>
        <v>89.176369124622681</v>
      </c>
      <c r="N18" s="156">
        <f t="shared" si="0"/>
        <v>10.823630875377317</v>
      </c>
    </row>
    <row r="19" spans="1:14" ht="8.25" customHeight="1">
      <c r="A19" s="126" t="s">
        <v>9</v>
      </c>
      <c r="B19" s="126" t="s">
        <v>31</v>
      </c>
      <c r="C19" s="127">
        <v>1028</v>
      </c>
      <c r="D19" s="127">
        <v>306</v>
      </c>
      <c r="E19" s="128">
        <v>77.061469265367322</v>
      </c>
      <c r="F19" s="128">
        <v>22.938530734632685</v>
      </c>
      <c r="G19" s="129">
        <v>498</v>
      </c>
      <c r="H19" s="129">
        <v>43</v>
      </c>
      <c r="I19" s="130">
        <v>92.05175600739372</v>
      </c>
      <c r="J19" s="130">
        <v>7.9482439926062849</v>
      </c>
      <c r="K19" s="155">
        <f>'2019_B4_Berechnung'!K28+'2019_B4_Berechnung'!K29</f>
        <v>512</v>
      </c>
      <c r="L19" s="155">
        <f>'2019_B4_Berechnung'!L28+'2019_B4_Berechnung'!L29</f>
        <v>36</v>
      </c>
      <c r="M19" s="156">
        <f t="shared" si="1"/>
        <v>93.430656934306569</v>
      </c>
      <c r="N19" s="156">
        <f t="shared" si="0"/>
        <v>6.5693430656934311</v>
      </c>
    </row>
    <row r="20" spans="1:14" ht="16.5" customHeight="1">
      <c r="A20" s="131" t="s">
        <v>10</v>
      </c>
      <c r="B20" s="131" t="s">
        <v>31</v>
      </c>
      <c r="C20" s="132">
        <v>21782</v>
      </c>
      <c r="D20" s="132">
        <v>2387</v>
      </c>
      <c r="E20" s="133">
        <v>90.123712193305465</v>
      </c>
      <c r="F20" s="133">
        <v>9.8762878066945259</v>
      </c>
      <c r="G20" s="134">
        <v>18580</v>
      </c>
      <c r="H20" s="134">
        <v>2089</v>
      </c>
      <c r="I20" s="135">
        <v>89.893076588127158</v>
      </c>
      <c r="J20" s="135">
        <v>10.106923411872854</v>
      </c>
      <c r="K20" s="155">
        <f>'2019_B4_Berechnung'!K18</f>
        <v>18225</v>
      </c>
      <c r="L20" s="155">
        <f>'2019_B4_Berechnung'!L18</f>
        <v>2265</v>
      </c>
      <c r="M20" s="156">
        <f t="shared" si="1"/>
        <v>88.945827232796475</v>
      </c>
      <c r="N20" s="156">
        <f t="shared" si="0"/>
        <v>11.054172767203514</v>
      </c>
    </row>
    <row r="21" spans="1:14" ht="8.25" customHeight="1">
      <c r="A21" s="126" t="s">
        <v>4</v>
      </c>
      <c r="B21" s="126" t="s">
        <v>32</v>
      </c>
      <c r="C21" s="129">
        <v>5066</v>
      </c>
      <c r="D21" s="129">
        <v>527</v>
      </c>
      <c r="E21" s="128">
        <v>90.577507598784194</v>
      </c>
      <c r="F21" s="128">
        <v>9.4224924012158056</v>
      </c>
      <c r="G21" s="129">
        <v>838</v>
      </c>
      <c r="H21" s="129">
        <v>165</v>
      </c>
      <c r="I21" s="130">
        <v>83.549351944167498</v>
      </c>
      <c r="J21" s="130">
        <v>16.450648055832502</v>
      </c>
      <c r="K21" s="155">
        <f>'2019_B4_Berechnung'!Q19</f>
        <v>540</v>
      </c>
      <c r="L21" s="155">
        <f>'2019_B4_Berechnung'!R19</f>
        <v>131</v>
      </c>
      <c r="M21" s="156">
        <f t="shared" si="1"/>
        <v>80.476900149031295</v>
      </c>
      <c r="N21" s="156">
        <f t="shared" si="0"/>
        <v>19.523099850968702</v>
      </c>
    </row>
    <row r="22" spans="1:14" ht="8.25" customHeight="1">
      <c r="A22" s="126" t="s">
        <v>5</v>
      </c>
      <c r="B22" s="126" t="s">
        <v>32</v>
      </c>
      <c r="C22" s="129">
        <v>7733</v>
      </c>
      <c r="D22" s="129">
        <v>269</v>
      </c>
      <c r="E22" s="128">
        <v>96.638340414896277</v>
      </c>
      <c r="F22" s="128">
        <v>3.3616595851037241</v>
      </c>
      <c r="G22" s="129">
        <v>2107</v>
      </c>
      <c r="H22" s="129">
        <v>146</v>
      </c>
      <c r="I22" s="130">
        <v>93.519751442521084</v>
      </c>
      <c r="J22" s="130">
        <v>6.4802485574789168</v>
      </c>
      <c r="K22" s="155">
        <f>'2019_B4_Berechnung'!Q20</f>
        <v>1341</v>
      </c>
      <c r="L22" s="155">
        <f>'2019_B4_Berechnung'!R20</f>
        <v>132</v>
      </c>
      <c r="M22" s="156">
        <f t="shared" si="1"/>
        <v>91.038696537678206</v>
      </c>
      <c r="N22" s="156">
        <f t="shared" si="0"/>
        <v>8.9613034623217924</v>
      </c>
    </row>
    <row r="23" spans="1:14" ht="8.25" customHeight="1">
      <c r="A23" s="126" t="s">
        <v>6</v>
      </c>
      <c r="B23" s="126" t="s">
        <v>32</v>
      </c>
      <c r="C23" s="129" t="s">
        <v>35</v>
      </c>
      <c r="D23" s="129" t="s">
        <v>35</v>
      </c>
      <c r="E23" s="129" t="s">
        <v>35</v>
      </c>
      <c r="F23" s="129" t="s">
        <v>35</v>
      </c>
      <c r="G23" s="129">
        <v>4997</v>
      </c>
      <c r="H23" s="129">
        <v>546</v>
      </c>
      <c r="I23" s="130">
        <v>90.149738408803898</v>
      </c>
      <c r="J23" s="130">
        <v>9.8502615911961033</v>
      </c>
      <c r="K23" s="155">
        <f>'2019_B4_Berechnung'!Q21</f>
        <v>4863</v>
      </c>
      <c r="L23" s="155">
        <f>'2019_B4_Berechnung'!R21</f>
        <v>566</v>
      </c>
      <c r="M23" s="156">
        <f t="shared" si="1"/>
        <v>89.574507275741382</v>
      </c>
      <c r="N23" s="156">
        <f t="shared" si="0"/>
        <v>10.425492724258611</v>
      </c>
    </row>
    <row r="24" spans="1:14" ht="8.25" customHeight="1">
      <c r="A24" s="126" t="s">
        <v>7</v>
      </c>
      <c r="B24" s="126" t="s">
        <v>32</v>
      </c>
      <c r="C24" s="129">
        <v>6699</v>
      </c>
      <c r="D24" s="129">
        <v>131</v>
      </c>
      <c r="E24" s="128">
        <v>98.081991215226935</v>
      </c>
      <c r="F24" s="128">
        <v>1.91800878477306</v>
      </c>
      <c r="G24" s="129" t="s">
        <v>35</v>
      </c>
      <c r="H24" s="129" t="s">
        <v>35</v>
      </c>
      <c r="I24" s="130" t="s">
        <v>35</v>
      </c>
      <c r="J24" s="130" t="s">
        <v>35</v>
      </c>
      <c r="K24" s="155">
        <f>'2019_B4_Berechnung'!Q22</f>
        <v>5766</v>
      </c>
      <c r="L24" s="155">
        <f>'2019_B4_Berechnung'!R22</f>
        <v>168</v>
      </c>
      <c r="M24" s="156">
        <f t="shared" si="1"/>
        <v>97.168857431749245</v>
      </c>
      <c r="N24" s="156">
        <f t="shared" si="0"/>
        <v>2.8311425682507583</v>
      </c>
    </row>
    <row r="25" spans="1:14" ht="8.25" customHeight="1">
      <c r="A25" s="126" t="s">
        <v>115</v>
      </c>
      <c r="B25" s="126" t="s">
        <v>32</v>
      </c>
      <c r="C25" s="129">
        <v>316</v>
      </c>
      <c r="D25" s="129" t="s">
        <v>35</v>
      </c>
      <c r="E25" s="128">
        <v>100</v>
      </c>
      <c r="F25" s="129" t="s">
        <v>35</v>
      </c>
      <c r="G25" s="129">
        <v>1892</v>
      </c>
      <c r="H25" s="129">
        <v>123</v>
      </c>
      <c r="I25" s="130">
        <v>93.895781637717121</v>
      </c>
      <c r="J25" s="130">
        <v>6.1042183622828778</v>
      </c>
      <c r="K25" s="155">
        <f>'2019_B4_Berechnung'!Q23+'2019_B4_Berechnung'!Q24+'2019_B4_Berechnung'!Q25+'2019_B4_Berechnung'!Q26+'2019_B4_Berechnung'!Q27</f>
        <v>3360</v>
      </c>
      <c r="L25" s="155">
        <f>'2019_B4_Berechnung'!R23+'2019_B4_Berechnung'!R24+'2019_B4_Berechnung'!R25+'2019_B4_Berechnung'!R26+'2019_B4_Berechnung'!R27</f>
        <v>220</v>
      </c>
      <c r="M25" s="156">
        <f t="shared" si="1"/>
        <v>93.85474860335195</v>
      </c>
      <c r="N25" s="156">
        <f t="shared" si="0"/>
        <v>6.1452513966480442</v>
      </c>
    </row>
    <row r="26" spans="1:14" ht="8.25" customHeight="1">
      <c r="A26" s="126" t="s">
        <v>9</v>
      </c>
      <c r="B26" s="126" t="s">
        <v>32</v>
      </c>
      <c r="C26" s="129">
        <v>818</v>
      </c>
      <c r="D26" s="129">
        <v>137</v>
      </c>
      <c r="E26" s="128">
        <v>85.654450261780099</v>
      </c>
      <c r="F26" s="128">
        <v>14.345549738219896</v>
      </c>
      <c r="G26" s="129">
        <v>292</v>
      </c>
      <c r="H26" s="129">
        <v>29</v>
      </c>
      <c r="I26" s="130">
        <v>90.965732087227408</v>
      </c>
      <c r="J26" s="130">
        <v>9.0342679127725845</v>
      </c>
      <c r="K26" s="155">
        <f>'2019_B4_Berechnung'!Q28+'2019_B4_Berechnung'!Q29</f>
        <v>325</v>
      </c>
      <c r="L26" s="155">
        <f>'2019_B4_Berechnung'!R28+'2019_B4_Berechnung'!R29</f>
        <v>29</v>
      </c>
      <c r="M26" s="156">
        <f t="shared" si="1"/>
        <v>91.807909604519779</v>
      </c>
      <c r="N26" s="156">
        <f t="shared" si="0"/>
        <v>8.1920903954802249</v>
      </c>
    </row>
    <row r="27" spans="1:14" ht="16.5" customHeight="1">
      <c r="A27" s="131" t="s">
        <v>10</v>
      </c>
      <c r="B27" s="131" t="s">
        <v>32</v>
      </c>
      <c r="C27" s="134">
        <v>20632</v>
      </c>
      <c r="D27" s="134">
        <v>1064</v>
      </c>
      <c r="E27" s="133">
        <v>95.095870206489678</v>
      </c>
      <c r="F27" s="133">
        <v>4.9041297935103243</v>
      </c>
      <c r="G27" s="134">
        <v>16616</v>
      </c>
      <c r="H27" s="134">
        <v>1188</v>
      </c>
      <c r="I27" s="135">
        <v>93.327342170298806</v>
      </c>
      <c r="J27" s="135">
        <v>6.6726578297011914</v>
      </c>
      <c r="K27" s="155">
        <f>'2019_B4_Berechnung'!Q18</f>
        <v>16195</v>
      </c>
      <c r="L27" s="155">
        <f>'2019_B4_Berechnung'!R18</f>
        <v>1246</v>
      </c>
      <c r="M27" s="156">
        <f t="shared" si="1"/>
        <v>92.85591422510177</v>
      </c>
      <c r="N27" s="156">
        <f t="shared" si="0"/>
        <v>7.1440857748982287</v>
      </c>
    </row>
    <row r="28" spans="1:14" ht="8.25" customHeight="1">
      <c r="A28" s="126" t="s">
        <v>4</v>
      </c>
      <c r="B28" s="126" t="s">
        <v>33</v>
      </c>
      <c r="C28" s="129">
        <v>8129</v>
      </c>
      <c r="D28" s="129">
        <v>699</v>
      </c>
      <c r="E28" s="128">
        <v>92.082011780697783</v>
      </c>
      <c r="F28" s="128">
        <v>7.9179882193022202</v>
      </c>
      <c r="G28" s="129">
        <v>1230</v>
      </c>
      <c r="H28" s="129">
        <v>325</v>
      </c>
      <c r="I28" s="130">
        <v>79.099678456591633</v>
      </c>
      <c r="J28" s="130">
        <v>20.90032154340836</v>
      </c>
      <c r="K28" s="155">
        <f>'2019_B4_Berechnung'!Q34</f>
        <v>848</v>
      </c>
      <c r="L28" s="155">
        <f>'2019_B4_Berechnung'!R34</f>
        <v>288</v>
      </c>
      <c r="M28" s="156">
        <f t="shared" si="1"/>
        <v>74.647887323943664</v>
      </c>
      <c r="N28" s="156">
        <f t="shared" si="0"/>
        <v>25.352112676056336</v>
      </c>
    </row>
    <row r="29" spans="1:14" ht="8.25" customHeight="1">
      <c r="A29" s="126" t="s">
        <v>5</v>
      </c>
      <c r="B29" s="126" t="s">
        <v>33</v>
      </c>
      <c r="C29" s="129">
        <v>11015</v>
      </c>
      <c r="D29" s="129">
        <v>455</v>
      </c>
      <c r="E29" s="128">
        <v>96.033129904097649</v>
      </c>
      <c r="F29" s="128">
        <v>3.9668700959023542</v>
      </c>
      <c r="G29" s="129">
        <v>2932</v>
      </c>
      <c r="H29" s="129">
        <v>260</v>
      </c>
      <c r="I29" s="130">
        <v>91.854636591478695</v>
      </c>
      <c r="J29" s="130">
        <v>8.1453634085213036</v>
      </c>
      <c r="K29" s="155">
        <f>'2019_B4_Berechnung'!Q35</f>
        <v>2325</v>
      </c>
      <c r="L29" s="155">
        <f>'2019_B4_Berechnung'!R35</f>
        <v>228</v>
      </c>
      <c r="M29" s="156">
        <f t="shared" si="1"/>
        <v>91.069330199764991</v>
      </c>
      <c r="N29" s="156">
        <f t="shared" si="0"/>
        <v>8.9306698002350178</v>
      </c>
    </row>
    <row r="30" spans="1:14" ht="8.25" customHeight="1">
      <c r="A30" s="126" t="s">
        <v>6</v>
      </c>
      <c r="B30" s="126" t="s">
        <v>33</v>
      </c>
      <c r="C30" s="129" t="s">
        <v>35</v>
      </c>
      <c r="D30" s="129" t="s">
        <v>35</v>
      </c>
      <c r="E30" s="129" t="s">
        <v>35</v>
      </c>
      <c r="F30" s="129" t="s">
        <v>35</v>
      </c>
      <c r="G30" s="129">
        <v>7673</v>
      </c>
      <c r="H30" s="129">
        <v>1064</v>
      </c>
      <c r="I30" s="130">
        <v>87.821906833009038</v>
      </c>
      <c r="J30" s="130">
        <v>12.178093166990958</v>
      </c>
      <c r="K30" s="155">
        <f>'2019_B4_Berechnung'!Q36</f>
        <v>7530</v>
      </c>
      <c r="L30" s="155">
        <f>'2019_B4_Berechnung'!R36</f>
        <v>1280</v>
      </c>
      <c r="M30" s="156">
        <f t="shared" si="1"/>
        <v>85.47105561861521</v>
      </c>
      <c r="N30" s="156">
        <f t="shared" si="0"/>
        <v>14.52894438138479</v>
      </c>
    </row>
    <row r="31" spans="1:14" ht="8.25" customHeight="1">
      <c r="A31" s="126" t="s">
        <v>7</v>
      </c>
      <c r="B31" s="126" t="s">
        <v>33</v>
      </c>
      <c r="C31" s="129">
        <v>8900</v>
      </c>
      <c r="D31" s="129">
        <v>238</v>
      </c>
      <c r="E31" s="128">
        <v>97.395491354782223</v>
      </c>
      <c r="F31" s="128">
        <v>2.6045086452177721</v>
      </c>
      <c r="G31" s="129">
        <v>8930</v>
      </c>
      <c r="H31" s="129">
        <v>293</v>
      </c>
      <c r="I31" s="130">
        <v>96.823159492572913</v>
      </c>
      <c r="J31" s="130">
        <v>3.1768405074270847</v>
      </c>
      <c r="K31" s="155">
        <f>'2019_B4_Berechnung'!Q37</f>
        <v>7919</v>
      </c>
      <c r="L31" s="155">
        <f>'2019_B4_Berechnung'!R37</f>
        <v>283</v>
      </c>
      <c r="M31" s="156">
        <f t="shared" si="1"/>
        <v>96.549622043404042</v>
      </c>
      <c r="N31" s="156">
        <f t="shared" si="0"/>
        <v>3.4503779565959523</v>
      </c>
    </row>
    <row r="32" spans="1:14" ht="8.25" customHeight="1">
      <c r="A32" s="126" t="s">
        <v>115</v>
      </c>
      <c r="B32" s="126" t="s">
        <v>33</v>
      </c>
      <c r="C32" s="129">
        <v>1222</v>
      </c>
      <c r="D32" s="129">
        <v>42</v>
      </c>
      <c r="E32" s="128">
        <v>96.677215189873422</v>
      </c>
      <c r="F32" s="128">
        <v>3.3227848101265818</v>
      </c>
      <c r="G32" s="129">
        <v>2840</v>
      </c>
      <c r="H32" s="129">
        <v>167</v>
      </c>
      <c r="I32" s="130">
        <v>94.44629198536748</v>
      </c>
      <c r="J32" s="130">
        <v>5.5537080146325239</v>
      </c>
      <c r="K32" s="155">
        <f>'2019_B4_Berechnung'!Q38+'2019_B4_Berechnung'!Q39+'2019_B4_Berechnung'!Q40+'2019_B4_Berechnung'!Q41+'2019_B4_Berechnung'!Q42</f>
        <v>3891</v>
      </c>
      <c r="L32" s="155">
        <f>'2019_B4_Berechnung'!R38+'2019_B4_Berechnung'!R39+'2019_B4_Berechnung'!R40+'2019_B4_Berechnung'!R41+'2019_B4_Berechnung'!R42</f>
        <v>258</v>
      </c>
      <c r="M32" s="156">
        <f t="shared" si="1"/>
        <v>93.781634128705718</v>
      </c>
      <c r="N32" s="156">
        <f t="shared" si="0"/>
        <v>6.2183658712942878</v>
      </c>
    </row>
    <row r="33" spans="1:14" ht="8.25" customHeight="1">
      <c r="A33" s="126" t="s">
        <v>9</v>
      </c>
      <c r="B33" s="126" t="s">
        <v>33</v>
      </c>
      <c r="C33" s="129">
        <v>1648</v>
      </c>
      <c r="D33" s="129">
        <v>247</v>
      </c>
      <c r="E33" s="128">
        <v>86.965699208443269</v>
      </c>
      <c r="F33" s="128">
        <v>13.034300791556728</v>
      </c>
      <c r="G33" s="129">
        <v>754</v>
      </c>
      <c r="H33" s="129">
        <v>74</v>
      </c>
      <c r="I33" s="130">
        <v>91.062801932367151</v>
      </c>
      <c r="J33" s="130">
        <v>8.9371980676328491</v>
      </c>
      <c r="K33" s="155">
        <f>'2019_B4_Berechnung'!Q43+'2019_B4_Berechnung'!Q44</f>
        <v>979</v>
      </c>
      <c r="L33" s="155">
        <f>'2019_B4_Berechnung'!R43+'2019_B4_Berechnung'!R44</f>
        <v>78</v>
      </c>
      <c r="M33" s="156">
        <f t="shared" si="1"/>
        <v>92.620624408703875</v>
      </c>
      <c r="N33" s="156">
        <f t="shared" si="0"/>
        <v>7.379375591296121</v>
      </c>
    </row>
    <row r="34" spans="1:14" ht="16.5" customHeight="1">
      <c r="A34" s="131" t="s">
        <v>10</v>
      </c>
      <c r="B34" s="131" t="s">
        <v>33</v>
      </c>
      <c r="C34" s="134">
        <v>30914</v>
      </c>
      <c r="D34" s="134">
        <v>1681</v>
      </c>
      <c r="E34" s="133">
        <v>94.842767295597483</v>
      </c>
      <c r="F34" s="133">
        <v>5.1572327044025164</v>
      </c>
      <c r="G34" s="134">
        <v>24359</v>
      </c>
      <c r="H34" s="134">
        <v>2183</v>
      </c>
      <c r="I34" s="135">
        <v>91.775299525280687</v>
      </c>
      <c r="J34" s="135">
        <v>8.2247004747193131</v>
      </c>
      <c r="K34" s="155">
        <f>'2019_B4_Berechnung'!Q33</f>
        <v>23492</v>
      </c>
      <c r="L34" s="155">
        <f>'2019_B4_Berechnung'!R33</f>
        <v>2415</v>
      </c>
      <c r="M34" s="156">
        <f t="shared" si="1"/>
        <v>90.678195082410156</v>
      </c>
      <c r="N34" s="156">
        <f t="shared" si="0"/>
        <v>9.3218049175898408</v>
      </c>
    </row>
    <row r="35" spans="1:14" s="101" customFormat="1" ht="16.5" customHeight="1">
      <c r="A35" s="131" t="s">
        <v>4</v>
      </c>
      <c r="B35" s="131" t="s">
        <v>34</v>
      </c>
      <c r="C35" s="134">
        <v>20858</v>
      </c>
      <c r="D35" s="134">
        <v>2467</v>
      </c>
      <c r="E35" s="133">
        <v>89.423365487674161</v>
      </c>
      <c r="F35" s="133">
        <v>10.57663451232583</v>
      </c>
      <c r="G35" s="134">
        <v>3871</v>
      </c>
      <c r="H35" s="134">
        <v>1205</v>
      </c>
      <c r="I35" s="135">
        <v>76.26083530338849</v>
      </c>
      <c r="J35" s="135">
        <v>23.739164696611507</v>
      </c>
      <c r="K35" s="155">
        <f>'2019_B4_Berechnung'!K4</f>
        <v>2630</v>
      </c>
      <c r="L35" s="155">
        <f>'2019_B4_Berechnung'!L4</f>
        <v>990</v>
      </c>
      <c r="M35" s="156">
        <f t="shared" si="1"/>
        <v>72.651933701657455</v>
      </c>
      <c r="N35" s="156">
        <f t="shared" si="0"/>
        <v>27.348066298342545</v>
      </c>
    </row>
    <row r="36" spans="1:14" s="101" customFormat="1" ht="16.5" customHeight="1">
      <c r="A36" s="131" t="s">
        <v>5</v>
      </c>
      <c r="B36" s="131" t="s">
        <v>34</v>
      </c>
      <c r="C36" s="134">
        <v>32267</v>
      </c>
      <c r="D36" s="134">
        <v>1900</v>
      </c>
      <c r="E36" s="133">
        <v>94.43907864313519</v>
      </c>
      <c r="F36" s="133">
        <v>5.560921356864811</v>
      </c>
      <c r="G36" s="134">
        <v>10364</v>
      </c>
      <c r="H36" s="134">
        <v>1124</v>
      </c>
      <c r="I36" s="135">
        <v>90.215877437325915</v>
      </c>
      <c r="J36" s="135">
        <v>9.784122562674094</v>
      </c>
      <c r="K36" s="155">
        <f>'2019_B4_Berechnung'!K5</f>
        <v>7489</v>
      </c>
      <c r="L36" s="155">
        <f>'2019_B4_Berechnung'!L5</f>
        <v>971</v>
      </c>
      <c r="M36" s="156">
        <f t="shared" si="1"/>
        <v>88.522458628841605</v>
      </c>
      <c r="N36" s="156">
        <f t="shared" si="0"/>
        <v>11.477541371158392</v>
      </c>
    </row>
    <row r="37" spans="1:14" s="101" customFormat="1" ht="16.5" customHeight="1">
      <c r="A37" s="131" t="s">
        <v>116</v>
      </c>
      <c r="B37" s="131" t="s">
        <v>34</v>
      </c>
      <c r="C37" s="134" t="s">
        <v>35</v>
      </c>
      <c r="D37" s="134" t="s">
        <v>35</v>
      </c>
      <c r="E37" s="134" t="s">
        <v>35</v>
      </c>
      <c r="F37" s="134" t="s">
        <v>35</v>
      </c>
      <c r="G37" s="134">
        <v>16509</v>
      </c>
      <c r="H37" s="136">
        <v>2214</v>
      </c>
      <c r="I37" s="135">
        <v>88.174971959621857</v>
      </c>
      <c r="J37" s="135">
        <v>11.825028040378145</v>
      </c>
      <c r="K37" s="155">
        <f>'2019_B4_Berechnung'!K6</f>
        <v>16198</v>
      </c>
      <c r="L37" s="155">
        <f>'2019_B4_Berechnung'!L6</f>
        <v>2629</v>
      </c>
      <c r="M37" s="156">
        <f t="shared" si="1"/>
        <v>86.036012110267166</v>
      </c>
      <c r="N37" s="156">
        <f t="shared" si="0"/>
        <v>13.963987889732831</v>
      </c>
    </row>
    <row r="38" spans="1:14" s="101" customFormat="1" ht="16.5" customHeight="1">
      <c r="A38" s="131" t="s">
        <v>7</v>
      </c>
      <c r="B38" s="131" t="s">
        <v>34</v>
      </c>
      <c r="C38" s="134">
        <v>29535</v>
      </c>
      <c r="D38" s="134">
        <v>1061</v>
      </c>
      <c r="E38" s="133">
        <v>96.53222643482809</v>
      </c>
      <c r="F38" s="133">
        <v>3.4677735651719179</v>
      </c>
      <c r="G38" s="134">
        <v>28843</v>
      </c>
      <c r="H38" s="136">
        <v>1047</v>
      </c>
      <c r="I38" s="135">
        <v>96.497156239545006</v>
      </c>
      <c r="J38" s="135">
        <v>3.5028437604550016</v>
      </c>
      <c r="K38" s="155">
        <f>'2019_B4_Berechnung'!K7</f>
        <v>25882</v>
      </c>
      <c r="L38" s="155">
        <f>'2019_B4_Berechnung'!L7</f>
        <v>1066</v>
      </c>
      <c r="M38" s="156">
        <f t="shared" si="1"/>
        <v>96.044233338281131</v>
      </c>
      <c r="N38" s="156">
        <f t="shared" si="0"/>
        <v>3.955766661718866</v>
      </c>
    </row>
    <row r="39" spans="1:14" s="101" customFormat="1" ht="16.5" customHeight="1">
      <c r="A39" s="131" t="s">
        <v>115</v>
      </c>
      <c r="B39" s="131" t="s">
        <v>34</v>
      </c>
      <c r="C39" s="134">
        <v>4094</v>
      </c>
      <c r="D39" s="134">
        <v>250</v>
      </c>
      <c r="E39" s="133">
        <v>94.244935543278089</v>
      </c>
      <c r="F39" s="133">
        <v>5.7550644567219154</v>
      </c>
      <c r="G39" s="134">
        <v>11483</v>
      </c>
      <c r="H39" s="136">
        <v>941</v>
      </c>
      <c r="I39" s="135">
        <v>92.425949774629743</v>
      </c>
      <c r="J39" s="135">
        <v>7.5740502253702502</v>
      </c>
      <c r="K39" s="155">
        <f>'2019_B4_Berechnung'!K8+'2019_B4_Berechnung'!K9+'2019_B4_Berechnung'!K10+'2019_B4_Berechnung'!K11+'2019_B4_Berechnung'!K12</f>
        <v>16923</v>
      </c>
      <c r="L39" s="155">
        <f>'2019_B4_Berechnung'!L8+'2019_B4_Berechnung'!L9+'2019_B4_Berechnung'!L10+'2019_B4_Berechnung'!L11+'2019_B4_Berechnung'!L12</f>
        <v>1453</v>
      </c>
      <c r="M39" s="156">
        <f t="shared" si="1"/>
        <v>92.092947322594682</v>
      </c>
      <c r="N39" s="156">
        <f t="shared" si="0"/>
        <v>7.9070526774053116</v>
      </c>
    </row>
    <row r="40" spans="1:14" s="101" customFormat="1" ht="16.5" customHeight="1">
      <c r="A40" s="131" t="s">
        <v>9</v>
      </c>
      <c r="B40" s="131" t="s">
        <v>34</v>
      </c>
      <c r="C40" s="134">
        <v>4270</v>
      </c>
      <c r="D40" s="134">
        <v>855</v>
      </c>
      <c r="E40" s="133">
        <v>83.317073170731703</v>
      </c>
      <c r="F40" s="133">
        <v>16.682926829268293</v>
      </c>
      <c r="G40" s="134">
        <v>1855</v>
      </c>
      <c r="H40" s="136">
        <v>186</v>
      </c>
      <c r="I40" s="135">
        <v>90.886820186183243</v>
      </c>
      <c r="J40" s="135">
        <v>9.1131798138167568</v>
      </c>
      <c r="K40" s="155">
        <f>'2019_B4_Berechnung'!K13+'2019_B4_Berechnung'!K14</f>
        <v>2201</v>
      </c>
      <c r="L40" s="155">
        <f>'2019_B4_Berechnung'!L13+'2019_B4_Berechnung'!L14</f>
        <v>187</v>
      </c>
      <c r="M40" s="156">
        <f t="shared" si="1"/>
        <v>92.169179229480733</v>
      </c>
      <c r="N40" s="156">
        <f t="shared" si="0"/>
        <v>7.8308207705192627</v>
      </c>
    </row>
    <row r="41" spans="1:14" s="101" customFormat="1" ht="16.5" customHeight="1">
      <c r="A41" s="131" t="s">
        <v>10</v>
      </c>
      <c r="B41" s="131" t="s">
        <v>34</v>
      </c>
      <c r="C41" s="134">
        <v>91024</v>
      </c>
      <c r="D41" s="134">
        <v>6533</v>
      </c>
      <c r="E41" s="133">
        <v>93.303402113636139</v>
      </c>
      <c r="F41" s="133">
        <v>6.69659788636387</v>
      </c>
      <c r="G41" s="134">
        <v>72925</v>
      </c>
      <c r="H41" s="136">
        <v>6717</v>
      </c>
      <c r="I41" s="135">
        <v>91.566007885286666</v>
      </c>
      <c r="J41" s="135">
        <v>8.4339921147133428</v>
      </c>
      <c r="K41" s="155">
        <f>'2019_B4_Berechnung'!K3</f>
        <v>71323</v>
      </c>
      <c r="L41" s="155">
        <f>'2019_B4_Berechnung'!L3</f>
        <v>7296</v>
      </c>
      <c r="M41" s="156">
        <f t="shared" si="1"/>
        <v>90.719800557117239</v>
      </c>
      <c r="N41" s="156">
        <f t="shared" si="0"/>
        <v>9.2801994428827648</v>
      </c>
    </row>
    <row r="42" spans="1:14" ht="8.25" customHeight="1">
      <c r="A42" s="12"/>
      <c r="B42" s="12"/>
      <c r="C42" s="24"/>
      <c r="D42" s="24"/>
      <c r="E42" s="19"/>
      <c r="F42" s="19"/>
      <c r="G42" s="113"/>
      <c r="H42" s="111"/>
      <c r="I42" s="112"/>
      <c r="J42" s="112"/>
      <c r="K42" s="153"/>
      <c r="L42" s="153"/>
      <c r="M42" s="153"/>
      <c r="N42" s="154"/>
    </row>
    <row r="43" spans="1:14" ht="8.25" customHeight="1">
      <c r="A43" s="245" t="s">
        <v>118</v>
      </c>
      <c r="B43" s="245"/>
      <c r="C43" s="245"/>
      <c r="D43" s="245"/>
      <c r="E43" s="245"/>
      <c r="F43" s="245"/>
      <c r="G43" s="245"/>
      <c r="H43" s="245"/>
      <c r="I43" s="245"/>
      <c r="J43" s="245"/>
    </row>
    <row r="44" spans="1:14" ht="8.25" customHeight="1">
      <c r="A44" s="245" t="s">
        <v>36</v>
      </c>
      <c r="B44" s="245"/>
      <c r="C44" s="245"/>
      <c r="D44" s="245"/>
      <c r="E44" s="245"/>
      <c r="F44" s="245"/>
      <c r="G44" s="245"/>
      <c r="H44" s="245"/>
      <c r="I44" s="245"/>
      <c r="J44" s="245"/>
    </row>
    <row r="45" spans="1:14" ht="8.25" customHeight="1">
      <c r="A45" s="29"/>
      <c r="B45" s="29"/>
      <c r="C45" s="29"/>
      <c r="D45" s="29"/>
      <c r="E45" s="29"/>
      <c r="F45" s="29"/>
      <c r="G45" s="30"/>
      <c r="H45" s="29"/>
      <c r="I45" s="29"/>
      <c r="J45" s="29"/>
    </row>
    <row r="46" spans="1:14" ht="8.25" customHeight="1">
      <c r="A46" s="31" t="s">
        <v>37</v>
      </c>
      <c r="B46" s="31"/>
      <c r="C46" s="31"/>
      <c r="D46" s="31"/>
      <c r="E46" s="31"/>
      <c r="F46" s="31"/>
      <c r="G46" s="31"/>
      <c r="H46" s="31"/>
      <c r="I46" s="31"/>
      <c r="J46" s="31"/>
    </row>
  </sheetData>
  <mergeCells count="13">
    <mergeCell ref="K3:N3"/>
    <mergeCell ref="K5:L5"/>
    <mergeCell ref="M5:N5"/>
    <mergeCell ref="A43:J43"/>
    <mergeCell ref="A44:J44"/>
    <mergeCell ref="A3:A5"/>
    <mergeCell ref="B3:B5"/>
    <mergeCell ref="C3:F3"/>
    <mergeCell ref="G3:J3"/>
    <mergeCell ref="C5:D5"/>
    <mergeCell ref="E5:F5"/>
    <mergeCell ref="G5:H5"/>
    <mergeCell ref="I5:J5"/>
  </mergeCells>
  <pageMargins left="0.7" right="0.7" top="0.78740157499999996" bottom="0.78740157499999996" header="0.3" footer="0.3"/>
  <pageSetup paperSize="9" orientation="portrait" r:id="rId1"/>
  <ignoredErrors>
    <ignoredError sqref="K11:K41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0000"/>
  </sheetPr>
  <dimension ref="A1:X105"/>
  <sheetViews>
    <sheetView topLeftCell="B1" zoomScale="130" zoomScaleNormal="130" workbookViewId="0">
      <selection activeCell="H45" sqref="H45"/>
    </sheetView>
  </sheetViews>
  <sheetFormatPr baseColWidth="10" defaultRowHeight="15"/>
  <cols>
    <col min="1" max="1" width="14.42578125" customWidth="1"/>
    <col min="2" max="2" width="25.42578125" customWidth="1"/>
  </cols>
  <sheetData>
    <row r="1" spans="1:24">
      <c r="B1" s="246" t="s">
        <v>2</v>
      </c>
      <c r="C1" s="233" t="s">
        <v>3</v>
      </c>
      <c r="D1" s="230" t="s">
        <v>4</v>
      </c>
      <c r="E1" s="237"/>
      <c r="F1" s="246"/>
      <c r="G1" s="240" t="s">
        <v>5</v>
      </c>
      <c r="H1" s="241"/>
      <c r="I1" s="248"/>
      <c r="J1" s="250" t="s">
        <v>6</v>
      </c>
      <c r="K1" s="251"/>
      <c r="L1" s="252"/>
      <c r="M1" s="240" t="s">
        <v>7</v>
      </c>
      <c r="N1" s="241"/>
      <c r="O1" s="248"/>
      <c r="P1" s="240" t="s">
        <v>8</v>
      </c>
      <c r="Q1" s="241"/>
      <c r="R1" s="248"/>
      <c r="S1" s="240" t="s">
        <v>9</v>
      </c>
      <c r="T1" s="241"/>
      <c r="U1" s="248"/>
      <c r="V1" s="240" t="s">
        <v>10</v>
      </c>
      <c r="W1" s="241"/>
      <c r="X1" s="241"/>
    </row>
    <row r="2" spans="1:24" ht="16.5">
      <c r="B2" s="247"/>
      <c r="C2" s="234"/>
      <c r="D2" s="6" t="s">
        <v>10</v>
      </c>
      <c r="E2" s="6" t="s">
        <v>11</v>
      </c>
      <c r="F2" s="7" t="s">
        <v>12</v>
      </c>
      <c r="G2" s="7" t="s">
        <v>10</v>
      </c>
      <c r="H2" s="6" t="s">
        <v>11</v>
      </c>
      <c r="I2" s="7" t="s">
        <v>12</v>
      </c>
      <c r="J2" s="7" t="s">
        <v>10</v>
      </c>
      <c r="K2" s="6" t="s">
        <v>11</v>
      </c>
      <c r="L2" s="7" t="s">
        <v>12</v>
      </c>
      <c r="M2" s="7" t="s">
        <v>10</v>
      </c>
      <c r="N2" s="6" t="s">
        <v>11</v>
      </c>
      <c r="O2" s="7" t="s">
        <v>12</v>
      </c>
      <c r="P2" s="7" t="s">
        <v>10</v>
      </c>
      <c r="Q2" s="6" t="s">
        <v>11</v>
      </c>
      <c r="R2" s="7" t="s">
        <v>12</v>
      </c>
      <c r="S2" s="7" t="s">
        <v>10</v>
      </c>
      <c r="T2" s="6" t="s">
        <v>11</v>
      </c>
      <c r="U2" s="7" t="s">
        <v>12</v>
      </c>
      <c r="V2" s="7" t="s">
        <v>10</v>
      </c>
      <c r="W2" s="6" t="s">
        <v>11</v>
      </c>
      <c r="X2" s="8" t="s">
        <v>12</v>
      </c>
    </row>
    <row r="3" spans="1:24">
      <c r="B3" s="249"/>
      <c r="C3" s="235"/>
      <c r="D3" s="75"/>
      <c r="E3" s="73" t="s">
        <v>38</v>
      </c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</row>
    <row r="4" spans="1:24">
      <c r="B4" s="9" t="s">
        <v>14</v>
      </c>
      <c r="C4" s="10" t="s">
        <v>15</v>
      </c>
      <c r="D4" s="10">
        <v>3</v>
      </c>
      <c r="E4" s="10" t="s">
        <v>16</v>
      </c>
      <c r="F4" s="10" t="s">
        <v>17</v>
      </c>
      <c r="G4" s="10">
        <v>5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v>21</v>
      </c>
      <c r="W4" s="10">
        <v>22</v>
      </c>
      <c r="X4" s="10">
        <v>23</v>
      </c>
    </row>
    <row r="5" spans="1:24">
      <c r="B5" s="11" t="s">
        <v>30</v>
      </c>
      <c r="C5" s="12">
        <v>2011</v>
      </c>
      <c r="D5" s="12">
        <f>'2018_B4_Berechnung'!C17+'2018_B4_Berechnung'!C22</f>
        <v>2595</v>
      </c>
      <c r="E5" s="13">
        <f>'2018_B4_Berechnung'!E17+'2018_B4_Berechnung'!E22</f>
        <v>2267</v>
      </c>
      <c r="F5" s="13">
        <f t="shared" ref="F5:F34" si="0">D5-E5</f>
        <v>328</v>
      </c>
      <c r="G5" s="13">
        <f>'2018_B4_Berechnung'!C18+'2018_B4_Berechnung'!C23</f>
        <v>5880</v>
      </c>
      <c r="H5" s="13">
        <f>'2018_B4_Berechnung'!E18+'2018_B4_Berechnung'!E23</f>
        <v>5244</v>
      </c>
      <c r="I5" s="13">
        <f>G5-H5</f>
        <v>636</v>
      </c>
      <c r="J5" s="85" t="s">
        <v>35</v>
      </c>
      <c r="K5" s="85" t="s">
        <v>35</v>
      </c>
      <c r="L5" s="86" t="s">
        <v>35</v>
      </c>
      <c r="M5" s="86">
        <f>'2018_B4_Berechnung'!C20+'2018_B4_Berechnung'!C24+'2018_B4_Berechnung'!C25</f>
        <v>6664</v>
      </c>
      <c r="N5" s="86">
        <f>'2018_B4_Berechnung'!E20+'2018_B4_Berechnung'!E24+'2018_B4_Berechnung'!E25</f>
        <v>6279</v>
      </c>
      <c r="O5" s="86">
        <f>'2018_B4_Berechnung'!D20+'2018_B4_Berechnung'!D24+'2018_B4_Berechnung'!D25</f>
        <v>189</v>
      </c>
      <c r="P5" s="13">
        <f>'2018_B4_Berechnung'!C21</f>
        <v>1271</v>
      </c>
      <c r="Q5" s="13">
        <f>'2018_B4_Berechnung'!E21</f>
        <v>1205</v>
      </c>
      <c r="R5" s="13">
        <f t="shared" ref="R5:R34" si="1">P5-Q5</f>
        <v>66</v>
      </c>
      <c r="S5" s="13">
        <f>'2018_B4_Berechnung'!C26+'2018_B4_Berechnung'!C27</f>
        <v>625</v>
      </c>
      <c r="T5" s="13">
        <f>'2018_B4_Berechnung'!E26+'2018_B4_Berechnung'!E27</f>
        <v>520</v>
      </c>
      <c r="U5" s="13">
        <f t="shared" ref="U5:U34" si="2">S5-T5</f>
        <v>105</v>
      </c>
      <c r="V5" s="13">
        <f>'2018_B4_Berechnung'!C16</f>
        <v>17035</v>
      </c>
      <c r="W5" s="13">
        <f>'2018_B4_Berechnung'!E16</f>
        <v>15948</v>
      </c>
      <c r="X5" s="13">
        <f t="shared" ref="X5:X34" si="3">V5-W5</f>
        <v>1087</v>
      </c>
    </row>
    <row r="6" spans="1:24">
      <c r="B6" s="11" t="s">
        <v>31</v>
      </c>
      <c r="C6" s="12">
        <v>2011</v>
      </c>
      <c r="D6" s="12">
        <f>'2018_B4_Berechnung'!C30+'2018_B4_Berechnung'!C35</f>
        <v>3246</v>
      </c>
      <c r="E6" s="13">
        <f>'2018_B4_Berechnung'!E30+'2018_B4_Berechnung'!E35</f>
        <v>2749</v>
      </c>
      <c r="F6" s="13">
        <f t="shared" si="0"/>
        <v>497</v>
      </c>
      <c r="G6" s="13">
        <f>'2018_B4_Berechnung'!C31+'2018_B4_Berechnung'!C36</f>
        <v>7823</v>
      </c>
      <c r="H6" s="13">
        <f>'2018_B4_Berechnung'!E31+'2018_B4_Berechnung'!E36</f>
        <v>7156</v>
      </c>
      <c r="I6" s="13">
        <f t="shared" ref="I6:I34" si="4">G6-H6</f>
        <v>667</v>
      </c>
      <c r="J6" s="85" t="s">
        <v>35</v>
      </c>
      <c r="K6" s="85" t="s">
        <v>35</v>
      </c>
      <c r="L6" s="86" t="s">
        <v>35</v>
      </c>
      <c r="M6" s="86">
        <f>'2018_B4_Berechnung'!C33+'2018_B4_Berechnung'!C38+'2018_B4_Berechnung'!C37</f>
        <v>9179</v>
      </c>
      <c r="N6" s="13">
        <f>'2018_B4_Berechnung'!E33+'2018_B4_Berechnung'!E37+'2018_B4_Berechnung'!E38</f>
        <v>8736</v>
      </c>
      <c r="O6" s="13">
        <f t="shared" ref="O6:O14" si="5">M6-N6</f>
        <v>443</v>
      </c>
      <c r="P6" s="13">
        <f>'2018_B4_Berechnung'!C34</f>
        <v>1843</v>
      </c>
      <c r="Q6" s="13">
        <f>'2018_B4_Berechnung'!E34</f>
        <v>1658</v>
      </c>
      <c r="R6" s="13">
        <f t="shared" si="1"/>
        <v>185</v>
      </c>
      <c r="S6" s="13">
        <f>'2018_B4_Berechnung'!C39+'2018_B4_Berechnung'!C40</f>
        <v>1044</v>
      </c>
      <c r="T6" s="13">
        <f>'2018_B4_Berechnung'!E39+'2018_B4_Berechnung'!E40</f>
        <v>848</v>
      </c>
      <c r="U6" s="13">
        <f t="shared" si="2"/>
        <v>196</v>
      </c>
      <c r="V6" s="13">
        <f>'2018_B4_Berechnung'!C29</f>
        <v>23135</v>
      </c>
      <c r="W6" s="13">
        <f>'2018_B4_Berechnung'!E29</f>
        <v>21147</v>
      </c>
      <c r="X6" s="13">
        <f t="shared" si="3"/>
        <v>1988</v>
      </c>
    </row>
    <row r="7" spans="1:24">
      <c r="B7" s="11" t="s">
        <v>32</v>
      </c>
      <c r="C7" s="12">
        <v>2011</v>
      </c>
      <c r="D7" s="12">
        <f>'2018_B4_Berechnung'!C43+'2018_B4_Berechnung'!C48</f>
        <v>3811</v>
      </c>
      <c r="E7" s="13">
        <f>'2018_B4_Berechnung'!E43+'2018_B4_Berechnung'!E48</f>
        <v>3460</v>
      </c>
      <c r="F7" s="13">
        <f t="shared" si="0"/>
        <v>351</v>
      </c>
      <c r="G7" s="13">
        <f>'2018_B4_Berechnung'!C44+'2018_B4_Berechnung'!C49</f>
        <v>8139</v>
      </c>
      <c r="H7" s="13">
        <f>'2018_B4_Berechnung'!E44+'2018_B4_Berechnung'!E49</f>
        <v>7851</v>
      </c>
      <c r="I7" s="13">
        <f t="shared" si="4"/>
        <v>288</v>
      </c>
      <c r="J7" s="85" t="s">
        <v>35</v>
      </c>
      <c r="K7" s="85" t="s">
        <v>35</v>
      </c>
      <c r="L7" s="86" t="s">
        <v>35</v>
      </c>
      <c r="M7" s="86">
        <f>'2018_B4_Berechnung'!C46+'2018_B4_Berechnung'!C50+'2018_B4_Berechnung'!C51</f>
        <v>7718</v>
      </c>
      <c r="N7" s="13">
        <f>'2018_B4_Berechnung'!E46+'2018_B4_Berechnung'!E50+'2018_B4_Berechnung'!E51</f>
        <v>7580</v>
      </c>
      <c r="O7" s="13">
        <f t="shared" si="5"/>
        <v>138</v>
      </c>
      <c r="P7" s="13">
        <f>'2018_B4_Berechnung'!C47</f>
        <v>384</v>
      </c>
      <c r="Q7" s="13">
        <f>'2018_B4_Berechnung'!E47</f>
        <v>383</v>
      </c>
      <c r="R7" s="13">
        <f t="shared" si="1"/>
        <v>1</v>
      </c>
      <c r="S7" s="13">
        <f>'2018_B4_Berechnung'!C52+'2018_B4_Berechnung'!C53</f>
        <v>693</v>
      </c>
      <c r="T7" s="13">
        <f>'2018_B4_Berechnung'!E52+'2018_B4_Berechnung'!E53</f>
        <v>609</v>
      </c>
      <c r="U7" s="13">
        <f t="shared" si="2"/>
        <v>84</v>
      </c>
      <c r="V7" s="13">
        <f>'2018_B4_Berechnung'!C42</f>
        <v>20745</v>
      </c>
      <c r="W7" s="13">
        <f>'2018_B4_Berechnung'!E42</f>
        <v>19883</v>
      </c>
      <c r="X7" s="13">
        <f t="shared" si="3"/>
        <v>862</v>
      </c>
    </row>
    <row r="8" spans="1:24">
      <c r="B8" s="11" t="s">
        <v>33</v>
      </c>
      <c r="C8" s="12">
        <v>2011</v>
      </c>
      <c r="D8" s="12">
        <f>'2018_B4_Berechnung'!C56+'2018_B4_Berechnung'!C61</f>
        <v>6087</v>
      </c>
      <c r="E8" s="13">
        <f>'2018_B4_Berechnung'!E56+'2018_B4_Berechnung'!E61</f>
        <v>5474</v>
      </c>
      <c r="F8" s="13">
        <f t="shared" si="0"/>
        <v>613</v>
      </c>
      <c r="G8" s="13">
        <f>'2018_B4_Berechnung'!C57+'2018_B4_Berechnung'!C62</f>
        <v>11826</v>
      </c>
      <c r="H8" s="13">
        <f>'2018_B4_Berechnung'!E57+'2018_B4_Berechnung'!E62</f>
        <v>11289</v>
      </c>
      <c r="I8" s="13">
        <f t="shared" si="4"/>
        <v>537</v>
      </c>
      <c r="J8" s="85" t="s">
        <v>35</v>
      </c>
      <c r="K8" s="85" t="s">
        <v>35</v>
      </c>
      <c r="L8" s="86" t="s">
        <v>35</v>
      </c>
      <c r="M8" s="86">
        <f>'2018_B4_Berechnung'!C59+'2018_B4_Berechnung'!C63+'2018_B4_Berechnung'!C64</f>
        <v>9998</v>
      </c>
      <c r="N8" s="13">
        <f>'2018_B4_Berechnung'!E63+'2018_B4_Berechnung'!E64+'2018_B4_Berechnung'!E59</f>
        <v>9755</v>
      </c>
      <c r="O8" s="13">
        <f t="shared" si="5"/>
        <v>243</v>
      </c>
      <c r="P8" s="13">
        <f>'2018_B4_Berechnung'!C60</f>
        <v>1456</v>
      </c>
      <c r="Q8" s="13">
        <f>'2018_B4_Berechnung'!E60</f>
        <v>1435</v>
      </c>
      <c r="R8" s="13">
        <f t="shared" si="1"/>
        <v>21</v>
      </c>
      <c r="S8" s="13">
        <f>'2018_B4_Berechnung'!C65+'2018_B4_Berechnung'!C66</f>
        <v>1376</v>
      </c>
      <c r="T8" s="13">
        <f>'2018_B4_Berechnung'!E65+'2018_B4_Berechnung'!E66</f>
        <v>1225</v>
      </c>
      <c r="U8" s="13">
        <f t="shared" si="2"/>
        <v>151</v>
      </c>
      <c r="V8" s="13">
        <f>'2018_B4_Berechnung'!C55</f>
        <v>30743</v>
      </c>
      <c r="W8" s="13">
        <f>'2018_B4_Berechnung'!E55</f>
        <v>29178</v>
      </c>
      <c r="X8" s="13">
        <f t="shared" si="3"/>
        <v>1565</v>
      </c>
    </row>
    <row r="9" spans="1:24">
      <c r="A9" s="221"/>
      <c r="B9" s="11" t="s">
        <v>34</v>
      </c>
      <c r="C9" s="12">
        <v>2011</v>
      </c>
      <c r="D9" s="12">
        <f>'2018_B4_Berechnung'!C4+'2018_B4_Berechnung'!C9</f>
        <v>15739</v>
      </c>
      <c r="E9" s="84">
        <f>'2018_B4_Berechnung'!E4+'2018_B4_Berechnung'!E9</f>
        <v>13950</v>
      </c>
      <c r="F9" s="13">
        <f t="shared" si="0"/>
        <v>1789</v>
      </c>
      <c r="G9" s="92">
        <f>'2018_B4_Berechnung'!C5+'2018_B4_Berechnung'!C10</f>
        <v>33668</v>
      </c>
      <c r="H9" s="2">
        <f>'2018_B4_Berechnung'!E5+'2018_B4_Berechnung'!E10</f>
        <v>31777</v>
      </c>
      <c r="I9" s="92">
        <f>'2018_B4_Berechnung'!D5+'2018_B4_Berechnung'!D10</f>
        <v>1891</v>
      </c>
      <c r="J9" s="85" t="s">
        <v>35</v>
      </c>
      <c r="K9" s="85" t="s">
        <v>35</v>
      </c>
      <c r="L9" s="86" t="s">
        <v>35</v>
      </c>
      <c r="M9" s="86">
        <f>'2018_B4_Berechnung'!C7+'2018_B4_Berechnung'!C11+'2018_B4_Berechnung'!C12</f>
        <v>33559</v>
      </c>
      <c r="N9" s="84">
        <f>'2018_B4_Berechnung'!E7+'2018_B4_Berechnung'!E11+'2018_B4_Berechnung'!E12</f>
        <v>32546</v>
      </c>
      <c r="O9" s="13">
        <f t="shared" si="5"/>
        <v>1013</v>
      </c>
      <c r="P9" s="13">
        <f>'2018_B4_Berechnung'!C8</f>
        <v>4954</v>
      </c>
      <c r="Q9" s="84">
        <f>'2018_B4_Berechnung'!E8</f>
        <v>4681</v>
      </c>
      <c r="R9" s="13">
        <f t="shared" si="1"/>
        <v>273</v>
      </c>
      <c r="S9" s="84">
        <f>'2018_B4_Berechnung'!C13+'2018_B4_Berechnung'!C14</f>
        <v>3738</v>
      </c>
      <c r="T9" s="84">
        <f>'2018_B4_Berechnung'!E13+'2018_B4_Berechnung'!E14</f>
        <v>3202</v>
      </c>
      <c r="U9" s="13">
        <f t="shared" si="2"/>
        <v>536</v>
      </c>
      <c r="V9" s="13">
        <f>'2018_B4_Berechnung'!C3</f>
        <v>91658</v>
      </c>
      <c r="W9" s="84">
        <f>'2018_B4_Berechnung'!E3</f>
        <v>86156</v>
      </c>
      <c r="X9" s="13">
        <f t="shared" si="3"/>
        <v>5502</v>
      </c>
    </row>
    <row r="10" spans="1:24">
      <c r="B10" s="11" t="s">
        <v>30</v>
      </c>
      <c r="C10" s="88">
        <v>2013</v>
      </c>
      <c r="D10" s="2">
        <f>'2018_B4_Berechnung'!C82+'2018_B4_Berechnung'!C87</f>
        <v>2116</v>
      </c>
      <c r="E10" s="2">
        <f>'2018_B4_Berechnung'!E82+'2018_B4_Berechnung'!E87</f>
        <v>1855</v>
      </c>
      <c r="F10" s="92">
        <f t="shared" si="0"/>
        <v>261</v>
      </c>
      <c r="G10" s="2">
        <f>'2018_B4_Berechnung'!C83+'2018_B4_Berechnung'!C88</f>
        <v>4761</v>
      </c>
      <c r="H10" s="2">
        <f>'2018_B4_Berechnung'!E83+'2018_B4_Berechnung'!E88</f>
        <v>4394</v>
      </c>
      <c r="I10" s="92">
        <f t="shared" si="4"/>
        <v>367</v>
      </c>
      <c r="J10" s="85" t="s">
        <v>35</v>
      </c>
      <c r="K10" s="85" t="s">
        <v>35</v>
      </c>
      <c r="L10" s="86" t="s">
        <v>35</v>
      </c>
      <c r="M10" s="2">
        <f>'2018_B4_Berechnung'!C85+'2018_B4_Berechnung'!C89+'2018_B4_Berechnung'!C90</f>
        <v>6157</v>
      </c>
      <c r="N10" s="2">
        <f>'2018_B4_Berechnung'!E85+'2018_B4_Berechnung'!E89+'2018_B4_Berechnung'!E90</f>
        <v>5993</v>
      </c>
      <c r="O10" s="92">
        <f t="shared" si="5"/>
        <v>164</v>
      </c>
      <c r="P10" s="2">
        <f>'2018_B4_Berechnung'!C86</f>
        <v>2541</v>
      </c>
      <c r="Q10" s="2">
        <f>'2018_B4_Berechnung'!E86</f>
        <v>2461</v>
      </c>
      <c r="R10" s="92">
        <f t="shared" si="1"/>
        <v>80</v>
      </c>
      <c r="S10" s="2">
        <f>'2018_B4_Berechnung'!C91+'2018_B4_Berechnung'!C92</f>
        <v>594</v>
      </c>
      <c r="T10" s="2">
        <f>'2018_B4_Berechnung'!E91+'2018_B4_Berechnung'!E92</f>
        <v>523</v>
      </c>
      <c r="U10" s="92">
        <f t="shared" si="2"/>
        <v>71</v>
      </c>
      <c r="V10" s="2">
        <f>'2018_B4_Berechnung'!C81</f>
        <v>16169</v>
      </c>
      <c r="W10" s="2">
        <f>'2018_B4_Berechnung'!E81</f>
        <v>15226</v>
      </c>
      <c r="X10" s="92">
        <f t="shared" si="3"/>
        <v>943</v>
      </c>
    </row>
    <row r="11" spans="1:24">
      <c r="B11" s="11" t="s">
        <v>31</v>
      </c>
      <c r="C11" s="88">
        <v>2013</v>
      </c>
      <c r="D11" s="2">
        <f>'2018_B4_Berechnung'!C95+'2018_B4_Berechnung'!C100</f>
        <v>2704</v>
      </c>
      <c r="E11" s="2">
        <f>'2018_B4_Berechnung'!E95+'2018_B4_Berechnung'!E100</f>
        <v>2273</v>
      </c>
      <c r="F11" s="92">
        <f t="shared" si="0"/>
        <v>431</v>
      </c>
      <c r="G11" s="2">
        <f>'2018_B4_Berechnung'!C96+'2018_B4_Berechnung'!C101</f>
        <v>6242</v>
      </c>
      <c r="H11" s="2">
        <f>'2018_B4_Berechnung'!E96+'2018_B4_Berechnung'!E101</f>
        <v>5719</v>
      </c>
      <c r="I11" s="92">
        <f t="shared" si="4"/>
        <v>523</v>
      </c>
      <c r="J11" s="85" t="s">
        <v>35</v>
      </c>
      <c r="K11" s="85" t="s">
        <v>35</v>
      </c>
      <c r="L11" s="86" t="s">
        <v>35</v>
      </c>
      <c r="M11" s="2">
        <f>'2018_B4_Berechnung'!C98+'2018_B4_Berechnung'!C102+'2018_B4_Berechnung'!C103</f>
        <v>8511</v>
      </c>
      <c r="N11" s="2">
        <f>'2018_B4_Berechnung'!E98+'2018_B4_Berechnung'!E102+'2018_B4_Berechnung'!E103</f>
        <v>8151</v>
      </c>
      <c r="O11" s="92">
        <f t="shared" si="5"/>
        <v>360</v>
      </c>
      <c r="P11" s="2">
        <f>'2018_B4_Berechnung'!C99</f>
        <v>3409</v>
      </c>
      <c r="Q11" s="2">
        <f>'2018_B4_Berechnung'!E99</f>
        <v>3160</v>
      </c>
      <c r="R11" s="92">
        <f t="shared" si="1"/>
        <v>249</v>
      </c>
      <c r="S11" s="2">
        <f>'2018_B4_Berechnung'!C104+'2018_B4_Berechnung'!C105</f>
        <v>824</v>
      </c>
      <c r="T11" s="2">
        <f>'2018_B4_Berechnung'!E104+'2018_B4_Berechnung'!E105</f>
        <v>715</v>
      </c>
      <c r="U11" s="92">
        <f t="shared" si="2"/>
        <v>109</v>
      </c>
      <c r="V11" s="2">
        <f>'2018_B4_Berechnung'!C94</f>
        <v>21690</v>
      </c>
      <c r="W11" s="2">
        <f>'2018_B4_Berechnung'!E94</f>
        <v>20018</v>
      </c>
      <c r="X11" s="92">
        <f t="shared" si="3"/>
        <v>1672</v>
      </c>
    </row>
    <row r="12" spans="1:24">
      <c r="B12" s="11" t="s">
        <v>32</v>
      </c>
      <c r="C12" s="88">
        <v>2013</v>
      </c>
      <c r="D12" s="2">
        <f>'2018_B4_Berechnung'!C108+'2018_B4_Berechnung'!C113</f>
        <v>3258</v>
      </c>
      <c r="E12" s="2">
        <f>'2018_B4_Berechnung'!E108+'2018_B4_Berechnung'!E113</f>
        <v>2971</v>
      </c>
      <c r="F12" s="92">
        <f t="shared" si="0"/>
        <v>287</v>
      </c>
      <c r="G12" s="2">
        <f>'2018_B4_Berechnung'!C109+'2018_B4_Berechnung'!C114</f>
        <v>7682</v>
      </c>
      <c r="H12" s="2">
        <f>'2018_B4_Berechnung'!E109+'2018_B4_Berechnung'!E114</f>
        <v>7449</v>
      </c>
      <c r="I12" s="92">
        <f t="shared" si="4"/>
        <v>233</v>
      </c>
      <c r="J12" s="85" t="s">
        <v>35</v>
      </c>
      <c r="K12" s="85" t="s">
        <v>35</v>
      </c>
      <c r="L12" s="86" t="s">
        <v>35</v>
      </c>
      <c r="M12" s="2">
        <f>'2018_B4_Berechnung'!C111+'2018_B4_Berechnung'!C115+'2018_B4_Berechnung'!C116</f>
        <v>7138</v>
      </c>
      <c r="N12" s="2">
        <f>'2018_B4_Berechnung'!E111+'2018_B4_Berechnung'!E115+'2018_B4_Berechnung'!E116</f>
        <v>7043</v>
      </c>
      <c r="O12" s="92">
        <f t="shared" si="5"/>
        <v>95</v>
      </c>
      <c r="P12" s="2">
        <f>'2018_B4_Berechnung'!C112</f>
        <v>825</v>
      </c>
      <c r="Q12" s="2">
        <f>'2018_B4_Berechnung'!E112</f>
        <v>811</v>
      </c>
      <c r="R12" s="92">
        <f t="shared" si="1"/>
        <v>14</v>
      </c>
      <c r="S12" s="2">
        <f>'2018_B4_Berechnung'!C117+'2018_B4_Berechnung'!C118</f>
        <v>549</v>
      </c>
      <c r="T12" s="2">
        <f>'2018_B4_Berechnung'!E117+'2018_B4_Berechnung'!E118</f>
        <v>501</v>
      </c>
      <c r="U12" s="92">
        <f t="shared" si="2"/>
        <v>48</v>
      </c>
      <c r="V12" s="2">
        <f>'2018_B4_Berechnung'!C107</f>
        <v>19452</v>
      </c>
      <c r="W12" s="2">
        <f>'2018_B4_Berechnung'!E107</f>
        <v>18775</v>
      </c>
      <c r="X12" s="92">
        <f t="shared" si="3"/>
        <v>677</v>
      </c>
    </row>
    <row r="13" spans="1:24">
      <c r="B13" s="11" t="s">
        <v>33</v>
      </c>
      <c r="C13" s="88">
        <v>2013</v>
      </c>
      <c r="D13" s="2">
        <f>'2018_B4_Berechnung'!C121+'2018_B4_Berechnung'!C126</f>
        <v>5115</v>
      </c>
      <c r="E13" s="2">
        <f>'2018_B4_Berechnung'!E121+'2018_B4_Berechnung'!E126</f>
        <v>4624</v>
      </c>
      <c r="F13" s="92">
        <f t="shared" si="0"/>
        <v>491</v>
      </c>
      <c r="G13" s="2">
        <f>'2018_B4_Berechnung'!C122+'2018_B4_Berechnung'!C127</f>
        <v>10682</v>
      </c>
      <c r="H13" s="2">
        <f>'2018_B4_Berechnung'!E122+'2018_B4_Berechnung'!E127</f>
        <v>10212</v>
      </c>
      <c r="I13" s="92">
        <f t="shared" si="4"/>
        <v>470</v>
      </c>
      <c r="J13" s="85" t="s">
        <v>35</v>
      </c>
      <c r="K13" s="85" t="s">
        <v>35</v>
      </c>
      <c r="L13" s="86" t="s">
        <v>35</v>
      </c>
      <c r="M13" s="2">
        <f>'2018_B4_Berechnung'!C124+'2018_B4_Berechnung'!C128+'2018_B4_Berechnung'!C129</f>
        <v>9367</v>
      </c>
      <c r="N13" s="2">
        <f>'2018_B4_Berechnung'!E124+'2018_B4_Berechnung'!E128+'2018_B4_Berechnung'!E129</f>
        <v>9149</v>
      </c>
      <c r="O13" s="92">
        <f t="shared" si="5"/>
        <v>218</v>
      </c>
      <c r="P13" s="2">
        <f>'2018_B4_Berechnung'!C125</f>
        <v>2551</v>
      </c>
      <c r="Q13" s="2">
        <f>'2018_B4_Berechnung'!E125</f>
        <v>2505</v>
      </c>
      <c r="R13" s="92">
        <f t="shared" si="1"/>
        <v>46</v>
      </c>
      <c r="S13" s="2">
        <f>'2018_B4_Berechnung'!C130+'2018_B4_Berechnung'!C131</f>
        <v>1359</v>
      </c>
      <c r="T13" s="2">
        <f>'2018_B4_Berechnung'!E130+'2018_B4_Berechnung'!E131</f>
        <v>1242</v>
      </c>
      <c r="U13" s="92">
        <f t="shared" si="2"/>
        <v>117</v>
      </c>
      <c r="V13" s="2">
        <f>'2018_B4_Berechnung'!C120</f>
        <v>29074</v>
      </c>
      <c r="W13" s="2">
        <f>'2018_B4_Berechnung'!E120</f>
        <v>27732</v>
      </c>
      <c r="X13" s="92">
        <f t="shared" si="3"/>
        <v>1342</v>
      </c>
    </row>
    <row r="14" spans="1:24">
      <c r="B14" s="11" t="s">
        <v>34</v>
      </c>
      <c r="C14" s="88">
        <v>2013</v>
      </c>
      <c r="D14" s="2">
        <f>'2018_B4_Berechnung'!C74+'2018_B4_Berechnung'!C69</f>
        <v>13193</v>
      </c>
      <c r="E14" s="2">
        <f>'2018_B4_Berechnung'!E74+'2018_B4_Berechnung'!E69</f>
        <v>11723</v>
      </c>
      <c r="F14" s="92">
        <f t="shared" si="0"/>
        <v>1470</v>
      </c>
      <c r="G14" s="2">
        <f>'2018_B4_Berechnung'!C70+'2018_B4_Berechnung'!C75</f>
        <v>29367</v>
      </c>
      <c r="H14" s="2">
        <f>'2018_B4_Berechnung'!E70+'2018_B4_Berechnung'!E75</f>
        <v>27774</v>
      </c>
      <c r="I14" s="92">
        <f t="shared" si="4"/>
        <v>1593</v>
      </c>
      <c r="J14" s="85" t="s">
        <v>35</v>
      </c>
      <c r="K14" s="85" t="s">
        <v>35</v>
      </c>
      <c r="L14" s="86" t="s">
        <v>35</v>
      </c>
      <c r="M14" s="2">
        <f>'2018_B4_Berechnung'!C72+'2018_B4_Berechnung'!C76+'2018_B4_Berechnung'!C77</f>
        <v>31173</v>
      </c>
      <c r="N14" s="2">
        <f>'2018_B4_Berechnung'!E72+'2018_B4_Berechnung'!E76+'2018_B4_Berechnung'!E77</f>
        <v>30336</v>
      </c>
      <c r="O14" s="92">
        <f t="shared" si="5"/>
        <v>837</v>
      </c>
      <c r="P14" s="2">
        <f>'2018_B4_Berechnung'!C73</f>
        <v>9326</v>
      </c>
      <c r="Q14" s="2">
        <f>'2018_B4_Berechnung'!E73</f>
        <v>8937</v>
      </c>
      <c r="R14" s="92">
        <f t="shared" si="1"/>
        <v>389</v>
      </c>
      <c r="S14" s="2">
        <f>'2018_B4_Berechnung'!C78+'2018_B4_Berechnung'!C79</f>
        <v>3326</v>
      </c>
      <c r="T14" s="2">
        <f>'2018_B4_Berechnung'!E78+'2018_B4_Berechnung'!E79</f>
        <v>2981</v>
      </c>
      <c r="U14" s="92">
        <f t="shared" si="2"/>
        <v>345</v>
      </c>
      <c r="V14" s="2">
        <f>'2018_B4_Berechnung'!C68</f>
        <v>86385</v>
      </c>
      <c r="W14" s="2">
        <f>'2018_B4_Berechnung'!E68</f>
        <v>81751</v>
      </c>
      <c r="X14" s="92">
        <f t="shared" si="3"/>
        <v>4634</v>
      </c>
    </row>
    <row r="15" spans="1:24">
      <c r="B15" s="11" t="s">
        <v>30</v>
      </c>
      <c r="C15" s="93">
        <v>2015</v>
      </c>
      <c r="D15" s="85">
        <f>'2018_B4_Berechnung'!C147+'2018_B4_Berechnung'!C152</f>
        <v>1438</v>
      </c>
      <c r="E15" s="85">
        <f>'2018_B4_Berechnung'!E147+'2018_B4_Berechnung'!E152</f>
        <v>1215</v>
      </c>
      <c r="F15" s="92">
        <f t="shared" si="0"/>
        <v>223</v>
      </c>
      <c r="G15" s="85">
        <f>'2018_B4_Berechnung'!C148+'2018_B4_Berechnung'!C153</f>
        <v>3065</v>
      </c>
      <c r="H15" s="85">
        <f>'2018_B4_Berechnung'!E148+'2018_B4_Berechnung'!E153</f>
        <v>2856</v>
      </c>
      <c r="I15" s="92">
        <f t="shared" si="4"/>
        <v>209</v>
      </c>
      <c r="J15" s="2">
        <f>'2018_B4_Berechnung'!C149</f>
        <v>1498</v>
      </c>
      <c r="K15" s="2">
        <f>'2018_B4_Berechnung'!E149</f>
        <v>1421</v>
      </c>
      <c r="L15" s="2">
        <f t="shared" ref="L15:L34" si="6">J15-K15</f>
        <v>77</v>
      </c>
      <c r="M15" s="2">
        <f>'2018_B4_Berechnung'!C150+'2018_B4_Berechnung'!C154+'2018_B4_Berechnung'!C155</f>
        <v>5580</v>
      </c>
      <c r="N15" s="2">
        <f>'2018_B4_Berechnung'!E150+'2018_B4_Berechnung'!E154+'2018_B4_Berechnung'!E155</f>
        <v>5240</v>
      </c>
      <c r="O15" s="2">
        <f>'2018_B4_Berechnung'!D150+'2018_B4_Berechnung'!D154+'2018_B4_Berechnung'!D155</f>
        <v>147</v>
      </c>
      <c r="P15" s="2">
        <f>'2018_B4_Berechnung'!C151</f>
        <v>2709</v>
      </c>
      <c r="Q15" s="2">
        <f>'2018_B4_Berechnung'!E151</f>
        <v>2591</v>
      </c>
      <c r="R15" s="92">
        <f t="shared" si="1"/>
        <v>118</v>
      </c>
      <c r="S15" s="2">
        <f>'2018_B4_Berechnung'!C156+'2018_B4_Berechnung'!C157</f>
        <v>517</v>
      </c>
      <c r="T15" s="2">
        <f>'2018_B4_Berechnung'!E156+'2018_B4_Berechnung'!E157</f>
        <v>463</v>
      </c>
      <c r="U15" s="92">
        <f t="shared" si="2"/>
        <v>54</v>
      </c>
      <c r="V15" s="2">
        <f>'2018_B4_Berechnung'!C146</f>
        <v>14807</v>
      </c>
      <c r="W15" s="2">
        <f>'2018_B4_Berechnung'!E146</f>
        <v>13979</v>
      </c>
      <c r="X15" s="92">
        <f t="shared" si="3"/>
        <v>828</v>
      </c>
    </row>
    <row r="16" spans="1:24">
      <c r="B16" s="11" t="s">
        <v>31</v>
      </c>
      <c r="C16" s="93">
        <v>2015</v>
      </c>
      <c r="D16" s="85">
        <f>'2018_B4_Berechnung'!C160+'2018_B4_Berechnung'!C165</f>
        <v>1534</v>
      </c>
      <c r="E16" s="85">
        <f>'2018_B4_Berechnung'!E160+'2018_B4_Berechnung'!E165</f>
        <v>1225</v>
      </c>
      <c r="F16" s="92">
        <f t="shared" si="0"/>
        <v>309</v>
      </c>
      <c r="G16" s="85">
        <f>'2018_B4_Berechnung'!C161+'2018_B4_Berechnung'!C166</f>
        <v>4141</v>
      </c>
      <c r="H16" s="85">
        <f>'2018_B4_Berechnung'!E161+'2018_B4_Berechnung'!E166</f>
        <v>3782</v>
      </c>
      <c r="I16" s="92">
        <f t="shared" si="4"/>
        <v>359</v>
      </c>
      <c r="J16" s="2">
        <f>'2018_B4_Berechnung'!C162</f>
        <v>2371</v>
      </c>
      <c r="K16" s="2">
        <f>'2018_B4_Berechnung'!E162</f>
        <v>2152</v>
      </c>
      <c r="L16" s="2">
        <f t="shared" si="6"/>
        <v>219</v>
      </c>
      <c r="M16" s="2">
        <f>'2018_B4_Berechnung'!C163+'2018_B4_Berechnung'!C167+'2018_B4_Berechnung'!C168</f>
        <v>8119</v>
      </c>
      <c r="N16" s="2">
        <f>'2018_B4_Berechnung'!E163+'2018_B4_Berechnung'!E167+'2018_B4_Berechnung'!E168</f>
        <v>7832</v>
      </c>
      <c r="O16" s="92">
        <f>M16-N16</f>
        <v>287</v>
      </c>
      <c r="P16" s="2">
        <f>'2018_B4_Berechnung'!C164</f>
        <v>3496</v>
      </c>
      <c r="Q16" s="2">
        <f>'2018_B4_Berechnung'!E164</f>
        <v>3205</v>
      </c>
      <c r="R16" s="92">
        <f t="shared" si="1"/>
        <v>291</v>
      </c>
      <c r="S16" s="2">
        <f>'2018_B4_Berechnung'!C169+'2018_B4_Berechnung'!C170</f>
        <v>656</v>
      </c>
      <c r="T16" s="2">
        <f>'2018_B4_Berechnung'!E169+'2018_B4_Berechnung'!E170</f>
        <v>595</v>
      </c>
      <c r="U16" s="92">
        <f t="shared" si="2"/>
        <v>61</v>
      </c>
      <c r="V16" s="2">
        <f>'2018_B4_Berechnung'!C159</f>
        <v>20317</v>
      </c>
      <c r="W16" s="2">
        <f>'2018_B4_Berechnung'!E159</f>
        <v>18791</v>
      </c>
      <c r="X16" s="92">
        <f t="shared" si="3"/>
        <v>1526</v>
      </c>
    </row>
    <row r="17" spans="2:24">
      <c r="B17" s="11" t="s">
        <v>32</v>
      </c>
      <c r="C17" s="93">
        <v>2015</v>
      </c>
      <c r="D17" s="85">
        <f>'2018_B4_Berechnung'!C173+'2018_B4_Berechnung'!C178</f>
        <v>1308</v>
      </c>
      <c r="E17" s="85">
        <f>'2018_B4_Berechnung'!E173+'2018_B4_Berechnung'!E178</f>
        <v>1117</v>
      </c>
      <c r="F17" s="92">
        <f t="shared" si="0"/>
        <v>191</v>
      </c>
      <c r="G17" s="85">
        <f>'2018_B4_Berechnung'!C174+'2018_B4_Berechnung'!C179</f>
        <v>2930</v>
      </c>
      <c r="H17" s="85">
        <f>'2018_B4_Berechnung'!E174+'2018_B4_Berechnung'!E179</f>
        <v>2824</v>
      </c>
      <c r="I17" s="92">
        <f t="shared" si="4"/>
        <v>106</v>
      </c>
      <c r="J17" s="2">
        <f>'2018_B4_Berechnung'!C175</f>
        <v>5016</v>
      </c>
      <c r="K17" s="2">
        <f>'2018_B4_Berechnung'!E175</f>
        <v>4759</v>
      </c>
      <c r="L17" s="2">
        <f t="shared" si="6"/>
        <v>257</v>
      </c>
      <c r="M17" s="2">
        <f>'2018_B4_Berechnung'!C176+'2018_B4_Berechnung'!C180+'2018_B4_Berechnung'!C181</f>
        <v>6678</v>
      </c>
      <c r="N17" s="2">
        <f>'2018_B4_Berechnung'!E176+'2018_B4_Berechnung'!E180+'2018_B4_Berechnung'!E181</f>
        <v>6581</v>
      </c>
      <c r="O17" s="92">
        <f>M17-N17</f>
        <v>97</v>
      </c>
      <c r="P17" s="2">
        <f>'2018_B4_Berechnung'!C177</f>
        <v>1544</v>
      </c>
      <c r="Q17" s="2">
        <f>'2018_B4_Berechnung'!E177</f>
        <v>1499</v>
      </c>
      <c r="R17" s="92">
        <f t="shared" si="1"/>
        <v>45</v>
      </c>
      <c r="S17" s="2">
        <f>'2018_B4_Berechnung'!C182+'2018_B4_Berechnung'!C183</f>
        <v>465</v>
      </c>
      <c r="T17" s="2">
        <f>'2018_B4_Berechnung'!E182+'2018_B4_Berechnung'!E183</f>
        <v>431</v>
      </c>
      <c r="U17" s="92">
        <f t="shared" si="2"/>
        <v>34</v>
      </c>
      <c r="V17" s="2">
        <f>'2018_B4_Berechnung'!C172</f>
        <v>17941</v>
      </c>
      <c r="W17" s="2">
        <f>'2018_B4_Berechnung'!E172</f>
        <v>17211</v>
      </c>
      <c r="X17" s="92">
        <f t="shared" si="3"/>
        <v>730</v>
      </c>
    </row>
    <row r="18" spans="2:24">
      <c r="B18" s="11" t="s">
        <v>33</v>
      </c>
      <c r="C18" s="93">
        <v>2015</v>
      </c>
      <c r="D18" s="85">
        <f>'2018_B4_Berechnung'!C186+'2018_B4_Berechnung'!C191</f>
        <v>2453</v>
      </c>
      <c r="E18" s="85">
        <f>'2018_B4_Berechnung'!E186+'2018_B4_Berechnung'!E191</f>
        <v>2110</v>
      </c>
      <c r="F18" s="92">
        <f t="shared" si="0"/>
        <v>343</v>
      </c>
      <c r="G18" s="85">
        <f>'2018_B4_Berechnung'!C187+'2018_B4_Berechnung'!C192</f>
        <v>5030</v>
      </c>
      <c r="H18" s="85">
        <f>'2018_B4_Berechnung'!E187+'2018_B4_Berechnung'!E192</f>
        <v>4786</v>
      </c>
      <c r="I18" s="92">
        <f t="shared" si="4"/>
        <v>244</v>
      </c>
      <c r="J18" s="2">
        <f>'2018_B4_Berechnung'!C188</f>
        <v>6657</v>
      </c>
      <c r="K18" s="2">
        <f>'2018_B4_Berechnung'!E188</f>
        <v>6198</v>
      </c>
      <c r="L18" s="2">
        <f t="shared" si="6"/>
        <v>459</v>
      </c>
      <c r="M18" s="2">
        <f>'2018_B4_Berechnung'!C189+'2018_B4_Berechnung'!C193+'2018_B4_Berechnung'!C194</f>
        <v>9013</v>
      </c>
      <c r="N18" s="2">
        <f>'2018_B4_Berechnung'!E189+'2018_B4_Berechnung'!E193+'2018_B4_Berechnung'!E194</f>
        <v>8818</v>
      </c>
      <c r="O18" s="92">
        <f>M18-N18</f>
        <v>195</v>
      </c>
      <c r="P18" s="2">
        <f>'2018_B4_Berechnung'!C190</f>
        <v>2798</v>
      </c>
      <c r="Q18" s="2">
        <f>'2018_B4_Berechnung'!E190</f>
        <v>2723</v>
      </c>
      <c r="R18" s="92">
        <f t="shared" si="1"/>
        <v>75</v>
      </c>
      <c r="S18" s="2">
        <f>'2018_B4_Berechnung'!C195+'2018_B4_Berechnung'!C196</f>
        <v>1166</v>
      </c>
      <c r="T18" s="2">
        <f>'2018_B4_Berechnung'!E195+'2018_B4_Berechnung'!E196</f>
        <v>1087</v>
      </c>
      <c r="U18" s="92">
        <f t="shared" si="2"/>
        <v>79</v>
      </c>
      <c r="V18" s="2">
        <f>'2018_B4_Berechnung'!C185</f>
        <v>27117</v>
      </c>
      <c r="W18" s="2">
        <f>'2018_B4_Berechnung'!E185</f>
        <v>25722</v>
      </c>
      <c r="X18" s="92">
        <f t="shared" si="3"/>
        <v>1395</v>
      </c>
    </row>
    <row r="19" spans="2:24">
      <c r="B19" s="11" t="s">
        <v>34</v>
      </c>
      <c r="C19" s="93">
        <v>2015</v>
      </c>
      <c r="D19" s="85">
        <f>'2018_B4_Berechnung'!C134+'2018_B4_Berechnung'!C139</f>
        <v>6733</v>
      </c>
      <c r="E19" s="85">
        <f>'2018_B4_Berechnung'!E134+'2018_B4_Berechnung'!E139</f>
        <v>5667</v>
      </c>
      <c r="F19" s="92">
        <f t="shared" si="0"/>
        <v>1066</v>
      </c>
      <c r="G19" s="85">
        <f>'2018_B4_Berechnung'!C135+'2018_B4_Berechnung'!C140</f>
        <v>15166</v>
      </c>
      <c r="H19" s="85">
        <f>'2018_B4_Berechnung'!E135+'2018_B4_Berechnung'!E140</f>
        <v>14248</v>
      </c>
      <c r="I19" s="92">
        <f t="shared" si="4"/>
        <v>918</v>
      </c>
      <c r="J19" s="2">
        <f>'2018_B4_Berechnung'!C136</f>
        <v>15542</v>
      </c>
      <c r="K19" s="2">
        <f>'2018_B4_Berechnung'!E136</f>
        <v>14530</v>
      </c>
      <c r="L19" s="2">
        <f t="shared" si="6"/>
        <v>1012</v>
      </c>
      <c r="M19" s="2">
        <f>'2018_B4_Berechnung'!C137+'2018_B4_Berechnung'!C141+'2018_B4_Berechnung'!C142</f>
        <v>29390</v>
      </c>
      <c r="N19" s="2">
        <f>'2018_B4_Berechnung'!E137+'2018_B4_Berechnung'!E141+'2018_B4_Berechnung'!E142</f>
        <v>28664</v>
      </c>
      <c r="O19" s="92">
        <f>M19-N19</f>
        <v>726</v>
      </c>
      <c r="P19" s="2">
        <f>'2018_B4_Berechnung'!C138</f>
        <v>10547</v>
      </c>
      <c r="Q19" s="2">
        <f>'2018_B4_Berechnung'!E138</f>
        <v>10018</v>
      </c>
      <c r="R19" s="92">
        <f t="shared" si="1"/>
        <v>529</v>
      </c>
      <c r="S19" s="2">
        <f>'2018_B4_Berechnung'!C143+'2018_B4_Berechnung'!C144</f>
        <v>2804</v>
      </c>
      <c r="T19" s="2">
        <f>'2018_B4_Berechnung'!E143+'2018_B4_Berechnung'!E144</f>
        <v>2576</v>
      </c>
      <c r="U19" s="92">
        <f t="shared" si="2"/>
        <v>228</v>
      </c>
      <c r="V19" s="2">
        <f>'2018_B4_Berechnung'!C133</f>
        <v>80182</v>
      </c>
      <c r="W19" s="2">
        <f>'2018_B4_Berechnung'!E133</f>
        <v>75703</v>
      </c>
      <c r="X19" s="92">
        <f t="shared" si="3"/>
        <v>4479</v>
      </c>
    </row>
    <row r="20" spans="2:24">
      <c r="B20" s="11" t="s">
        <v>30</v>
      </c>
      <c r="C20" s="93">
        <v>2016</v>
      </c>
      <c r="D20" s="85">
        <f>'2018_B4_Berechnung'!C212+'2018_B4_Berechnung'!C217</f>
        <v>1425</v>
      </c>
      <c r="E20" s="85">
        <f>'2018_B4_Berechnung'!E212+'2018_B4_Berechnung'!E217</f>
        <v>1160</v>
      </c>
      <c r="F20" s="92">
        <f t="shared" si="0"/>
        <v>265</v>
      </c>
      <c r="G20" s="85">
        <f>'2018_B4_Berechnung'!C213+'2018_B4_Berechnung'!C218</f>
        <v>2817</v>
      </c>
      <c r="H20" s="85">
        <f>'2018_B4_Berechnung'!E213+'2018_B4_Berechnung'!E218</f>
        <v>2545</v>
      </c>
      <c r="I20" s="92">
        <f t="shared" si="4"/>
        <v>272</v>
      </c>
      <c r="J20" s="2">
        <f>'2018_B4_Berechnung'!C214</f>
        <v>1563</v>
      </c>
      <c r="K20" s="2">
        <f>'2018_B4_Berechnung'!E214</f>
        <v>1433</v>
      </c>
      <c r="L20" s="2">
        <f t="shared" si="6"/>
        <v>130</v>
      </c>
      <c r="M20" s="2">
        <f>'2018_B4_Berechnung'!C215+'2018_B4_Berechnung'!C219+'2018_B4_Berechnung'!C220</f>
        <v>5705</v>
      </c>
      <c r="N20" s="2">
        <f>'2018_B4_Berechnung'!E215+'2018_B4_Berechnung'!E219+'2018_B4_Berechnung'!E220</f>
        <v>5404</v>
      </c>
      <c r="O20" s="2">
        <f>'2018_B4_Berechnung'!D215+'2018_B4_Berechnung'!D219+'2018_B4_Berechnung'!D220</f>
        <v>218</v>
      </c>
      <c r="P20" s="2">
        <f>'2018_B4_Berechnung'!C216</f>
        <v>2713</v>
      </c>
      <c r="Q20" s="2">
        <f>'2018_B4_Berechnung'!E216</f>
        <v>2606</v>
      </c>
      <c r="R20" s="92">
        <f t="shared" si="1"/>
        <v>107</v>
      </c>
      <c r="S20" s="2">
        <f>'2018_B4_Berechnung'!C221+'2018_B4_Berechnung'!C222</f>
        <v>408</v>
      </c>
      <c r="T20" s="2">
        <f>'2018_B4_Berechnung'!E221+'2018_B4_Berechnung'!E222</f>
        <v>368</v>
      </c>
      <c r="U20" s="92">
        <f t="shared" si="2"/>
        <v>40</v>
      </c>
      <c r="V20" s="2">
        <f>'2018_B4_Berechnung'!C211</f>
        <v>14631</v>
      </c>
      <c r="W20" s="2">
        <f>'2018_B4_Berechnung'!E211</f>
        <v>13599</v>
      </c>
      <c r="X20" s="92">
        <f t="shared" si="3"/>
        <v>1032</v>
      </c>
    </row>
    <row r="21" spans="2:24">
      <c r="B21" s="11" t="s">
        <v>31</v>
      </c>
      <c r="C21" s="93">
        <v>2016</v>
      </c>
      <c r="D21" s="85">
        <f>'2018_B4_Berechnung'!C225+'2018_B4_Berechnung'!C230</f>
        <v>1385</v>
      </c>
      <c r="E21" s="85">
        <f>'2018_B4_Berechnung'!E225+'2018_B4_Berechnung'!E230</f>
        <v>1092</v>
      </c>
      <c r="F21" s="92">
        <f t="shared" si="0"/>
        <v>293</v>
      </c>
      <c r="G21" s="85">
        <f>'2018_B4_Berechnung'!C226+'2018_B4_Berechnung'!C231</f>
        <v>3890</v>
      </c>
      <c r="H21" s="85">
        <f>'2018_B4_Berechnung'!E226+'2018_B4_Berechnung'!E231</f>
        <v>3486</v>
      </c>
      <c r="I21" s="92">
        <f t="shared" si="4"/>
        <v>404</v>
      </c>
      <c r="J21" s="2">
        <f>'2018_B4_Berechnung'!C227</f>
        <v>2394</v>
      </c>
      <c r="K21" s="2">
        <f>'2018_B4_Berechnung'!E227</f>
        <v>2140</v>
      </c>
      <c r="L21" s="2">
        <f t="shared" si="6"/>
        <v>254</v>
      </c>
      <c r="M21" s="2">
        <f>'2018_B4_Berechnung'!C228+'2018_B4_Berechnung'!C232+'2018_B4_Berechnung'!C233</f>
        <v>8097</v>
      </c>
      <c r="N21" s="2">
        <f>'2018_B4_Berechnung'!E228+'2018_B4_Berechnung'!E232+'2018_B4_Berechnung'!E233</f>
        <v>7807</v>
      </c>
      <c r="O21" s="92">
        <f t="shared" ref="O21:O29" si="7">M21-N21</f>
        <v>290</v>
      </c>
      <c r="P21" s="2">
        <f>'2018_B4_Berechnung'!C229</f>
        <v>3718</v>
      </c>
      <c r="Q21" s="2">
        <f>'2018_B4_Berechnung'!E229</f>
        <v>3437</v>
      </c>
      <c r="R21" s="92">
        <f t="shared" si="1"/>
        <v>281</v>
      </c>
      <c r="S21" s="2">
        <f>'2018_B4_Berechnung'!C234+'2018_B4_Berechnung'!C235</f>
        <v>641</v>
      </c>
      <c r="T21" s="2">
        <f>'2018_B4_Berechnung'!E234+'2018_B4_Berechnung'!E235</f>
        <v>591</v>
      </c>
      <c r="U21" s="92">
        <f t="shared" si="2"/>
        <v>50</v>
      </c>
      <c r="V21" s="2">
        <f>'2018_B4_Berechnung'!C224</f>
        <v>20125</v>
      </c>
      <c r="W21" s="2">
        <f>'2018_B4_Berechnung'!E224</f>
        <v>18553</v>
      </c>
      <c r="X21" s="92">
        <f t="shared" si="3"/>
        <v>1572</v>
      </c>
    </row>
    <row r="22" spans="2:24">
      <c r="B22" s="11" t="s">
        <v>32</v>
      </c>
      <c r="C22" s="93">
        <v>2016</v>
      </c>
      <c r="D22" s="85">
        <f>'2018_B4_Berechnung'!C238+'2018_B4_Berechnung'!C243</f>
        <v>1188</v>
      </c>
      <c r="E22" s="85">
        <f>'2018_B4_Berechnung'!E238+'2018_B4_Berechnung'!E243</f>
        <v>1002</v>
      </c>
      <c r="F22" s="92">
        <f t="shared" si="0"/>
        <v>186</v>
      </c>
      <c r="G22" s="85">
        <f>'2018_B4_Berechnung'!C239+'2018_B4_Berechnung'!C244</f>
        <v>2600</v>
      </c>
      <c r="H22" s="85">
        <f>'2018_B4_Berechnung'!E239+'2018_B4_Berechnung'!E244</f>
        <v>2448</v>
      </c>
      <c r="I22" s="92">
        <f t="shared" si="4"/>
        <v>152</v>
      </c>
      <c r="J22" s="2">
        <f>'2018_B4_Berechnung'!C240</f>
        <v>5228</v>
      </c>
      <c r="K22" s="2">
        <f>'2018_B4_Berechnung'!E240</f>
        <v>4872</v>
      </c>
      <c r="L22" s="2">
        <f t="shared" si="6"/>
        <v>356</v>
      </c>
      <c r="M22" s="2">
        <f>'2018_B4_Berechnung'!C241+'2018_B4_Berechnung'!C245+'2018_B4_Berechnung'!C246</f>
        <v>6522</v>
      </c>
      <c r="N22" s="2">
        <f>'2018_B4_Berechnung'!E241+'2018_B4_Berechnung'!E245+'2018_B4_Berechnung'!E246</f>
        <v>6375</v>
      </c>
      <c r="O22" s="92">
        <f t="shared" si="7"/>
        <v>147</v>
      </c>
      <c r="P22" s="2">
        <f>'2018_B4_Berechnung'!C242</f>
        <v>1655</v>
      </c>
      <c r="Q22" s="2">
        <f>'2018_B4_Berechnung'!E242</f>
        <v>1610</v>
      </c>
      <c r="R22" s="92">
        <f t="shared" si="1"/>
        <v>45</v>
      </c>
      <c r="S22" s="2">
        <f>'2018_B4_Berechnung'!C247+'2018_B4_Berechnung'!C248</f>
        <v>355</v>
      </c>
      <c r="T22" s="2">
        <f>'2018_B4_Berechnung'!E247+'2018_B4_Berechnung'!E248</f>
        <v>330</v>
      </c>
      <c r="U22" s="92">
        <f t="shared" si="2"/>
        <v>25</v>
      </c>
      <c r="V22" s="2">
        <f>'2018_B4_Berechnung'!C237</f>
        <v>17548</v>
      </c>
      <c r="W22" s="2">
        <f>'2018_B4_Berechnung'!E237</f>
        <v>16637</v>
      </c>
      <c r="X22" s="92">
        <f t="shared" si="3"/>
        <v>911</v>
      </c>
    </row>
    <row r="23" spans="2:24">
      <c r="B23" s="11" t="s">
        <v>33</v>
      </c>
      <c r="C23" s="93">
        <v>2016</v>
      </c>
      <c r="D23" s="2">
        <f>'2018_B4_Berechnung'!C251+'2018_B4_Berechnung'!C256</f>
        <v>2054</v>
      </c>
      <c r="E23" s="2">
        <f>'2018_B4_Berechnung'!E251+'2018_B4_Berechnung'!E256</f>
        <v>1732</v>
      </c>
      <c r="F23" s="92">
        <f t="shared" si="0"/>
        <v>322</v>
      </c>
      <c r="G23" s="2">
        <f>'2018_B4_Berechnung'!C252+'2018_B4_Berechnung'!C257</f>
        <v>4430</v>
      </c>
      <c r="H23" s="2">
        <f>'2018_B4_Berechnung'!E252+'2018_B4_Berechnung'!E257</f>
        <v>4151</v>
      </c>
      <c r="I23" s="92">
        <f t="shared" si="4"/>
        <v>279</v>
      </c>
      <c r="J23" s="2">
        <f>'2018_B4_Berechnung'!C253</f>
        <v>7326</v>
      </c>
      <c r="K23" s="2">
        <f>'2018_B4_Berechnung'!E253</f>
        <v>6651</v>
      </c>
      <c r="L23" s="2">
        <f t="shared" si="6"/>
        <v>675</v>
      </c>
      <c r="M23" s="2">
        <f>'2018_B4_Berechnung'!C254+'2018_B4_Berechnung'!C258+'2018_B4_Berechnung'!C259</f>
        <v>8924</v>
      </c>
      <c r="N23" s="2">
        <f>'2018_B4_Berechnung'!E254+'2018_B4_Berechnung'!E258+'2018_B4_Berechnung'!E259</f>
        <v>8696</v>
      </c>
      <c r="O23" s="92">
        <f t="shared" si="7"/>
        <v>228</v>
      </c>
      <c r="P23" s="2">
        <f>'2018_B4_Berechnung'!C255</f>
        <v>2603</v>
      </c>
      <c r="Q23" s="2">
        <f>'2018_B4_Berechnung'!E255</f>
        <v>2489</v>
      </c>
      <c r="R23" s="92">
        <f t="shared" si="1"/>
        <v>114</v>
      </c>
      <c r="S23" s="2">
        <f>'2018_B4_Berechnung'!C260+'2018_B4_Berechnung'!C261</f>
        <v>1024</v>
      </c>
      <c r="T23" s="2">
        <f>'2018_B4_Berechnung'!E260+'2018_B4_Berechnung'!E261</f>
        <v>954</v>
      </c>
      <c r="U23" s="92">
        <f t="shared" si="2"/>
        <v>70</v>
      </c>
      <c r="V23" s="2">
        <f>'2018_B4_Berechnung'!C250</f>
        <v>26361</v>
      </c>
      <c r="W23" s="2">
        <f>'2018_B4_Berechnung'!E250</f>
        <v>24673</v>
      </c>
      <c r="X23" s="92">
        <f t="shared" si="3"/>
        <v>1688</v>
      </c>
    </row>
    <row r="24" spans="2:24">
      <c r="B24" s="11" t="s">
        <v>34</v>
      </c>
      <c r="C24" s="93">
        <v>2016</v>
      </c>
      <c r="D24" s="2">
        <f>'2018_B4_Berechnung'!C199+'2018_B4_Berechnung'!C204</f>
        <v>6052</v>
      </c>
      <c r="E24" s="2">
        <f>'2018_B4_Berechnung'!E199+'2018_B4_Berechnung'!E204</f>
        <v>4986</v>
      </c>
      <c r="F24" s="92">
        <f t="shared" si="0"/>
        <v>1066</v>
      </c>
      <c r="G24" s="2">
        <f>'2018_B4_Berechnung'!C200+'2018_B4_Berechnung'!C205</f>
        <v>13737</v>
      </c>
      <c r="H24" s="2">
        <f>'2018_B4_Berechnung'!E200+'2018_B4_Berechnung'!E205</f>
        <v>12630</v>
      </c>
      <c r="I24" s="92">
        <f t="shared" si="4"/>
        <v>1107</v>
      </c>
      <c r="J24" s="2">
        <f>'2018_B4_Berechnung'!C201</f>
        <v>16511</v>
      </c>
      <c r="K24" s="2">
        <f>'2018_B4_Berechnung'!E201</f>
        <v>15096</v>
      </c>
      <c r="L24" s="2">
        <f t="shared" si="6"/>
        <v>1415</v>
      </c>
      <c r="M24" s="2">
        <f>'2018_B4_Berechnung'!C202+'2018_B4_Berechnung'!C206+'2018_B4_Berechnung'!C207</f>
        <v>29248</v>
      </c>
      <c r="N24" s="2">
        <f>'2018_B4_Berechnung'!E202+'2018_B4_Berechnung'!E206+'2018_B4_Berechnung'!E207</f>
        <v>28365</v>
      </c>
      <c r="O24" s="92">
        <f t="shared" si="7"/>
        <v>883</v>
      </c>
      <c r="P24" s="2">
        <f>'2018_B4_Berechnung'!C203</f>
        <v>10689</v>
      </c>
      <c r="Q24" s="2">
        <f>'2018_B4_Berechnung'!E203</f>
        <v>10142</v>
      </c>
      <c r="R24" s="92">
        <f t="shared" si="1"/>
        <v>547</v>
      </c>
      <c r="S24" s="2">
        <f>'2018_B4_Berechnung'!C208+'2018_B4_Berechnung'!C209</f>
        <v>2428</v>
      </c>
      <c r="T24" s="2">
        <f>'2018_B4_Berechnung'!E208+'2018_B4_Berechnung'!E209</f>
        <v>2243</v>
      </c>
      <c r="U24" s="92">
        <f t="shared" si="2"/>
        <v>185</v>
      </c>
      <c r="V24" s="2">
        <f>'2018_B4_Berechnung'!C198</f>
        <v>78665</v>
      </c>
      <c r="W24" s="2">
        <f>'2018_B4_Berechnung'!E198</f>
        <v>73462</v>
      </c>
      <c r="X24" s="92">
        <f t="shared" si="3"/>
        <v>5203</v>
      </c>
    </row>
    <row r="25" spans="2:24">
      <c r="B25" s="11" t="s">
        <v>30</v>
      </c>
      <c r="C25" s="2">
        <v>2017</v>
      </c>
      <c r="D25" s="2">
        <f>'2018_B4_Berechnung'!C277+'2018_B4_Berechnung'!C282</f>
        <v>1298</v>
      </c>
      <c r="E25" s="2">
        <f>'2018_B4_Berechnung'!E277+'2018_B4_Berechnung'!E282</f>
        <v>1003</v>
      </c>
      <c r="F25" s="92">
        <f t="shared" si="0"/>
        <v>295</v>
      </c>
      <c r="G25" s="2">
        <f>'2018_B4_Berechnung'!C278+'2018_B4_Berechnung'!C283</f>
        <v>2744</v>
      </c>
      <c r="H25" s="2">
        <f>'2018_B4_Berechnung'!E278+'2018_B4_Berechnung'!E283</f>
        <v>2487</v>
      </c>
      <c r="I25" s="92">
        <f t="shared" si="4"/>
        <v>257</v>
      </c>
      <c r="J25" s="2">
        <f>'2018_B4_Berechnung'!C279</f>
        <v>1710</v>
      </c>
      <c r="K25" s="2">
        <f>'2018_B4_Berechnung'!E279</f>
        <v>1540</v>
      </c>
      <c r="L25" s="2">
        <f t="shared" si="6"/>
        <v>170</v>
      </c>
      <c r="M25" s="2">
        <f>'2018_B4_Berechnung'!C280+'2018_B4_Berechnung'!C284+'2018_B4_Berechnung'!C285</f>
        <v>5644</v>
      </c>
      <c r="N25" s="2">
        <f>'2018_B4_Berechnung'!E280+'2018_B4_Berechnung'!E284+'2018_B4_Berechnung'!E285</f>
        <v>5394</v>
      </c>
      <c r="O25" s="92">
        <f t="shared" si="7"/>
        <v>250</v>
      </c>
      <c r="P25" s="2">
        <f>'2018_B4_Berechnung'!C281</f>
        <v>3023</v>
      </c>
      <c r="Q25" s="2">
        <f>'2018_B4_Berechnung'!E281</f>
        <v>2866</v>
      </c>
      <c r="R25" s="92">
        <f t="shared" si="1"/>
        <v>157</v>
      </c>
      <c r="S25" s="2">
        <f>'2018_B4_Berechnung'!C286+'2018_B4_Berechnung'!C287</f>
        <v>357</v>
      </c>
      <c r="T25" s="2">
        <f>'2018_B4_Berechnung'!E286+'2018_B4_Berechnung'!E287</f>
        <v>318</v>
      </c>
      <c r="U25" s="92">
        <f t="shared" si="2"/>
        <v>39</v>
      </c>
      <c r="V25" s="2">
        <f>'2018_B4_Berechnung'!C276</f>
        <v>14776</v>
      </c>
      <c r="W25" s="2">
        <f>'2018_B4_Berechnung'!E276</f>
        <v>13608</v>
      </c>
      <c r="X25" s="92">
        <f t="shared" si="3"/>
        <v>1168</v>
      </c>
    </row>
    <row r="26" spans="2:24">
      <c r="B26" s="11" t="s">
        <v>31</v>
      </c>
      <c r="C26" s="2">
        <v>2017</v>
      </c>
      <c r="D26" s="2">
        <f>'2018_B4_Berechnung'!C290+'2018_B4_Berechnung'!C295</f>
        <v>1224</v>
      </c>
      <c r="E26" s="2">
        <f>'2018_B4_Berechnung'!E290+'2018_B4_Berechnung'!E295</f>
        <v>886</v>
      </c>
      <c r="F26" s="92">
        <f t="shared" si="0"/>
        <v>338</v>
      </c>
      <c r="G26" s="2">
        <f>'2018_B4_Berechnung'!C291+'2018_B4_Berechnung'!C296</f>
        <v>3604</v>
      </c>
      <c r="H26" s="2">
        <f>'2018_B4_Berechnung'!E291+'2018_B4_Berechnung'!E296</f>
        <v>3186</v>
      </c>
      <c r="I26" s="92">
        <f t="shared" si="4"/>
        <v>418</v>
      </c>
      <c r="J26" s="2">
        <f>'2018_B4_Berechnung'!C292</f>
        <v>2636</v>
      </c>
      <c r="K26" s="2">
        <f>'2018_B4_Berechnung'!E292</f>
        <v>2257</v>
      </c>
      <c r="L26" s="2">
        <f t="shared" si="6"/>
        <v>379</v>
      </c>
      <c r="M26" s="2">
        <f>'2018_B4_Berechnung'!C293+'2018_B4_Berechnung'!C297+'2018_B4_Berechnung'!C298</f>
        <v>8303</v>
      </c>
      <c r="N26" s="2">
        <f>'2018_B4_Berechnung'!E293+'2018_B4_Berechnung'!E297+'2018_B4_Berechnung'!E298</f>
        <v>7922</v>
      </c>
      <c r="O26" s="92">
        <f t="shared" si="7"/>
        <v>381</v>
      </c>
      <c r="P26" s="2">
        <f>'2018_B4_Berechnung'!C294</f>
        <v>4284</v>
      </c>
      <c r="Q26" s="2">
        <f>'2018_B4_Berechnung'!E294</f>
        <v>3899</v>
      </c>
      <c r="R26" s="92">
        <f t="shared" si="1"/>
        <v>385</v>
      </c>
      <c r="S26" s="2">
        <f>'2018_B4_Berechnung'!C299+'2018_B4_Berechnung'!C300</f>
        <v>522</v>
      </c>
      <c r="T26" s="2">
        <f>'2018_B4_Berechnung'!E299+'2018_B4_Berechnung'!E300</f>
        <v>476</v>
      </c>
      <c r="U26" s="92">
        <f t="shared" si="2"/>
        <v>46</v>
      </c>
      <c r="V26" s="2">
        <f>'2018_B4_Berechnung'!C289</f>
        <v>20573</v>
      </c>
      <c r="W26" s="2">
        <f>'2018_B4_Berechnung'!E289</f>
        <v>18626</v>
      </c>
      <c r="X26" s="92">
        <f t="shared" si="3"/>
        <v>1947</v>
      </c>
    </row>
    <row r="27" spans="2:24">
      <c r="B27" s="11" t="s">
        <v>32</v>
      </c>
      <c r="C27" s="2">
        <v>2017</v>
      </c>
      <c r="D27" s="2">
        <f>'2018_B4_Berechnung'!C303+'2018_B4_Berechnung'!C308</f>
        <v>1003</v>
      </c>
      <c r="E27" s="2">
        <f>'2018_B4_Berechnung'!E303+'2018_B4_Berechnung'!E308</f>
        <v>840</v>
      </c>
      <c r="F27" s="92">
        <f t="shared" si="0"/>
        <v>163</v>
      </c>
      <c r="G27" s="2">
        <f>'2018_B4_Berechnung'!C304+'2018_B4_Berechnung'!C309</f>
        <v>2312</v>
      </c>
      <c r="H27" s="2">
        <f>'2018_B4_Berechnung'!E304+'2018_B4_Berechnung'!E309</f>
        <v>2174</v>
      </c>
      <c r="I27" s="92">
        <f t="shared" si="4"/>
        <v>138</v>
      </c>
      <c r="J27" s="2">
        <f>'2018_B4_Berechnung'!C305</f>
        <v>5434</v>
      </c>
      <c r="K27" s="2">
        <f>'2018_B4_Berechnung'!E305</f>
        <v>4981</v>
      </c>
      <c r="L27" s="2">
        <f t="shared" si="6"/>
        <v>453</v>
      </c>
      <c r="M27" s="2">
        <f>'2018_B4_Berechnung'!C306+'2018_B4_Berechnung'!C310+'2018_B4_Berechnung'!C311</f>
        <v>6894</v>
      </c>
      <c r="N27" s="2">
        <f>'2018_B4_Berechnung'!E306+'2018_B4_Berechnung'!E310+'2018_B4_Berechnung'!E311</f>
        <v>6726</v>
      </c>
      <c r="O27" s="92">
        <f t="shared" si="7"/>
        <v>168</v>
      </c>
      <c r="P27" s="2">
        <f>'2018_B4_Berechnung'!C307</f>
        <v>1905</v>
      </c>
      <c r="Q27" s="2">
        <f>'2018_B4_Berechnung'!E307</f>
        <v>1816</v>
      </c>
      <c r="R27" s="92">
        <f t="shared" si="1"/>
        <v>89</v>
      </c>
      <c r="S27" s="2">
        <f>'2018_B4_Berechnung'!C312+'2018_B4_Berechnung'!C313</f>
        <v>309</v>
      </c>
      <c r="T27" s="2">
        <f>'2018_B4_Berechnung'!E312+'2018_B4_Berechnung'!E313</f>
        <v>289</v>
      </c>
      <c r="U27" s="92">
        <f t="shared" si="2"/>
        <v>20</v>
      </c>
      <c r="V27" s="2">
        <f>'2018_B4_Berechnung'!C302</f>
        <v>17857</v>
      </c>
      <c r="W27" s="2">
        <f>'2018_B4_Berechnung'!E302</f>
        <v>16826</v>
      </c>
      <c r="X27" s="92">
        <f t="shared" si="3"/>
        <v>1031</v>
      </c>
    </row>
    <row r="28" spans="2:24">
      <c r="B28" s="11" t="s">
        <v>33</v>
      </c>
      <c r="C28" s="2">
        <v>2017</v>
      </c>
      <c r="D28" s="2">
        <f>'2018_B4_Berechnung'!C316+'2018_B4_Berechnung'!C321</f>
        <v>1677</v>
      </c>
      <c r="E28" s="2">
        <f>'2018_B4_Berechnung'!E316+'2018_B4_Berechnung'!E321</f>
        <v>1402</v>
      </c>
      <c r="F28" s="92">
        <f t="shared" si="0"/>
        <v>275</v>
      </c>
      <c r="G28" s="2">
        <f>'2018_B4_Berechnung'!C317+'2018_B4_Berechnung'!C322</f>
        <v>3785</v>
      </c>
      <c r="H28" s="2">
        <f>'2018_B4_Berechnung'!E317+'2018_B4_Berechnung'!E322</f>
        <v>3507</v>
      </c>
      <c r="I28" s="92">
        <f t="shared" si="4"/>
        <v>278</v>
      </c>
      <c r="J28" s="2">
        <f>'2018_B4_Berechnung'!C318</f>
        <v>8395</v>
      </c>
      <c r="K28" s="2">
        <f>'2018_B4_Berechnung'!E318</f>
        <v>7439</v>
      </c>
      <c r="L28" s="2">
        <f t="shared" si="6"/>
        <v>956</v>
      </c>
      <c r="M28" s="2">
        <f>'2018_B4_Berechnung'!C319+'2018_B4_Berechnung'!C323+'2018_B4_Berechnung'!C324</f>
        <v>9150</v>
      </c>
      <c r="N28" s="2">
        <f>'2018_B4_Berechnung'!E319+'2018_B4_Berechnung'!E323+'2018_B4_Berechnung'!E324</f>
        <v>8876</v>
      </c>
      <c r="O28" s="92">
        <f t="shared" si="7"/>
        <v>274</v>
      </c>
      <c r="P28" s="2">
        <f>'2018_B4_Berechnung'!C320</f>
        <v>2831</v>
      </c>
      <c r="Q28" s="2">
        <f>'2018_B4_Berechnung'!E320</f>
        <v>2706</v>
      </c>
      <c r="R28" s="92">
        <f t="shared" si="1"/>
        <v>125</v>
      </c>
      <c r="S28" s="2">
        <f>'2018_B4_Berechnung'!C325+'2018_B4_Berechnung'!C326</f>
        <v>932</v>
      </c>
      <c r="T28" s="2">
        <f>'2018_B4_Berechnung'!E325+'2018_B4_Berechnung'!E326</f>
        <v>859</v>
      </c>
      <c r="U28" s="92">
        <f t="shared" si="2"/>
        <v>73</v>
      </c>
      <c r="V28" s="2">
        <f>'2018_B4_Berechnung'!C315</f>
        <v>26770</v>
      </c>
      <c r="W28" s="2">
        <f>'2018_B4_Berechnung'!E315</f>
        <v>24789</v>
      </c>
      <c r="X28" s="92">
        <f t="shared" si="3"/>
        <v>1981</v>
      </c>
    </row>
    <row r="29" spans="2:24">
      <c r="B29" s="11" t="s">
        <v>34</v>
      </c>
      <c r="C29" s="2">
        <v>2017</v>
      </c>
      <c r="D29" s="2">
        <f>'2018_B4_Berechnung'!C264+'2018_B4_Berechnung'!C269</f>
        <v>5202</v>
      </c>
      <c r="E29" s="2">
        <f>'2018_B4_Berechnung'!E264+'2018_B4_Berechnung'!E269</f>
        <v>4131</v>
      </c>
      <c r="F29" s="92">
        <f t="shared" si="0"/>
        <v>1071</v>
      </c>
      <c r="G29" s="2">
        <f>'2018_B4_Berechnung'!C265+'2018_B4_Berechnung'!C270</f>
        <v>12445</v>
      </c>
      <c r="H29" s="2">
        <f>'2018_B4_Berechnung'!E265+'2018_B4_Berechnung'!E270</f>
        <v>11354</v>
      </c>
      <c r="I29" s="92">
        <f t="shared" si="4"/>
        <v>1091</v>
      </c>
      <c r="J29" s="2">
        <f>'2018_B4_Berechnung'!C266</f>
        <v>18175</v>
      </c>
      <c r="K29" s="2">
        <f>'2018_B4_Berechnung'!E266</f>
        <v>16217</v>
      </c>
      <c r="L29" s="2">
        <f t="shared" si="6"/>
        <v>1958</v>
      </c>
      <c r="M29" s="2">
        <f>'2018_B4_Berechnung'!C267+'2018_B4_Berechnung'!C271+'2018_B4_Berechnung'!C272</f>
        <v>29991</v>
      </c>
      <c r="N29" s="2">
        <f>'2018_B4_Berechnung'!E267+'2018_B4_Berechnung'!E271+'2018_B4_Berechnung'!E272</f>
        <v>28918</v>
      </c>
      <c r="O29" s="92">
        <f t="shared" si="7"/>
        <v>1073</v>
      </c>
      <c r="P29" s="2">
        <f>'2018_B4_Berechnung'!C268</f>
        <v>12043</v>
      </c>
      <c r="Q29" s="2">
        <f>'2018_B4_Berechnung'!E268</f>
        <v>11287</v>
      </c>
      <c r="R29" s="92">
        <f t="shared" si="1"/>
        <v>756</v>
      </c>
      <c r="S29" s="2">
        <f>'2018_B4_Berechnung'!C273+'2018_B4_Berechnung'!C274</f>
        <v>2120</v>
      </c>
      <c r="T29" s="2">
        <f>'2018_B4_Berechnung'!E273+'2018_B4_Berechnung'!E274</f>
        <v>1942</v>
      </c>
      <c r="U29" s="92">
        <f t="shared" si="2"/>
        <v>178</v>
      </c>
      <c r="V29" s="2">
        <f>'2018_B4_Berechnung'!C263</f>
        <v>79976</v>
      </c>
      <c r="W29" s="2">
        <f>'2018_B4_Berechnung'!E263</f>
        <v>73849</v>
      </c>
      <c r="X29" s="92">
        <f t="shared" si="3"/>
        <v>6127</v>
      </c>
    </row>
    <row r="30" spans="2:24">
      <c r="B30" s="11" t="s">
        <v>30</v>
      </c>
      <c r="C30" s="2">
        <v>2018</v>
      </c>
      <c r="D30" s="2">
        <f>'2018_B4_Berechnung'!C342+'2018_B4_Berechnung'!C347</f>
        <v>1253</v>
      </c>
      <c r="E30" s="2">
        <f>'2018_B4_Berechnung'!E342+'2018_B4_Berechnung'!E347</f>
        <v>926</v>
      </c>
      <c r="F30" s="92">
        <f t="shared" si="0"/>
        <v>327</v>
      </c>
      <c r="G30" s="2">
        <f>'2018_B4_Berechnung'!C343+'2018_B4_Berechnung'!C348</f>
        <v>2616</v>
      </c>
      <c r="H30" s="2">
        <f>'2018_B4_Berechnung'!E343+'2018_B4_Berechnung'!E348</f>
        <v>2369</v>
      </c>
      <c r="I30" s="92">
        <f t="shared" si="4"/>
        <v>247</v>
      </c>
      <c r="J30" s="2">
        <f>'2018_B4_Berechnung'!C344</f>
        <v>1600</v>
      </c>
      <c r="K30" s="2">
        <f>'2018_B4_Berechnung'!E344</f>
        <v>1402</v>
      </c>
      <c r="L30" s="2">
        <f t="shared" si="6"/>
        <v>198</v>
      </c>
      <c r="M30" s="2">
        <f>'2018_B4_Berechnung'!C345+'2018_B4_Berechnung'!C349+'2018_B4_Berechnung'!C350</f>
        <v>5725</v>
      </c>
      <c r="N30" s="2">
        <f>'2018_B4_Berechnung'!E345+'2018_B4_Berechnung'!E349+'2018_B4_Berechnung'!E350</f>
        <v>5414</v>
      </c>
      <c r="O30" s="2">
        <f>'2018_B4_Berechnung'!D345+'2018_B4_Berechnung'!D349+'2018_B4_Berechnung'!D350</f>
        <v>229</v>
      </c>
      <c r="P30" s="2">
        <f>'2018_B4_Berechnung'!C346</f>
        <v>3082</v>
      </c>
      <c r="Q30" s="2">
        <f>'2018_B4_Berechnung'!E346</f>
        <v>2866</v>
      </c>
      <c r="R30" s="92">
        <f t="shared" si="1"/>
        <v>216</v>
      </c>
      <c r="S30" s="2">
        <f>'2018_B4_Berechnung'!C351+'2018_B4_Berechnung'!C352</f>
        <v>351</v>
      </c>
      <c r="T30" s="2">
        <f>'2018_B4_Berechnung'!E351+'2018_B4_Berechnung'!E352</f>
        <v>311</v>
      </c>
      <c r="U30" s="92">
        <f t="shared" si="2"/>
        <v>40</v>
      </c>
      <c r="V30" s="2">
        <f>'2018_B4_Berechnung'!C341</f>
        <v>14627</v>
      </c>
      <c r="W30" s="2">
        <f>'2018_B4_Berechnung'!E341</f>
        <v>13370</v>
      </c>
      <c r="X30" s="92">
        <f t="shared" si="3"/>
        <v>1257</v>
      </c>
    </row>
    <row r="31" spans="2:24">
      <c r="B31" s="11" t="s">
        <v>31</v>
      </c>
      <c r="C31" s="2">
        <v>2018</v>
      </c>
      <c r="D31" s="2">
        <f>'2018_B4_Berechnung'!C355+'2018_B4_Berechnung'!C360</f>
        <v>1265</v>
      </c>
      <c r="E31" s="2">
        <f>'2018_B4_Berechnung'!E355+'2018_B4_Berechnung'!E360</f>
        <v>877</v>
      </c>
      <c r="F31" s="92">
        <f t="shared" si="0"/>
        <v>388</v>
      </c>
      <c r="G31" s="2">
        <f>'2018_B4_Berechnung'!C356+'2018_B4_Berechnung'!C361</f>
        <v>3427</v>
      </c>
      <c r="H31" s="2">
        <f>'2018_B4_Berechnung'!E356+'2018_B4_Berechnung'!E361</f>
        <v>2956</v>
      </c>
      <c r="I31" s="92">
        <f t="shared" si="4"/>
        <v>471</v>
      </c>
      <c r="J31" s="2">
        <f>'2018_B4_Berechnung'!C357</f>
        <v>2843</v>
      </c>
      <c r="K31" s="2">
        <f>'2018_B4_Berechnung'!E357</f>
        <v>2437</v>
      </c>
      <c r="L31" s="2">
        <f t="shared" si="6"/>
        <v>406</v>
      </c>
      <c r="M31" s="2">
        <f>'2018_B4_Berechnung'!C358+'2018_B4_Berechnung'!C362+'2018_B4_Berechnung'!C363</f>
        <v>8273</v>
      </c>
      <c r="N31" s="2">
        <f>'2018_B4_Berechnung'!E358+'2018_B4_Berechnung'!E362+'2018_B4_Berechnung'!E363</f>
        <v>7927</v>
      </c>
      <c r="O31" s="92">
        <f>M31-N31</f>
        <v>346</v>
      </c>
      <c r="P31" s="2">
        <f>'2018_B4_Berechnung'!C359</f>
        <v>4320</v>
      </c>
      <c r="Q31" s="2">
        <f>'2018_B4_Berechnung'!E359</f>
        <v>3885</v>
      </c>
      <c r="R31" s="92">
        <f t="shared" si="1"/>
        <v>435</v>
      </c>
      <c r="S31" s="2">
        <f>'2018_B4_Berechnung'!C364+'2018_B4_Berechnung'!C365</f>
        <v>541</v>
      </c>
      <c r="T31" s="2">
        <f>'2018_B4_Berechnung'!E364+'2018_B4_Berechnung'!E365</f>
        <v>498</v>
      </c>
      <c r="U31" s="92">
        <f t="shared" si="2"/>
        <v>43</v>
      </c>
      <c r="V31" s="2">
        <f>'2018_B4_Berechnung'!C354</f>
        <v>20669</v>
      </c>
      <c r="W31" s="2">
        <f>'2018_B4_Berechnung'!E354</f>
        <v>18580</v>
      </c>
      <c r="X31" s="92">
        <f t="shared" si="3"/>
        <v>2089</v>
      </c>
    </row>
    <row r="32" spans="2:24">
      <c r="B32" s="11" t="s">
        <v>32</v>
      </c>
      <c r="C32" s="2">
        <v>2018</v>
      </c>
      <c r="D32" s="2">
        <f>'2018_B4_Berechnung'!C368+'2018_B4_Berechnung'!C373</f>
        <v>1003</v>
      </c>
      <c r="E32" s="2">
        <f>'2018_B4_Berechnung'!E368+'2018_B4_Berechnung'!E373</f>
        <v>838</v>
      </c>
      <c r="F32" s="92">
        <f t="shared" si="0"/>
        <v>165</v>
      </c>
      <c r="G32" s="2">
        <f>'2018_B4_Berechnung'!C369+'2018_B4_Berechnung'!C374</f>
        <v>2253</v>
      </c>
      <c r="H32" s="2">
        <f>'2018_B4_Berechnung'!E369+'2018_B4_Berechnung'!E374</f>
        <v>2107</v>
      </c>
      <c r="I32" s="92">
        <f t="shared" si="4"/>
        <v>146</v>
      </c>
      <c r="J32" s="2">
        <f>'2018_B4_Berechnung'!C370</f>
        <v>5543</v>
      </c>
      <c r="K32" s="2">
        <f>'2018_B4_Berechnung'!E370</f>
        <v>4997</v>
      </c>
      <c r="L32" s="2">
        <f t="shared" si="6"/>
        <v>546</v>
      </c>
      <c r="M32" s="2">
        <f>'2018_B4_Berechnung'!C371+'2018_B4_Berechnung'!C375+'2018_B4_Berechnung'!C376</f>
        <v>6669</v>
      </c>
      <c r="N32" s="2">
        <f>'2018_B4_Berechnung'!E371+'2018_B4_Berechnung'!E375+'2018_B4_Berechnung'!E376</f>
        <v>6450</v>
      </c>
      <c r="O32" s="2">
        <f>'2018_B4_Berechnung'!D371+'2018_B4_Berechnung'!D375+'2018_B4_Berechnung'!D376</f>
        <v>179</v>
      </c>
      <c r="P32" s="2">
        <f>'2018_B4_Berechnung'!C372</f>
        <v>2015</v>
      </c>
      <c r="Q32" s="2">
        <f>'2018_B4_Berechnung'!E372</f>
        <v>1892</v>
      </c>
      <c r="R32" s="92">
        <f t="shared" si="1"/>
        <v>123</v>
      </c>
      <c r="S32" s="2">
        <f>'2018_B4_Berechnung'!C377+'2018_B4_Berechnung'!C378</f>
        <v>321</v>
      </c>
      <c r="T32" s="2">
        <f>'2018_B4_Berechnung'!E377+'2018_B4_Berechnung'!E378</f>
        <v>292</v>
      </c>
      <c r="U32" s="92">
        <f t="shared" si="2"/>
        <v>29</v>
      </c>
      <c r="V32" s="2">
        <f>'2018_B4_Berechnung'!C367</f>
        <v>17804</v>
      </c>
      <c r="W32" s="2">
        <f>'2018_B4_Berechnung'!E367</f>
        <v>16616</v>
      </c>
      <c r="X32" s="92">
        <f t="shared" si="3"/>
        <v>1188</v>
      </c>
    </row>
    <row r="33" spans="1:24">
      <c r="B33" s="11" t="s">
        <v>33</v>
      </c>
      <c r="C33" s="2">
        <v>2018</v>
      </c>
      <c r="D33" s="2">
        <f>'2018_B4_Berechnung'!C381+'2018_B4_Berechnung'!C386</f>
        <v>1555</v>
      </c>
      <c r="E33" s="2">
        <f>'2018_B4_Berechnung'!E381+'2018_B4_Berechnung'!E386</f>
        <v>1230</v>
      </c>
      <c r="F33" s="92">
        <f t="shared" si="0"/>
        <v>325</v>
      </c>
      <c r="G33" s="2">
        <f>'2018_B4_Berechnung'!C382+'2018_B4_Berechnung'!C387</f>
        <v>3192</v>
      </c>
      <c r="H33" s="2">
        <f>'2018_B4_Berechnung'!E382+'2018_B4_Berechnung'!E387</f>
        <v>2932</v>
      </c>
      <c r="I33" s="92">
        <f t="shared" si="4"/>
        <v>260</v>
      </c>
      <c r="J33" s="2">
        <f>'2018_B4_Berechnung'!C383</f>
        <v>8737</v>
      </c>
      <c r="K33" s="2">
        <f>'2018_B4_Berechnung'!E383</f>
        <v>7673</v>
      </c>
      <c r="L33" s="2">
        <f t="shared" si="6"/>
        <v>1064</v>
      </c>
      <c r="M33" s="2">
        <f>'2018_B4_Berechnung'!C384+'2018_B4_Berechnung'!C388+'2018_B4_Berechnung'!C389</f>
        <v>9223</v>
      </c>
      <c r="N33" s="2">
        <f>'2018_B4_Berechnung'!E384+'2018_B4_Berechnung'!E388+'2018_B4_Berechnung'!E389</f>
        <v>8930</v>
      </c>
      <c r="O33" s="92">
        <f>M33-N33</f>
        <v>293</v>
      </c>
      <c r="P33" s="2">
        <f>'2018_B4_Berechnung'!C385</f>
        <v>3007</v>
      </c>
      <c r="Q33" s="2">
        <f>'2018_B4_Berechnung'!E385</f>
        <v>2840</v>
      </c>
      <c r="R33" s="92">
        <f t="shared" si="1"/>
        <v>167</v>
      </c>
      <c r="S33" s="2">
        <f>'2018_B4_Berechnung'!C390+'2018_B4_Berechnung'!C391</f>
        <v>828</v>
      </c>
      <c r="T33" s="2">
        <f>'2018_B4_Berechnung'!E390+'2018_B4_Berechnung'!E391</f>
        <v>754</v>
      </c>
      <c r="U33" s="92">
        <f t="shared" si="2"/>
        <v>74</v>
      </c>
      <c r="V33" s="2">
        <f>'2018_B4_Berechnung'!C380</f>
        <v>26542</v>
      </c>
      <c r="W33" s="2">
        <f>'2018_B4_Berechnung'!E380</f>
        <v>24359</v>
      </c>
      <c r="X33" s="92">
        <f t="shared" si="3"/>
        <v>2183</v>
      </c>
    </row>
    <row r="34" spans="1:24">
      <c r="B34" s="11" t="s">
        <v>34</v>
      </c>
      <c r="C34" s="2">
        <v>2018</v>
      </c>
      <c r="D34" s="2">
        <f>'2018_B4_Berechnung'!C329+'2018_B4_Berechnung'!C334</f>
        <v>5076</v>
      </c>
      <c r="E34" s="2">
        <f>'2018_B4_Berechnung'!E329+'2018_B4_Berechnung'!E334</f>
        <v>3871</v>
      </c>
      <c r="F34" s="92">
        <f t="shared" si="0"/>
        <v>1205</v>
      </c>
      <c r="G34" s="2">
        <f>'2018_B4_Berechnung'!C330+'2018_B4_Berechnung'!C335</f>
        <v>11488</v>
      </c>
      <c r="H34" s="2">
        <f>'2018_B4_Berechnung'!E330+'2018_B4_Berechnung'!E335</f>
        <v>10364</v>
      </c>
      <c r="I34" s="92">
        <f t="shared" si="4"/>
        <v>1124</v>
      </c>
      <c r="J34" s="2">
        <f>'2018_B4_Berechnung'!C331</f>
        <v>18723</v>
      </c>
      <c r="K34" s="2">
        <f>'2018_B4_Berechnung'!E331</f>
        <v>16509</v>
      </c>
      <c r="L34" s="2">
        <f t="shared" si="6"/>
        <v>2214</v>
      </c>
      <c r="M34" s="2">
        <f>'2018_B4_Berechnung'!C332+'2018_B4_Berechnung'!C336+'2018_B4_Berechnung'!C337</f>
        <v>29890</v>
      </c>
      <c r="N34" s="2">
        <f>'2018_B4_Berechnung'!E332+'2018_B4_Berechnung'!E336+'2018_B4_Berechnung'!E337</f>
        <v>28843</v>
      </c>
      <c r="O34" s="92">
        <f>M34-N34</f>
        <v>1047</v>
      </c>
      <c r="P34" s="2">
        <f>'2018_B4_Berechnung'!C333</f>
        <v>12424</v>
      </c>
      <c r="Q34" s="2">
        <f>'2018_B4_Berechnung'!E333</f>
        <v>11483</v>
      </c>
      <c r="R34" s="92">
        <f t="shared" si="1"/>
        <v>941</v>
      </c>
      <c r="S34" s="2">
        <f>'2018_B4_Berechnung'!C338+'2018_B4_Berechnung'!C339</f>
        <v>2041</v>
      </c>
      <c r="T34" s="2">
        <f>'2018_B4_Berechnung'!E338+'2018_B4_Berechnung'!E339</f>
        <v>1855</v>
      </c>
      <c r="U34" s="92">
        <f t="shared" si="2"/>
        <v>186</v>
      </c>
      <c r="V34" s="2">
        <f>'2018_B4_Berechnung'!C328</f>
        <v>79642</v>
      </c>
      <c r="W34" s="2">
        <f>'2018_B4_Berechnung'!E328</f>
        <v>72925</v>
      </c>
      <c r="X34" s="92">
        <f t="shared" si="3"/>
        <v>6717</v>
      </c>
    </row>
    <row r="35" spans="1:24">
      <c r="A35">
        <v>1</v>
      </c>
      <c r="B35" s="11" t="s">
        <v>30</v>
      </c>
      <c r="C35" s="2">
        <v>2019</v>
      </c>
      <c r="D35" s="12">
        <f>'2019_B4_Berechnung'!C17+'2019_B4_Berechnung'!C22</f>
        <v>1279</v>
      </c>
      <c r="E35" s="13">
        <f>'2019_B4_Berechnung'!E17+'2019_B4_Berechnung'!E22</f>
        <v>920</v>
      </c>
      <c r="F35" s="13">
        <f t="shared" ref="F35:F44" si="8">D35-E35</f>
        <v>359</v>
      </c>
      <c r="G35" s="13">
        <f>'2019_B4_Berechnung'!C18+'2019_B4_Berechnung'!C23</f>
        <v>2626</v>
      </c>
      <c r="H35" s="13">
        <f>'2019_B4_Berechnung'!E18+'2019_B4_Berechnung'!E23</f>
        <v>2329</v>
      </c>
      <c r="I35" s="13">
        <f>G35-H35</f>
        <v>297</v>
      </c>
      <c r="J35" s="85">
        <f>'2019_B4_Berechnung'!C19</f>
        <v>1621</v>
      </c>
      <c r="K35" s="85">
        <f>'2019_B4_Berechnung'!E19</f>
        <v>1426</v>
      </c>
      <c r="L35" s="85">
        <f>'2019_B4_Berechnung'!D19</f>
        <v>195</v>
      </c>
      <c r="M35" s="86">
        <f>'2019_B4_Berechnung'!C20+'2019_B4_Berechnung'!C24+'2019_B4_Berechnung'!C25</f>
        <v>5597</v>
      </c>
      <c r="N35" s="86">
        <f>'2019_B4_Berechnung'!E20+'2019_B4_Berechnung'!E24+'2019_B4_Berechnung'!E25</f>
        <v>5336</v>
      </c>
      <c r="O35" s="86">
        <f>'2019_B4_Berechnung'!D20+'2019_B4_Berechnung'!D24+'2019_B4_Berechnung'!D25</f>
        <v>261</v>
      </c>
      <c r="P35" s="13">
        <f>'2019_B4_Berechnung'!C21</f>
        <v>3229</v>
      </c>
      <c r="Q35" s="13">
        <f>'2019_B4_Berechnung'!E21</f>
        <v>3015</v>
      </c>
      <c r="R35" s="13">
        <f t="shared" ref="R35:R44" si="9">P35-Q35</f>
        <v>214</v>
      </c>
      <c r="S35" s="13">
        <f>'2019_B4_Berechnung'!C26+'2019_B4_Berechnung'!C27</f>
        <v>429</v>
      </c>
      <c r="T35" s="13">
        <f>'2019_B4_Berechnung'!E26+'2019_B4_Berechnung'!E27</f>
        <v>385</v>
      </c>
      <c r="U35" s="13">
        <f t="shared" ref="U35:U44" si="10">S35-T35</f>
        <v>44</v>
      </c>
      <c r="V35" s="13">
        <f>'2019_B4_Berechnung'!C16</f>
        <v>14781</v>
      </c>
      <c r="W35" s="13">
        <f>'2019_B4_Berechnung'!E16</f>
        <v>13411</v>
      </c>
      <c r="X35" s="13">
        <f t="shared" ref="X35:X44" si="11">V35-W35</f>
        <v>1370</v>
      </c>
    </row>
    <row r="36" spans="1:24">
      <c r="A36">
        <v>2</v>
      </c>
      <c r="B36" s="11" t="s">
        <v>31</v>
      </c>
      <c r="C36" s="2">
        <v>2019</v>
      </c>
      <c r="D36" s="12">
        <f>'2019_B4_Berechnung'!C30+'2019_B4_Berechnung'!C35</f>
        <v>1026</v>
      </c>
      <c r="E36" s="13">
        <f>'2019_B4_Berechnung'!E30+'2019_B4_Berechnung'!E35</f>
        <v>718</v>
      </c>
      <c r="F36" s="13">
        <f t="shared" si="8"/>
        <v>308</v>
      </c>
      <c r="G36" s="13">
        <f>'2019_B4_Berechnung'!C31+'2019_B4_Berechnung'!C36</f>
        <v>3103</v>
      </c>
      <c r="H36" s="13">
        <f>'2019_B4_Berechnung'!E31+'2019_B4_Berechnung'!E36</f>
        <v>2703</v>
      </c>
      <c r="I36" s="13">
        <f>G36-H36</f>
        <v>400</v>
      </c>
      <c r="J36" s="85">
        <f>'2019_B4_Berechnung'!C32</f>
        <v>2967</v>
      </c>
      <c r="K36" s="2">
        <f>'2019_B4_Berechnung'!E32</f>
        <v>2379</v>
      </c>
      <c r="L36" s="86">
        <f>'2019_B4_Berechnung'!D32</f>
        <v>588</v>
      </c>
      <c r="M36" s="86">
        <f>'2019_B4_Berechnung'!C33+'2019_B4_Berechnung'!C38+'2019_B4_Berechnung'!C37</f>
        <v>8347</v>
      </c>
      <c r="N36" s="13">
        <f>'2019_B4_Berechnung'!E33+'2019_B4_Berechnung'!E37+'2019_B4_Berechnung'!E38</f>
        <v>7950</v>
      </c>
      <c r="O36" s="13">
        <f>M36-N36</f>
        <v>397</v>
      </c>
      <c r="P36" s="13">
        <f>'2019_B4_Berechnung'!C34</f>
        <v>4499</v>
      </c>
      <c r="Q36" s="13">
        <f>'2019_B4_Berechnung'!E34</f>
        <v>3963</v>
      </c>
      <c r="R36" s="13">
        <f t="shared" si="9"/>
        <v>536</v>
      </c>
      <c r="S36" s="13">
        <f>'2019_B4_Berechnung'!C39+'2019_B4_Berechnung'!C40</f>
        <v>548</v>
      </c>
      <c r="T36" s="13">
        <f>'2019_B4_Berechnung'!E39+'2019_B4_Berechnung'!E40</f>
        <v>512</v>
      </c>
      <c r="U36" s="13">
        <f t="shared" si="10"/>
        <v>36</v>
      </c>
      <c r="V36" s="13">
        <f>'2019_B4_Berechnung'!C29</f>
        <v>20490</v>
      </c>
      <c r="W36" s="13">
        <f>'2019_B4_Berechnung'!E29</f>
        <v>18225</v>
      </c>
      <c r="X36" s="13">
        <f t="shared" si="11"/>
        <v>2265</v>
      </c>
    </row>
    <row r="37" spans="1:24">
      <c r="A37">
        <v>3</v>
      </c>
      <c r="B37" s="11" t="s">
        <v>32</v>
      </c>
      <c r="C37" s="2">
        <v>2019</v>
      </c>
      <c r="D37" s="12">
        <f>'2019_B4_Berechnung'!C43+'2019_B4_Berechnung'!C48</f>
        <v>964</v>
      </c>
      <c r="E37" s="13">
        <f>'2019_B4_Berechnung'!E43+'2019_B4_Berechnung'!E48</f>
        <v>788</v>
      </c>
      <c r="F37" s="13">
        <f t="shared" si="8"/>
        <v>176</v>
      </c>
      <c r="G37" s="13">
        <f>'2019_B4_Berechnung'!C44+'2019_B4_Berechnung'!C49</f>
        <v>2168</v>
      </c>
      <c r="H37" s="13">
        <f>'2019_B4_Berechnung'!E44+'2019_B4_Berechnung'!E49</f>
        <v>2009</v>
      </c>
      <c r="I37" s="13">
        <f>G37-H37</f>
        <v>159</v>
      </c>
      <c r="J37" s="85">
        <f>'2019_B4_Berechnung'!C45</f>
        <v>5429</v>
      </c>
      <c r="K37" s="85">
        <f>'2019_B4_Berechnung'!E45</f>
        <v>4863</v>
      </c>
      <c r="L37" s="86">
        <f>'2019_B4_Berechnung'!D45</f>
        <v>566</v>
      </c>
      <c r="M37" s="86">
        <f>'2019_B4_Berechnung'!C46+'2019_B4_Berechnung'!C50+'2019_B4_Berechnung'!C51</f>
        <v>6537</v>
      </c>
      <c r="N37" s="13">
        <f>'2019_B4_Berechnung'!E46+'2019_B4_Berechnung'!E50+'2019_B4_Berechnung'!E51</f>
        <v>6350</v>
      </c>
      <c r="O37" s="13">
        <f>M37-N37</f>
        <v>187</v>
      </c>
      <c r="P37" s="13">
        <f>'2019_B4_Berechnung'!C47</f>
        <v>1989</v>
      </c>
      <c r="Q37" s="13">
        <f>'2019_B4_Berechnung'!E47</f>
        <v>1860</v>
      </c>
      <c r="R37" s="13">
        <f t="shared" si="9"/>
        <v>129</v>
      </c>
      <c r="S37" s="13">
        <f>'2019_B4_Berechnung'!C52+'2019_B4_Berechnung'!C53</f>
        <v>354</v>
      </c>
      <c r="T37" s="13">
        <f>'2019_B4_Berechnung'!E52+'2019_B4_Berechnung'!E53</f>
        <v>325</v>
      </c>
      <c r="U37" s="13">
        <f t="shared" si="10"/>
        <v>29</v>
      </c>
      <c r="V37" s="13">
        <f>'2019_B4_Berechnung'!C42</f>
        <v>17441</v>
      </c>
      <c r="W37" s="13">
        <f>'2019_B4_Berechnung'!E42</f>
        <v>16195</v>
      </c>
      <c r="X37" s="13">
        <f t="shared" si="11"/>
        <v>1246</v>
      </c>
    </row>
    <row r="38" spans="1:24">
      <c r="A38">
        <v>4</v>
      </c>
      <c r="B38" s="11" t="s">
        <v>33</v>
      </c>
      <c r="C38" s="2">
        <v>2019</v>
      </c>
      <c r="D38" s="12">
        <f>'2019_B4_Berechnung'!C56+'2019_B4_Berechnung'!C61</f>
        <v>1349</v>
      </c>
      <c r="E38" s="13">
        <f>'2019_B4_Berechnung'!E56+'2019_B4_Berechnung'!E61</f>
        <v>1034</v>
      </c>
      <c r="F38" s="13">
        <f t="shared" si="8"/>
        <v>315</v>
      </c>
      <c r="G38" s="13">
        <f>'2019_B4_Berechnung'!C57+'2019_B4_Berechnung'!C62</f>
        <v>3040</v>
      </c>
      <c r="H38" s="13">
        <f>'2019_B4_Berechnung'!E57+'2019_B4_Berechnung'!E62</f>
        <v>2791</v>
      </c>
      <c r="I38" s="13">
        <f>G38-H38</f>
        <v>249</v>
      </c>
      <c r="J38" s="85">
        <f>'2019_B4_Berechnung'!C58</f>
        <v>8810</v>
      </c>
      <c r="K38" s="85">
        <f>'2019_B4_Berechnung'!E58</f>
        <v>7530</v>
      </c>
      <c r="L38" s="86">
        <f>'2019_B4_Berechnung'!D58</f>
        <v>1280</v>
      </c>
      <c r="M38" s="86">
        <f>'2019_B4_Berechnung'!C59+'2019_B4_Berechnung'!C63+'2019_B4_Berechnung'!C64</f>
        <v>8648</v>
      </c>
      <c r="N38" s="13">
        <f>'2019_B4_Berechnung'!E63+'2019_B4_Berechnung'!E64+'2019_B4_Berechnung'!E59</f>
        <v>8344</v>
      </c>
      <c r="O38" s="13">
        <f>M38-N38</f>
        <v>304</v>
      </c>
      <c r="P38" s="13">
        <f>'2019_B4_Berechnung'!C60</f>
        <v>3003</v>
      </c>
      <c r="Q38" s="13">
        <f>'2019_B4_Berechnung'!E60</f>
        <v>2814</v>
      </c>
      <c r="R38" s="13">
        <f t="shared" si="9"/>
        <v>189</v>
      </c>
      <c r="S38" s="13">
        <f>'2019_B4_Berechnung'!C65+'2019_B4_Berechnung'!C66</f>
        <v>1057</v>
      </c>
      <c r="T38" s="13">
        <f>'2019_B4_Berechnung'!E65+'2019_B4_Berechnung'!E66</f>
        <v>979</v>
      </c>
      <c r="U38" s="13">
        <f t="shared" si="10"/>
        <v>78</v>
      </c>
      <c r="V38" s="13">
        <f>'2019_B4_Berechnung'!C55</f>
        <v>25907</v>
      </c>
      <c r="W38" s="13">
        <f>'2019_B4_Berechnung'!E55</f>
        <v>23492</v>
      </c>
      <c r="X38" s="13">
        <f t="shared" si="11"/>
        <v>2415</v>
      </c>
    </row>
    <row r="39" spans="1:24">
      <c r="A39">
        <v>5</v>
      </c>
      <c r="B39" s="11" t="s">
        <v>34</v>
      </c>
      <c r="C39" s="2">
        <v>2019</v>
      </c>
      <c r="D39" s="12">
        <f>'2019_B4_Berechnung'!C4+'2019_B4_Berechnung'!C9</f>
        <v>4618</v>
      </c>
      <c r="E39" s="84">
        <f>'2019_B4_Berechnung'!E4+'2019_B4_Berechnung'!E9</f>
        <v>3460</v>
      </c>
      <c r="F39" s="13">
        <f t="shared" si="8"/>
        <v>1158</v>
      </c>
      <c r="G39" s="92">
        <f>'2019_B4_Berechnung'!C5+'2019_B4_Berechnung'!C10</f>
        <v>10937</v>
      </c>
      <c r="H39" s="2">
        <f>'2019_B4_Berechnung'!E5+'2019_B4_Berechnung'!E10</f>
        <v>9832</v>
      </c>
      <c r="I39" s="92">
        <f>'2019_B4_Berechnung'!D5+'2019_B4_Berechnung'!D10</f>
        <v>1105</v>
      </c>
      <c r="J39" s="85">
        <f>'2019_B4_Berechnung'!C6</f>
        <v>18827</v>
      </c>
      <c r="K39" s="85">
        <f>'2019_B4_Berechnung'!E6</f>
        <v>16198</v>
      </c>
      <c r="L39" s="86">
        <f>'2019_B4_Berechnung'!D6</f>
        <v>2629</v>
      </c>
      <c r="M39" s="86">
        <f>'2019_B4_Berechnung'!C7+'2019_B4_Berechnung'!C11+'2019_B4_Berechnung'!C12</f>
        <v>29129</v>
      </c>
      <c r="N39" s="84">
        <f>'2019_B4_Berechnung'!E7+'2019_B4_Berechnung'!E11+'2019_B4_Berechnung'!E12</f>
        <v>27980</v>
      </c>
      <c r="O39" s="13">
        <f>M39-N39</f>
        <v>1149</v>
      </c>
      <c r="P39" s="13">
        <f>'2019_B4_Berechnung'!C8</f>
        <v>12720</v>
      </c>
      <c r="Q39" s="84">
        <f>'2019_B4_Berechnung'!E8</f>
        <v>11652</v>
      </c>
      <c r="R39" s="13">
        <f t="shared" si="9"/>
        <v>1068</v>
      </c>
      <c r="S39" s="84">
        <f>'2019_B4_Berechnung'!C13+'2019_B4_Berechnung'!C14</f>
        <v>2388</v>
      </c>
      <c r="T39" s="84">
        <f>'2019_B4_Berechnung'!E13+'2019_B4_Berechnung'!E14</f>
        <v>2201</v>
      </c>
      <c r="U39" s="13">
        <f t="shared" si="10"/>
        <v>187</v>
      </c>
      <c r="V39" s="13">
        <f>'2019_B4_Berechnung'!C3</f>
        <v>78619</v>
      </c>
      <c r="W39" s="84">
        <f>'2019_B4_Berechnung'!E3</f>
        <v>71323</v>
      </c>
      <c r="X39" s="13">
        <f t="shared" si="11"/>
        <v>7296</v>
      </c>
    </row>
    <row r="40" spans="1:24">
      <c r="B40" s="11" t="s">
        <v>30</v>
      </c>
      <c r="C40" s="2">
        <v>2020</v>
      </c>
      <c r="D40" s="12">
        <f>'2020_B4_Berechnung'!C17+'2020_B4_Berechnung'!C22</f>
        <v>1178</v>
      </c>
      <c r="E40" s="13">
        <f>'2020_B4_Berechnung'!E17+'2020_B4_Berechnung'!E22</f>
        <v>832</v>
      </c>
      <c r="F40" s="13">
        <f t="shared" si="8"/>
        <v>346</v>
      </c>
      <c r="G40" s="13">
        <f>'2020_B4_Berechnung'!C18+'2020_B4_Berechnung'!C23</f>
        <v>2533</v>
      </c>
      <c r="H40" s="13">
        <f>'2020_B4_Berechnung'!E18+'2020_B4_Berechnung'!E23</f>
        <v>2251</v>
      </c>
      <c r="I40" s="13">
        <f>G40-H40</f>
        <v>282</v>
      </c>
      <c r="J40" s="85">
        <f>'2020_B4_Berechnung'!C19</f>
        <v>1569</v>
      </c>
      <c r="K40" s="85">
        <f>'2020_B4_Berechnung'!E19</f>
        <v>1361</v>
      </c>
      <c r="L40" s="85">
        <f>'2020_B4_Berechnung'!D19</f>
        <v>208</v>
      </c>
      <c r="M40" s="86">
        <f>'2020_B4_Berechnung'!C20+'2020_B4_Berechnung'!C24+'2020_B4_Berechnung'!C25</f>
        <v>5639</v>
      </c>
      <c r="N40" s="86">
        <f>'2020_B4_Berechnung'!E20+'2020_B4_Berechnung'!E24+'2020_B4_Berechnung'!E25</f>
        <v>5303</v>
      </c>
      <c r="O40" s="86">
        <f>'2020_B4_Berechnung'!D20+'2020_B4_Berechnung'!D24+'2020_B4_Berechnung'!D25</f>
        <v>336</v>
      </c>
      <c r="P40" s="13">
        <f>'2020_B4_Berechnung'!C21</f>
        <v>3145</v>
      </c>
      <c r="Q40" s="13">
        <f>'2020_B4_Berechnung'!E21</f>
        <v>2882</v>
      </c>
      <c r="R40" s="13">
        <f t="shared" si="9"/>
        <v>263</v>
      </c>
      <c r="S40" s="13">
        <f>'2020_B4_Berechnung'!C26+'2020_B4_Berechnung'!C27</f>
        <v>282</v>
      </c>
      <c r="T40" s="13">
        <f>'2020_B4_Berechnung'!E26+'2020_B4_Berechnung'!E27</f>
        <v>251</v>
      </c>
      <c r="U40" s="13">
        <f t="shared" si="10"/>
        <v>31</v>
      </c>
      <c r="V40" s="13">
        <f>'2020_B4_Berechnung'!C16</f>
        <v>14346</v>
      </c>
      <c r="W40" s="13">
        <f>'2020_B4_Berechnung'!E16</f>
        <v>12880</v>
      </c>
      <c r="X40" s="13">
        <f t="shared" si="11"/>
        <v>1466</v>
      </c>
    </row>
    <row r="41" spans="1:24">
      <c r="B41" s="11" t="s">
        <v>31</v>
      </c>
      <c r="C41" s="2">
        <v>2020</v>
      </c>
      <c r="D41" s="12">
        <f>'2020_B4_Berechnung'!C30+'2020_B4_Berechnung'!C35</f>
        <v>952</v>
      </c>
      <c r="E41" s="13">
        <f>'2020_B4_Berechnung'!E30+'2020_B4_Berechnung'!E35</f>
        <v>649</v>
      </c>
      <c r="F41" s="13">
        <f t="shared" si="8"/>
        <v>303</v>
      </c>
      <c r="G41" s="13">
        <f>'2020_B4_Berechnung'!C31+'2020_B4_Berechnung'!C36</f>
        <v>2991</v>
      </c>
      <c r="H41" s="13">
        <f>'2020_B4_Berechnung'!E31+'2020_B4_Berechnung'!E36</f>
        <v>2600</v>
      </c>
      <c r="I41" s="13">
        <f>G41-H41</f>
        <v>391</v>
      </c>
      <c r="J41" s="85">
        <f>'2020_B4_Berechnung'!C32</f>
        <v>3089</v>
      </c>
      <c r="K41" s="2">
        <f>'2020_B4_Berechnung'!E32</f>
        <v>2500</v>
      </c>
      <c r="L41" s="86">
        <f>'2020_B4_Berechnung'!D32</f>
        <v>589</v>
      </c>
      <c r="M41" s="86">
        <f>'2020_B4_Berechnung'!C33+'2020_B4_Berechnung'!C38+'2020_B4_Berechnung'!C37</f>
        <v>8149</v>
      </c>
      <c r="N41" s="13">
        <f>'2020_B4_Berechnung'!E33+'2020_B4_Berechnung'!E37+'2020_B4_Berechnung'!E38</f>
        <v>7718</v>
      </c>
      <c r="O41" s="13">
        <f>M41-N41</f>
        <v>431</v>
      </c>
      <c r="P41" s="13">
        <f>'2020_B4_Berechnung'!C34</f>
        <v>4498</v>
      </c>
      <c r="Q41" s="13">
        <f>'2020_B4_Berechnung'!E34</f>
        <v>3862</v>
      </c>
      <c r="R41" s="13">
        <f t="shared" si="9"/>
        <v>636</v>
      </c>
      <c r="S41" s="13">
        <f>'2020_B4_Berechnung'!C39+'2020_B4_Berechnung'!C40</f>
        <v>326</v>
      </c>
      <c r="T41" s="13">
        <f>'2020_B4_Berechnung'!E39+'2020_B4_Berechnung'!E40</f>
        <v>281</v>
      </c>
      <c r="U41" s="13">
        <f t="shared" si="10"/>
        <v>45</v>
      </c>
      <c r="V41" s="13">
        <f>'2020_B4_Berechnung'!C29</f>
        <v>20005</v>
      </c>
      <c r="W41" s="13">
        <f>'2020_B4_Berechnung'!E29</f>
        <v>17610</v>
      </c>
      <c r="X41" s="13">
        <f t="shared" si="11"/>
        <v>2395</v>
      </c>
    </row>
    <row r="42" spans="1:24">
      <c r="B42" s="11" t="s">
        <v>32</v>
      </c>
      <c r="C42" s="2">
        <v>2020</v>
      </c>
      <c r="D42" s="12">
        <f>'2020_B4_Berechnung'!C43+'2020_B4_Berechnung'!C48</f>
        <v>939</v>
      </c>
      <c r="E42" s="13">
        <f>'2020_B4_Berechnung'!E43+'2020_B4_Berechnung'!E48</f>
        <v>758</v>
      </c>
      <c r="F42" s="13">
        <f t="shared" si="8"/>
        <v>181</v>
      </c>
      <c r="G42" s="13">
        <f>'2020_B4_Berechnung'!C44+'2020_B4_Berechnung'!C49</f>
        <v>2080</v>
      </c>
      <c r="H42" s="13">
        <f>'2020_B4_Berechnung'!E44+'2020_B4_Berechnung'!E49</f>
        <v>1904</v>
      </c>
      <c r="I42" s="13">
        <f>G42-H42</f>
        <v>176</v>
      </c>
      <c r="J42" s="85">
        <f>'2020_B4_Berechnung'!C45</f>
        <v>5225</v>
      </c>
      <c r="K42" s="85">
        <f>'2020_B4_Berechnung'!E45</f>
        <v>4606</v>
      </c>
      <c r="L42" s="86">
        <f>'2020_B4_Berechnung'!D45</f>
        <v>619</v>
      </c>
      <c r="M42" s="86">
        <f>'2020_B4_Berechnung'!C46+'2020_B4_Berechnung'!C50+'2020_B4_Berechnung'!C51</f>
        <v>6473</v>
      </c>
      <c r="N42" s="13">
        <f>'2020_B4_Berechnung'!E46+'2020_B4_Berechnung'!E50+'2020_B4_Berechnung'!E51</f>
        <v>6235</v>
      </c>
      <c r="O42" s="13">
        <f>M42-N42</f>
        <v>238</v>
      </c>
      <c r="P42" s="13">
        <f>'2020_B4_Berechnung'!C47</f>
        <v>2048</v>
      </c>
      <c r="Q42" s="13">
        <f>'2020_B4_Berechnung'!E47</f>
        <v>1881</v>
      </c>
      <c r="R42" s="13">
        <f t="shared" si="9"/>
        <v>167</v>
      </c>
      <c r="S42" s="13">
        <f>'2020_B4_Berechnung'!C52+'2020_B4_Berechnung'!C53</f>
        <v>184</v>
      </c>
      <c r="T42" s="13">
        <f>'2020_B4_Berechnung'!E52+'2020_B4_Berechnung'!E53</f>
        <v>178</v>
      </c>
      <c r="U42" s="13">
        <f t="shared" si="10"/>
        <v>6</v>
      </c>
      <c r="V42" s="13">
        <f>'2020_B4_Berechnung'!C42</f>
        <v>16949</v>
      </c>
      <c r="W42" s="13">
        <f>'2020_B4_Berechnung'!E42</f>
        <v>15562</v>
      </c>
      <c r="X42" s="13">
        <f t="shared" si="11"/>
        <v>1387</v>
      </c>
    </row>
    <row r="43" spans="1:24">
      <c r="B43" s="11" t="s">
        <v>33</v>
      </c>
      <c r="C43" s="2">
        <v>2020</v>
      </c>
      <c r="D43" s="12">
        <f>'2020_B4_Berechnung'!C56+'2020_B4_Berechnung'!C61</f>
        <v>1316</v>
      </c>
      <c r="E43" s="13">
        <f>'2020_B4_Berechnung'!E56+'2020_B4_Berechnung'!E61</f>
        <v>991</v>
      </c>
      <c r="F43" s="13">
        <f t="shared" si="8"/>
        <v>325</v>
      </c>
      <c r="G43" s="13">
        <f>'2020_B4_Berechnung'!C57+'2020_B4_Berechnung'!C62</f>
        <v>2742</v>
      </c>
      <c r="H43" s="13">
        <f>'2020_B4_Berechnung'!E57+'2020_B4_Berechnung'!E62</f>
        <v>2473</v>
      </c>
      <c r="I43" s="13">
        <f>G43-H43</f>
        <v>269</v>
      </c>
      <c r="J43" s="85">
        <f>'2020_B4_Berechnung'!C58</f>
        <v>8476</v>
      </c>
      <c r="K43" s="85">
        <f>'2020_B4_Berechnung'!E58</f>
        <v>7108</v>
      </c>
      <c r="L43" s="86">
        <f>'2020_B4_Berechnung'!D58</f>
        <v>1368</v>
      </c>
      <c r="M43" s="86">
        <f>'2020_B4_Berechnung'!C59+'2020_B4_Berechnung'!C63+'2020_B4_Berechnung'!C64</f>
        <v>8579</v>
      </c>
      <c r="N43" s="13">
        <f>'2020_B4_Berechnung'!E63+'2020_B4_Berechnung'!E64+'2020_B4_Berechnung'!E59</f>
        <v>8180</v>
      </c>
      <c r="O43" s="13">
        <f>M43-N43</f>
        <v>399</v>
      </c>
      <c r="P43" s="13">
        <f>'2020_B4_Berechnung'!C60</f>
        <v>3046</v>
      </c>
      <c r="Q43" s="13">
        <f>'2020_B4_Berechnung'!E60</f>
        <v>2826</v>
      </c>
      <c r="R43" s="13">
        <f t="shared" si="9"/>
        <v>220</v>
      </c>
      <c r="S43" s="13">
        <f>'2020_B4_Berechnung'!C65+'2020_B4_Berechnung'!C66</f>
        <v>594</v>
      </c>
      <c r="T43" s="13">
        <f>'2020_B4_Berechnung'!E65+'2020_B4_Berechnung'!E66</f>
        <v>528</v>
      </c>
      <c r="U43" s="13">
        <f t="shared" si="10"/>
        <v>66</v>
      </c>
      <c r="V43" s="13">
        <f>'2020_B4_Berechnung'!C55</f>
        <v>24753</v>
      </c>
      <c r="W43" s="13">
        <f>'2020_B4_Berechnung'!E55</f>
        <v>22106</v>
      </c>
      <c r="X43" s="13">
        <f t="shared" si="11"/>
        <v>2647</v>
      </c>
    </row>
    <row r="44" spans="1:24">
      <c r="B44" s="11" t="s">
        <v>34</v>
      </c>
      <c r="C44" s="2">
        <v>2020</v>
      </c>
      <c r="D44" s="12">
        <f>'2020_B4_Berechnung'!C4+'2020_B4_Berechnung'!C9</f>
        <v>4385</v>
      </c>
      <c r="E44" s="84">
        <f>'2020_B4_Berechnung'!E4+'2020_B4_Berechnung'!E9</f>
        <v>3230</v>
      </c>
      <c r="F44" s="13">
        <f t="shared" si="8"/>
        <v>1155</v>
      </c>
      <c r="G44" s="92">
        <f>'2020_B4_Berechnung'!C5+'2020_B4_Berechnung'!C10</f>
        <v>10346</v>
      </c>
      <c r="H44" s="2">
        <f>'2020_B4_Berechnung'!E5+'2020_B4_Berechnung'!E10</f>
        <v>9228</v>
      </c>
      <c r="I44" s="92">
        <f>'2020_B4_Berechnung'!D5+'2020_B4_Berechnung'!D10</f>
        <v>1118</v>
      </c>
      <c r="J44" s="85">
        <f>'2020_B4_Berechnung'!C6</f>
        <v>18359</v>
      </c>
      <c r="K44" s="85">
        <f>'2020_B4_Berechnung'!E6</f>
        <v>15575</v>
      </c>
      <c r="L44" s="86">
        <f>'2020_B4_Berechnung'!D6</f>
        <v>2784</v>
      </c>
      <c r="M44" s="86">
        <f>'2020_B4_Berechnung'!C7+'2020_B4_Berechnung'!C11+'2020_B4_Berechnung'!C12</f>
        <v>28840</v>
      </c>
      <c r="N44" s="84">
        <f>'2020_B4_Berechnung'!E7+'2020_B4_Berechnung'!E11+'2020_B4_Berechnung'!E12</f>
        <v>27436</v>
      </c>
      <c r="O44" s="13">
        <f>M44-N44</f>
        <v>1404</v>
      </c>
      <c r="P44" s="13">
        <f>'2020_B4_Berechnung'!C8</f>
        <v>12737</v>
      </c>
      <c r="Q44" s="84">
        <f>'2020_B4_Berechnung'!E8</f>
        <v>11451</v>
      </c>
      <c r="R44" s="13">
        <f t="shared" si="9"/>
        <v>1286</v>
      </c>
      <c r="S44" s="84">
        <f>'2020_B4_Berechnung'!C13+'2020_B4_Berechnung'!C14</f>
        <v>1386</v>
      </c>
      <c r="T44" s="84">
        <f>'2020_B4_Berechnung'!E13+'2020_B4_Berechnung'!E14</f>
        <v>1238</v>
      </c>
      <c r="U44" s="13">
        <f t="shared" si="10"/>
        <v>148</v>
      </c>
      <c r="V44" s="13">
        <f>'2020_B4_Berechnung'!C3</f>
        <v>76053</v>
      </c>
      <c r="W44" s="84">
        <f>'2020_B4_Berechnung'!E3</f>
        <v>68158</v>
      </c>
      <c r="X44" s="13">
        <f t="shared" si="11"/>
        <v>7895</v>
      </c>
    </row>
    <row r="47" spans="1:24">
      <c r="B47" s="237" t="s">
        <v>2</v>
      </c>
      <c r="C47" s="233" t="s">
        <v>3</v>
      </c>
      <c r="D47" s="236" t="s">
        <v>4</v>
      </c>
      <c r="E47" s="236"/>
      <c r="F47" s="236" t="s">
        <v>5</v>
      </c>
      <c r="G47" s="236"/>
      <c r="H47" s="242" t="s">
        <v>6</v>
      </c>
      <c r="I47" s="242"/>
      <c r="J47" s="236" t="s">
        <v>7</v>
      </c>
      <c r="K47" s="236"/>
      <c r="L47" s="236" t="s">
        <v>8</v>
      </c>
      <c r="M47" s="236"/>
      <c r="N47" s="236" t="s">
        <v>9</v>
      </c>
      <c r="O47" s="236"/>
      <c r="P47" s="236" t="s">
        <v>10</v>
      </c>
      <c r="Q47" s="240"/>
    </row>
    <row r="48" spans="1:24" ht="16.5">
      <c r="B48" s="238"/>
      <c r="C48" s="234"/>
      <c r="D48" s="6" t="s">
        <v>11</v>
      </c>
      <c r="E48" s="7" t="s">
        <v>12</v>
      </c>
      <c r="F48" s="6" t="s">
        <v>11</v>
      </c>
      <c r="G48" s="7" t="s">
        <v>12</v>
      </c>
      <c r="H48" s="6" t="s">
        <v>11</v>
      </c>
      <c r="I48" s="7" t="s">
        <v>12</v>
      </c>
      <c r="J48" s="6" t="s">
        <v>11</v>
      </c>
      <c r="K48" s="7" t="s">
        <v>12</v>
      </c>
      <c r="L48" s="6" t="s">
        <v>11</v>
      </c>
      <c r="M48" s="7" t="s">
        <v>12</v>
      </c>
      <c r="N48" s="6" t="s">
        <v>11</v>
      </c>
      <c r="O48" s="7" t="s">
        <v>12</v>
      </c>
      <c r="P48" s="6" t="s">
        <v>11</v>
      </c>
      <c r="Q48" s="82" t="s">
        <v>12</v>
      </c>
    </row>
    <row r="49" spans="2:17">
      <c r="B49" s="239"/>
      <c r="C49" s="235"/>
      <c r="D49" s="240" t="s">
        <v>13</v>
      </c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</row>
    <row r="50" spans="2:17">
      <c r="B50" s="9" t="s">
        <v>14</v>
      </c>
      <c r="C50" s="10" t="s">
        <v>15</v>
      </c>
      <c r="D50" s="10" t="s">
        <v>16</v>
      </c>
      <c r="E50" s="10" t="s">
        <v>17</v>
      </c>
      <c r="F50" s="10" t="s">
        <v>18</v>
      </c>
      <c r="G50" s="10" t="s">
        <v>19</v>
      </c>
      <c r="H50" s="10" t="s">
        <v>20</v>
      </c>
      <c r="I50" s="10" t="s">
        <v>21</v>
      </c>
      <c r="J50" s="10" t="s">
        <v>22</v>
      </c>
      <c r="K50" s="10" t="s">
        <v>23</v>
      </c>
      <c r="L50" s="10" t="s">
        <v>24</v>
      </c>
      <c r="M50" s="10" t="s">
        <v>25</v>
      </c>
      <c r="N50" s="10" t="s">
        <v>26</v>
      </c>
      <c r="O50" s="10" t="s">
        <v>27</v>
      </c>
      <c r="P50" s="10" t="s">
        <v>28</v>
      </c>
      <c r="Q50" s="10" t="s">
        <v>29</v>
      </c>
    </row>
    <row r="51" spans="2:17">
      <c r="B51" s="11" t="s">
        <v>30</v>
      </c>
      <c r="C51" s="12">
        <v>2011</v>
      </c>
      <c r="D51" s="98">
        <f t="shared" ref="D51:D85" si="12">E5/D5*100</f>
        <v>87.360308285163782</v>
      </c>
      <c r="E51" s="98">
        <f t="shared" ref="E51:E85" si="13">F5/D5*100</f>
        <v>12.639691714836223</v>
      </c>
      <c r="F51" s="98">
        <f t="shared" ref="F51:F85" si="14">H5/G5*100</f>
        <v>89.183673469387756</v>
      </c>
      <c r="G51" s="98">
        <f t="shared" ref="G51:G85" si="15">I5/G5*100</f>
        <v>10.816326530612246</v>
      </c>
      <c r="H51" s="98" t="e">
        <f t="shared" ref="H51:H85" si="16">K5/J5*100</f>
        <v>#VALUE!</v>
      </c>
      <c r="I51" s="98" t="e">
        <f t="shared" ref="I51:I85" si="17">L5/J5*100</f>
        <v>#VALUE!</v>
      </c>
      <c r="J51" s="98">
        <f t="shared" ref="J51:J85" si="18">N5/M5*100</f>
        <v>94.222689075630257</v>
      </c>
      <c r="K51" s="98">
        <f t="shared" ref="K51:K85" si="19">O5/M5*100</f>
        <v>2.8361344537815127</v>
      </c>
      <c r="L51" s="98">
        <f t="shared" ref="L51:L85" si="20">Q5/P5*100</f>
        <v>94.8072383949646</v>
      </c>
      <c r="M51" s="98">
        <f t="shared" ref="M51:M85" si="21">R5/P5*100</f>
        <v>5.1927616050354048</v>
      </c>
      <c r="N51" s="98">
        <f t="shared" ref="N51:N85" si="22">T5/S5*100</f>
        <v>83.2</v>
      </c>
      <c r="O51" s="98">
        <f t="shared" ref="O51:O85" si="23">U5/S5*100</f>
        <v>16.8</v>
      </c>
      <c r="P51" s="98">
        <f t="shared" ref="P51:P85" si="24">W5/V5*100</f>
        <v>93.619019665394774</v>
      </c>
      <c r="Q51" s="98">
        <f t="shared" ref="Q51:Q85" si="25">X5/V5*100</f>
        <v>6.3809803346052245</v>
      </c>
    </row>
    <row r="52" spans="2:17">
      <c r="B52" s="11" t="s">
        <v>31</v>
      </c>
      <c r="C52" s="12">
        <v>2011</v>
      </c>
      <c r="D52" s="98">
        <f t="shared" si="12"/>
        <v>84.688847812692543</v>
      </c>
      <c r="E52" s="98">
        <f t="shared" si="13"/>
        <v>15.311152187307457</v>
      </c>
      <c r="F52" s="98">
        <f t="shared" si="14"/>
        <v>91.473859133324808</v>
      </c>
      <c r="G52" s="98">
        <f t="shared" si="15"/>
        <v>8.5261408666751883</v>
      </c>
      <c r="H52" s="98" t="e">
        <f t="shared" si="16"/>
        <v>#VALUE!</v>
      </c>
      <c r="I52" s="98" t="e">
        <f t="shared" si="17"/>
        <v>#VALUE!</v>
      </c>
      <c r="J52" s="98">
        <f t="shared" si="18"/>
        <v>95.173766205469008</v>
      </c>
      <c r="K52" s="98">
        <f t="shared" si="19"/>
        <v>4.8262337945309941</v>
      </c>
      <c r="L52" s="98">
        <f t="shared" si="20"/>
        <v>89.962018448182306</v>
      </c>
      <c r="M52" s="98">
        <f t="shared" si="21"/>
        <v>10.037981551817689</v>
      </c>
      <c r="N52" s="98">
        <f t="shared" si="22"/>
        <v>81.226053639846739</v>
      </c>
      <c r="O52" s="98">
        <f t="shared" si="23"/>
        <v>18.773946360153257</v>
      </c>
      <c r="P52" s="98">
        <f t="shared" si="24"/>
        <v>91.406959152798791</v>
      </c>
      <c r="Q52" s="98">
        <f t="shared" si="25"/>
        <v>8.5930408472012108</v>
      </c>
    </row>
    <row r="53" spans="2:17">
      <c r="B53" s="11" t="s">
        <v>32</v>
      </c>
      <c r="C53" s="12">
        <v>2011</v>
      </c>
      <c r="D53" s="98">
        <f t="shared" si="12"/>
        <v>90.789818945158757</v>
      </c>
      <c r="E53" s="98">
        <f t="shared" si="13"/>
        <v>9.2101810548412484</v>
      </c>
      <c r="F53" s="98">
        <f t="shared" si="14"/>
        <v>96.461481754515304</v>
      </c>
      <c r="G53" s="98">
        <f t="shared" si="15"/>
        <v>3.5385182454847035</v>
      </c>
      <c r="H53" s="98" t="e">
        <f t="shared" si="16"/>
        <v>#VALUE!</v>
      </c>
      <c r="I53" s="98" t="e">
        <f t="shared" si="17"/>
        <v>#VALUE!</v>
      </c>
      <c r="J53" s="98">
        <f t="shared" si="18"/>
        <v>98.211972013474991</v>
      </c>
      <c r="K53" s="98">
        <f t="shared" si="19"/>
        <v>1.7880279865250066</v>
      </c>
      <c r="L53" s="98">
        <f t="shared" si="20"/>
        <v>99.739583333333343</v>
      </c>
      <c r="M53" s="98">
        <f t="shared" si="21"/>
        <v>0.26041666666666663</v>
      </c>
      <c r="N53" s="98">
        <f t="shared" si="22"/>
        <v>87.878787878787875</v>
      </c>
      <c r="O53" s="98">
        <f t="shared" si="23"/>
        <v>12.121212121212121</v>
      </c>
      <c r="P53" s="98">
        <f t="shared" si="24"/>
        <v>95.844781875150645</v>
      </c>
      <c r="Q53" s="98">
        <f t="shared" si="25"/>
        <v>4.1552181248493616</v>
      </c>
    </row>
    <row r="54" spans="2:17">
      <c r="B54" s="11" t="s">
        <v>33</v>
      </c>
      <c r="C54" s="12">
        <v>2011</v>
      </c>
      <c r="D54" s="98">
        <f t="shared" si="12"/>
        <v>89.929357647445372</v>
      </c>
      <c r="E54" s="98">
        <f t="shared" si="13"/>
        <v>10.070642352554625</v>
      </c>
      <c r="F54" s="98">
        <f t="shared" si="14"/>
        <v>95.459157787924909</v>
      </c>
      <c r="G54" s="98">
        <f t="shared" si="15"/>
        <v>4.5408422120750886</v>
      </c>
      <c r="H54" s="98" t="e">
        <f t="shared" si="16"/>
        <v>#VALUE!</v>
      </c>
      <c r="I54" s="98" t="e">
        <f t="shared" si="17"/>
        <v>#VALUE!</v>
      </c>
      <c r="J54" s="98">
        <f t="shared" si="18"/>
        <v>97.569513902780557</v>
      </c>
      <c r="K54" s="98">
        <f t="shared" si="19"/>
        <v>2.4304860972194442</v>
      </c>
      <c r="L54" s="98">
        <f t="shared" si="20"/>
        <v>98.557692307692307</v>
      </c>
      <c r="M54" s="98">
        <f t="shared" si="21"/>
        <v>1.4423076923076923</v>
      </c>
      <c r="N54" s="98">
        <f t="shared" si="22"/>
        <v>89.026162790697668</v>
      </c>
      <c r="O54" s="98">
        <f t="shared" si="23"/>
        <v>10.973837209302326</v>
      </c>
      <c r="P54" s="98">
        <f t="shared" si="24"/>
        <v>94.909410272257105</v>
      </c>
      <c r="Q54" s="98">
        <f t="shared" si="25"/>
        <v>5.0905897277429011</v>
      </c>
    </row>
    <row r="55" spans="2:17">
      <c r="B55" s="14" t="s">
        <v>34</v>
      </c>
      <c r="C55" s="12">
        <v>2011</v>
      </c>
      <c r="D55" s="98">
        <f t="shared" si="12"/>
        <v>88.63333121545206</v>
      </c>
      <c r="E55" s="98">
        <f t="shared" si="13"/>
        <v>11.366668784547938</v>
      </c>
      <c r="F55" s="98">
        <f t="shared" si="14"/>
        <v>94.383390756801717</v>
      </c>
      <c r="G55" s="98">
        <f t="shared" si="15"/>
        <v>5.6166092431982895</v>
      </c>
      <c r="H55" s="98" t="e">
        <f t="shared" si="16"/>
        <v>#VALUE!</v>
      </c>
      <c r="I55" s="98" t="e">
        <f t="shared" si="17"/>
        <v>#VALUE!</v>
      </c>
      <c r="J55" s="98">
        <f t="shared" si="18"/>
        <v>96.981435680443397</v>
      </c>
      <c r="K55" s="98">
        <f t="shared" si="19"/>
        <v>3.0185643195566016</v>
      </c>
      <c r="L55" s="98">
        <f t="shared" si="20"/>
        <v>94.489301574485268</v>
      </c>
      <c r="M55" s="98">
        <f t="shared" si="21"/>
        <v>5.5106984255147351</v>
      </c>
      <c r="N55" s="98">
        <f t="shared" si="22"/>
        <v>85.660781166399147</v>
      </c>
      <c r="O55" s="98">
        <f t="shared" si="23"/>
        <v>14.339218833600857</v>
      </c>
      <c r="P55" s="98">
        <f t="shared" si="24"/>
        <v>93.997250649152292</v>
      </c>
      <c r="Q55" s="98">
        <f t="shared" si="25"/>
        <v>6.0027493508477168</v>
      </c>
    </row>
    <row r="56" spans="2:17">
      <c r="B56" s="11" t="s">
        <v>30</v>
      </c>
      <c r="C56" s="88">
        <v>2013</v>
      </c>
      <c r="D56" s="98">
        <f t="shared" si="12"/>
        <v>87.665406427221171</v>
      </c>
      <c r="E56" s="98">
        <f t="shared" si="13"/>
        <v>12.334593572778827</v>
      </c>
      <c r="F56" s="98">
        <f t="shared" si="14"/>
        <v>92.291535391724437</v>
      </c>
      <c r="G56" s="98">
        <f t="shared" si="15"/>
        <v>7.7084646082755723</v>
      </c>
      <c r="H56" s="98" t="e">
        <f t="shared" si="16"/>
        <v>#VALUE!</v>
      </c>
      <c r="I56" s="98" t="e">
        <f t="shared" si="17"/>
        <v>#VALUE!</v>
      </c>
      <c r="J56" s="98">
        <f t="shared" si="18"/>
        <v>97.336365112879648</v>
      </c>
      <c r="K56" s="98">
        <f t="shared" si="19"/>
        <v>2.663634887120351</v>
      </c>
      <c r="L56" s="98">
        <f t="shared" si="20"/>
        <v>96.851633215269587</v>
      </c>
      <c r="M56" s="98">
        <f t="shared" si="21"/>
        <v>3.1483667847304213</v>
      </c>
      <c r="N56" s="98">
        <f t="shared" si="22"/>
        <v>88.047138047138048</v>
      </c>
      <c r="O56" s="98">
        <f t="shared" si="23"/>
        <v>11.952861952861953</v>
      </c>
      <c r="P56" s="98">
        <f t="shared" si="24"/>
        <v>94.167852062588906</v>
      </c>
      <c r="Q56" s="98">
        <f t="shared" si="25"/>
        <v>5.8321479374110954</v>
      </c>
    </row>
    <row r="57" spans="2:17">
      <c r="B57" s="11" t="s">
        <v>31</v>
      </c>
      <c r="C57" s="88">
        <v>2013</v>
      </c>
      <c r="D57" s="98">
        <f t="shared" si="12"/>
        <v>84.060650887573956</v>
      </c>
      <c r="E57" s="98">
        <f t="shared" si="13"/>
        <v>15.939349112426035</v>
      </c>
      <c r="F57" s="98">
        <f t="shared" si="14"/>
        <v>91.621275232297336</v>
      </c>
      <c r="G57" s="98">
        <f t="shared" si="15"/>
        <v>8.3787247677026588</v>
      </c>
      <c r="H57" s="98" t="e">
        <f t="shared" si="16"/>
        <v>#VALUE!</v>
      </c>
      <c r="I57" s="98" t="e">
        <f t="shared" si="17"/>
        <v>#VALUE!</v>
      </c>
      <c r="J57" s="98">
        <f t="shared" si="18"/>
        <v>95.770179767359892</v>
      </c>
      <c r="K57" s="98">
        <f t="shared" si="19"/>
        <v>4.2298202326401126</v>
      </c>
      <c r="L57" s="98">
        <f t="shared" si="20"/>
        <v>92.695805221472568</v>
      </c>
      <c r="M57" s="98">
        <f t="shared" si="21"/>
        <v>7.3041947785274273</v>
      </c>
      <c r="N57" s="98">
        <f t="shared" si="22"/>
        <v>86.771844660194176</v>
      </c>
      <c r="O57" s="98">
        <f t="shared" si="23"/>
        <v>13.228155339805825</v>
      </c>
      <c r="P57" s="98">
        <f t="shared" si="24"/>
        <v>92.291378515444904</v>
      </c>
      <c r="Q57" s="98">
        <f t="shared" si="25"/>
        <v>7.7086214845550947</v>
      </c>
    </row>
    <row r="58" spans="2:17">
      <c r="B58" s="11" t="s">
        <v>32</v>
      </c>
      <c r="C58" s="88">
        <v>2013</v>
      </c>
      <c r="D58" s="98">
        <f t="shared" si="12"/>
        <v>91.190914671577644</v>
      </c>
      <c r="E58" s="98">
        <f t="shared" si="13"/>
        <v>8.8090853284223449</v>
      </c>
      <c r="F58" s="98">
        <f t="shared" si="14"/>
        <v>96.96693569382974</v>
      </c>
      <c r="G58" s="98">
        <f t="shared" si="15"/>
        <v>3.0330643061702682</v>
      </c>
      <c r="H58" s="98" t="e">
        <f t="shared" si="16"/>
        <v>#VALUE!</v>
      </c>
      <c r="I58" s="98" t="e">
        <f t="shared" si="17"/>
        <v>#VALUE!</v>
      </c>
      <c r="J58" s="98">
        <f t="shared" si="18"/>
        <v>98.66909498458952</v>
      </c>
      <c r="K58" s="98">
        <f t="shared" si="19"/>
        <v>1.3309050154104791</v>
      </c>
      <c r="L58" s="98">
        <f t="shared" si="20"/>
        <v>98.303030303030297</v>
      </c>
      <c r="M58" s="98">
        <f t="shared" si="21"/>
        <v>1.6969696969696972</v>
      </c>
      <c r="N58" s="98">
        <f t="shared" si="22"/>
        <v>91.256830601092901</v>
      </c>
      <c r="O58" s="98">
        <f t="shared" si="23"/>
        <v>8.7431693989071047</v>
      </c>
      <c r="P58" s="98">
        <f t="shared" si="24"/>
        <v>96.519638083487564</v>
      </c>
      <c r="Q58" s="98">
        <f t="shared" si="25"/>
        <v>3.4803619165124409</v>
      </c>
    </row>
    <row r="59" spans="2:17">
      <c r="B59" s="11" t="s">
        <v>33</v>
      </c>
      <c r="C59" s="88">
        <v>2013</v>
      </c>
      <c r="D59" s="98">
        <f t="shared" si="12"/>
        <v>90.400782013685244</v>
      </c>
      <c r="E59" s="98">
        <f t="shared" si="13"/>
        <v>9.5992179863147609</v>
      </c>
      <c r="F59" s="98">
        <f t="shared" si="14"/>
        <v>95.600074892342263</v>
      </c>
      <c r="G59" s="98">
        <f t="shared" si="15"/>
        <v>4.3999251076577419</v>
      </c>
      <c r="H59" s="98" t="e">
        <f t="shared" si="16"/>
        <v>#VALUE!</v>
      </c>
      <c r="I59" s="98" t="e">
        <f t="shared" si="17"/>
        <v>#VALUE!</v>
      </c>
      <c r="J59" s="98">
        <f t="shared" si="18"/>
        <v>97.672680687520014</v>
      </c>
      <c r="K59" s="98">
        <f t="shared" si="19"/>
        <v>2.3273193124799829</v>
      </c>
      <c r="L59" s="98">
        <f t="shared" si="20"/>
        <v>98.19678557428459</v>
      </c>
      <c r="M59" s="98">
        <f t="shared" si="21"/>
        <v>1.8032144257154059</v>
      </c>
      <c r="N59" s="98">
        <f t="shared" si="22"/>
        <v>91.390728476821195</v>
      </c>
      <c r="O59" s="98">
        <f t="shared" si="23"/>
        <v>8.6092715231788084</v>
      </c>
      <c r="P59" s="98">
        <f t="shared" si="24"/>
        <v>95.384192061635829</v>
      </c>
      <c r="Q59" s="98">
        <f t="shared" si="25"/>
        <v>4.6158079383641741</v>
      </c>
    </row>
    <row r="60" spans="2:17">
      <c r="B60" s="14" t="s">
        <v>34</v>
      </c>
      <c r="C60" s="88">
        <v>2013</v>
      </c>
      <c r="D60" s="98">
        <f t="shared" si="12"/>
        <v>88.857727582809062</v>
      </c>
      <c r="E60" s="98">
        <f t="shared" si="13"/>
        <v>11.142272417190934</v>
      </c>
      <c r="F60" s="98">
        <f t="shared" si="14"/>
        <v>94.575543977934416</v>
      </c>
      <c r="G60" s="98">
        <f t="shared" si="15"/>
        <v>5.4244560220655842</v>
      </c>
      <c r="H60" s="98" t="e">
        <f t="shared" si="16"/>
        <v>#VALUE!</v>
      </c>
      <c r="I60" s="98" t="e">
        <f t="shared" si="17"/>
        <v>#VALUE!</v>
      </c>
      <c r="J60" s="98">
        <f t="shared" si="18"/>
        <v>97.314984120873831</v>
      </c>
      <c r="K60" s="98">
        <f t="shared" si="19"/>
        <v>2.6850158791261669</v>
      </c>
      <c r="L60" s="98">
        <f t="shared" si="20"/>
        <v>95.828865537207804</v>
      </c>
      <c r="M60" s="98">
        <f t="shared" si="21"/>
        <v>4.1711344627921942</v>
      </c>
      <c r="N60" s="98">
        <f t="shared" si="22"/>
        <v>89.627179795550219</v>
      </c>
      <c r="O60" s="98">
        <f t="shared" si="23"/>
        <v>10.372820204449789</v>
      </c>
      <c r="P60" s="98">
        <f t="shared" si="24"/>
        <v>94.635642762053592</v>
      </c>
      <c r="Q60" s="98">
        <f t="shared" si="25"/>
        <v>5.3643572379464031</v>
      </c>
    </row>
    <row r="61" spans="2:17">
      <c r="B61" s="11" t="s">
        <v>30</v>
      </c>
      <c r="C61" s="93">
        <v>2015</v>
      </c>
      <c r="D61" s="98">
        <f t="shared" si="12"/>
        <v>84.492350486787203</v>
      </c>
      <c r="E61" s="98">
        <f t="shared" si="13"/>
        <v>15.507649513212796</v>
      </c>
      <c r="F61" s="98">
        <f t="shared" si="14"/>
        <v>93.181076672104396</v>
      </c>
      <c r="G61" s="98">
        <f t="shared" si="15"/>
        <v>6.8189233278955959</v>
      </c>
      <c r="H61" s="98">
        <f t="shared" si="16"/>
        <v>94.859813084112147</v>
      </c>
      <c r="I61" s="98">
        <f t="shared" si="17"/>
        <v>5.1401869158878499</v>
      </c>
      <c r="J61" s="98">
        <f t="shared" si="18"/>
        <v>93.906810035842298</v>
      </c>
      <c r="K61" s="98">
        <f t="shared" si="19"/>
        <v>2.6344086021505375</v>
      </c>
      <c r="L61" s="98">
        <f t="shared" si="20"/>
        <v>95.644149132521221</v>
      </c>
      <c r="M61" s="98">
        <f t="shared" si="21"/>
        <v>4.3558508674787744</v>
      </c>
      <c r="N61" s="98">
        <f t="shared" si="22"/>
        <v>89.555125725338485</v>
      </c>
      <c r="O61" s="98">
        <f t="shared" si="23"/>
        <v>10.444874274661508</v>
      </c>
      <c r="P61" s="98">
        <f t="shared" si="24"/>
        <v>94.408050246505027</v>
      </c>
      <c r="Q61" s="98">
        <f t="shared" si="25"/>
        <v>5.5919497534949691</v>
      </c>
    </row>
    <row r="62" spans="2:17">
      <c r="B62" s="11" t="s">
        <v>31</v>
      </c>
      <c r="C62" s="93">
        <v>2015</v>
      </c>
      <c r="D62" s="98">
        <f t="shared" si="12"/>
        <v>79.856584093872229</v>
      </c>
      <c r="E62" s="98">
        <f t="shared" si="13"/>
        <v>20.143415906127771</v>
      </c>
      <c r="F62" s="98">
        <f t="shared" si="14"/>
        <v>91.330596474281577</v>
      </c>
      <c r="G62" s="98">
        <f t="shared" si="15"/>
        <v>8.6694035257184243</v>
      </c>
      <c r="H62" s="98">
        <f t="shared" si="16"/>
        <v>90.763390974272468</v>
      </c>
      <c r="I62" s="98">
        <f t="shared" si="17"/>
        <v>9.2366090257275406</v>
      </c>
      <c r="J62" s="98">
        <f t="shared" si="18"/>
        <v>96.465081906638744</v>
      </c>
      <c r="K62" s="98">
        <f t="shared" si="19"/>
        <v>3.5349180933612514</v>
      </c>
      <c r="L62" s="98">
        <f t="shared" si="20"/>
        <v>91.67620137299771</v>
      </c>
      <c r="M62" s="98">
        <f t="shared" si="21"/>
        <v>8.3237986270022883</v>
      </c>
      <c r="N62" s="98">
        <f t="shared" si="22"/>
        <v>90.701219512195124</v>
      </c>
      <c r="O62" s="98">
        <f t="shared" si="23"/>
        <v>9.2987804878048781</v>
      </c>
      <c r="P62" s="98">
        <f t="shared" si="24"/>
        <v>92.489048580006894</v>
      </c>
      <c r="Q62" s="98">
        <f t="shared" si="25"/>
        <v>7.5109514199931091</v>
      </c>
    </row>
    <row r="63" spans="2:17">
      <c r="B63" s="11" t="s">
        <v>32</v>
      </c>
      <c r="C63" s="93">
        <v>2015</v>
      </c>
      <c r="D63" s="98">
        <f t="shared" si="12"/>
        <v>85.397553516819571</v>
      </c>
      <c r="E63" s="98">
        <f t="shared" si="13"/>
        <v>14.602446483180428</v>
      </c>
      <c r="F63" s="98">
        <f t="shared" si="14"/>
        <v>96.382252559726965</v>
      </c>
      <c r="G63" s="98">
        <f t="shared" si="15"/>
        <v>3.6177474402730376</v>
      </c>
      <c r="H63" s="98">
        <f t="shared" si="16"/>
        <v>94.876395534290268</v>
      </c>
      <c r="I63" s="98">
        <f t="shared" si="17"/>
        <v>5.1236044657097288</v>
      </c>
      <c r="J63" s="98">
        <f t="shared" si="18"/>
        <v>98.547469302186286</v>
      </c>
      <c r="K63" s="98">
        <f t="shared" si="19"/>
        <v>1.4525306978137167</v>
      </c>
      <c r="L63" s="98">
        <f t="shared" si="20"/>
        <v>97.085492227979273</v>
      </c>
      <c r="M63" s="98">
        <f t="shared" si="21"/>
        <v>2.9145077720207255</v>
      </c>
      <c r="N63" s="98">
        <f t="shared" si="22"/>
        <v>92.688172043010752</v>
      </c>
      <c r="O63" s="98">
        <f t="shared" si="23"/>
        <v>7.3118279569892479</v>
      </c>
      <c r="P63" s="98">
        <f t="shared" si="24"/>
        <v>95.931107519090347</v>
      </c>
      <c r="Q63" s="98">
        <f t="shared" si="25"/>
        <v>4.0688924809096489</v>
      </c>
    </row>
    <row r="64" spans="2:17">
      <c r="B64" s="11" t="s">
        <v>33</v>
      </c>
      <c r="C64" s="93">
        <v>2015</v>
      </c>
      <c r="D64" s="98">
        <f t="shared" si="12"/>
        <v>86.017121891561359</v>
      </c>
      <c r="E64" s="98">
        <f t="shared" si="13"/>
        <v>13.982878108438646</v>
      </c>
      <c r="F64" s="98">
        <f t="shared" si="14"/>
        <v>95.14910536779324</v>
      </c>
      <c r="G64" s="98">
        <f t="shared" si="15"/>
        <v>4.8508946322067592</v>
      </c>
      <c r="H64" s="98">
        <f t="shared" si="16"/>
        <v>93.10500225326723</v>
      </c>
      <c r="I64" s="98">
        <f t="shared" si="17"/>
        <v>6.8949977467327628</v>
      </c>
      <c r="J64" s="98">
        <f t="shared" si="18"/>
        <v>97.836458448907138</v>
      </c>
      <c r="K64" s="98">
        <f t="shared" si="19"/>
        <v>2.1635415510928659</v>
      </c>
      <c r="L64" s="98">
        <f t="shared" si="20"/>
        <v>97.319513938527521</v>
      </c>
      <c r="M64" s="98">
        <f t="shared" si="21"/>
        <v>2.6804860614724801</v>
      </c>
      <c r="N64" s="98">
        <f t="shared" si="22"/>
        <v>93.224699828473405</v>
      </c>
      <c r="O64" s="98">
        <f t="shared" si="23"/>
        <v>6.7753001715265864</v>
      </c>
      <c r="P64" s="98">
        <f t="shared" si="24"/>
        <v>94.85562562230335</v>
      </c>
      <c r="Q64" s="98">
        <f t="shared" si="25"/>
        <v>5.1443743776966482</v>
      </c>
    </row>
    <row r="65" spans="2:17">
      <c r="B65" s="14" t="s">
        <v>34</v>
      </c>
      <c r="C65" s="93">
        <v>2015</v>
      </c>
      <c r="D65" s="98">
        <f t="shared" si="12"/>
        <v>84.1675330461904</v>
      </c>
      <c r="E65" s="98">
        <f t="shared" si="13"/>
        <v>15.832466953809595</v>
      </c>
      <c r="F65" s="98">
        <f t="shared" si="14"/>
        <v>93.946986680733218</v>
      </c>
      <c r="G65" s="98">
        <f t="shared" si="15"/>
        <v>6.053013319266781</v>
      </c>
      <c r="H65" s="98">
        <f t="shared" si="16"/>
        <v>93.48861150431091</v>
      </c>
      <c r="I65" s="98">
        <f t="shared" si="17"/>
        <v>6.5113884956891006</v>
      </c>
      <c r="J65" s="98">
        <f t="shared" si="18"/>
        <v>97.529772031303168</v>
      </c>
      <c r="K65" s="98">
        <f t="shared" si="19"/>
        <v>2.4702279686968356</v>
      </c>
      <c r="L65" s="98">
        <f t="shared" si="20"/>
        <v>94.984355740968994</v>
      </c>
      <c r="M65" s="98">
        <f t="shared" si="21"/>
        <v>5.0156442590310037</v>
      </c>
      <c r="N65" s="98">
        <f t="shared" si="22"/>
        <v>91.868758915834519</v>
      </c>
      <c r="O65" s="98">
        <f t="shared" si="23"/>
        <v>8.1312410841654774</v>
      </c>
      <c r="P65" s="98">
        <f t="shared" si="24"/>
        <v>94.413958244992642</v>
      </c>
      <c r="Q65" s="98">
        <f t="shared" si="25"/>
        <v>5.5860417550073578</v>
      </c>
    </row>
    <row r="66" spans="2:17">
      <c r="B66" s="11" t="s">
        <v>30</v>
      </c>
      <c r="C66" s="93">
        <v>2016</v>
      </c>
      <c r="D66" s="98">
        <f t="shared" si="12"/>
        <v>81.403508771929822</v>
      </c>
      <c r="E66" s="98">
        <f t="shared" si="13"/>
        <v>18.596491228070175</v>
      </c>
      <c r="F66" s="98">
        <f t="shared" si="14"/>
        <v>90.344337948171813</v>
      </c>
      <c r="G66" s="98">
        <f t="shared" si="15"/>
        <v>9.6556620518281857</v>
      </c>
      <c r="H66" s="98">
        <f t="shared" si="16"/>
        <v>91.682661548304552</v>
      </c>
      <c r="I66" s="98">
        <f t="shared" si="17"/>
        <v>8.3173384516954574</v>
      </c>
      <c r="J66" s="98">
        <f t="shared" si="18"/>
        <v>94.723926380368098</v>
      </c>
      <c r="K66" s="98">
        <f t="shared" si="19"/>
        <v>3.8212094653812443</v>
      </c>
      <c r="L66" s="98">
        <f t="shared" si="20"/>
        <v>96.05602653888684</v>
      </c>
      <c r="M66" s="98">
        <f t="shared" si="21"/>
        <v>3.9439734611131585</v>
      </c>
      <c r="N66" s="98">
        <f t="shared" si="22"/>
        <v>90.196078431372555</v>
      </c>
      <c r="O66" s="98">
        <f t="shared" si="23"/>
        <v>9.8039215686274517</v>
      </c>
      <c r="P66" s="98">
        <f t="shared" si="24"/>
        <v>92.946483493951206</v>
      </c>
      <c r="Q66" s="98">
        <f t="shared" si="25"/>
        <v>7.0535165060488003</v>
      </c>
    </row>
    <row r="67" spans="2:17">
      <c r="B67" s="11" t="s">
        <v>31</v>
      </c>
      <c r="C67" s="93">
        <v>2016</v>
      </c>
      <c r="D67" s="98">
        <f t="shared" si="12"/>
        <v>78.844765342960287</v>
      </c>
      <c r="E67" s="98">
        <f t="shared" si="13"/>
        <v>21.155234657039713</v>
      </c>
      <c r="F67" s="98">
        <f t="shared" si="14"/>
        <v>89.614395886889469</v>
      </c>
      <c r="G67" s="98">
        <f t="shared" si="15"/>
        <v>10.38560411311054</v>
      </c>
      <c r="H67" s="98">
        <f t="shared" si="16"/>
        <v>89.390142021720962</v>
      </c>
      <c r="I67" s="98">
        <f t="shared" si="17"/>
        <v>10.609857978279031</v>
      </c>
      <c r="J67" s="98">
        <f t="shared" si="18"/>
        <v>96.418426577744839</v>
      </c>
      <c r="K67" s="98">
        <f t="shared" si="19"/>
        <v>3.5815734222551563</v>
      </c>
      <c r="L67" s="98">
        <f t="shared" si="20"/>
        <v>92.442173211403983</v>
      </c>
      <c r="M67" s="98">
        <f t="shared" si="21"/>
        <v>7.55782678859602</v>
      </c>
      <c r="N67" s="98">
        <f t="shared" si="22"/>
        <v>92.199687987519496</v>
      </c>
      <c r="O67" s="98">
        <f t="shared" si="23"/>
        <v>7.8003120124804992</v>
      </c>
      <c r="P67" s="98">
        <f t="shared" si="24"/>
        <v>92.188819875776389</v>
      </c>
      <c r="Q67" s="98">
        <f t="shared" si="25"/>
        <v>7.8111801242236032</v>
      </c>
    </row>
    <row r="68" spans="2:17">
      <c r="B68" s="11" t="s">
        <v>32</v>
      </c>
      <c r="C68" s="93">
        <v>2016</v>
      </c>
      <c r="D68" s="98">
        <f t="shared" si="12"/>
        <v>84.343434343434339</v>
      </c>
      <c r="E68" s="98">
        <f t="shared" si="13"/>
        <v>15.656565656565657</v>
      </c>
      <c r="F68" s="98">
        <f t="shared" si="14"/>
        <v>94.15384615384616</v>
      </c>
      <c r="G68" s="98">
        <f t="shared" si="15"/>
        <v>5.8461538461538458</v>
      </c>
      <c r="H68" s="98">
        <f t="shared" si="16"/>
        <v>93.190512624330523</v>
      </c>
      <c r="I68" s="98">
        <f t="shared" si="17"/>
        <v>6.8094873756694723</v>
      </c>
      <c r="J68" s="98">
        <f t="shared" si="18"/>
        <v>97.746090156393734</v>
      </c>
      <c r="K68" s="98">
        <f t="shared" si="19"/>
        <v>2.2539098436062557</v>
      </c>
      <c r="L68" s="98">
        <f t="shared" si="20"/>
        <v>97.280966767371595</v>
      </c>
      <c r="M68" s="98">
        <f t="shared" si="21"/>
        <v>2.7190332326283988</v>
      </c>
      <c r="N68" s="98">
        <f t="shared" si="22"/>
        <v>92.957746478873233</v>
      </c>
      <c r="O68" s="98">
        <f t="shared" si="23"/>
        <v>7.042253521126761</v>
      </c>
      <c r="P68" s="98">
        <f t="shared" si="24"/>
        <v>94.808525188055611</v>
      </c>
      <c r="Q68" s="98">
        <f t="shared" si="25"/>
        <v>5.1914748119443814</v>
      </c>
    </row>
    <row r="69" spans="2:17">
      <c r="B69" s="11" t="s">
        <v>33</v>
      </c>
      <c r="C69" s="93">
        <v>2016</v>
      </c>
      <c r="D69" s="98">
        <f t="shared" si="12"/>
        <v>84.323271665043819</v>
      </c>
      <c r="E69" s="98">
        <f t="shared" si="13"/>
        <v>15.676728334956183</v>
      </c>
      <c r="F69" s="98">
        <f t="shared" si="14"/>
        <v>93.7020316027088</v>
      </c>
      <c r="G69" s="98">
        <f t="shared" si="15"/>
        <v>6.2979683972911964</v>
      </c>
      <c r="H69" s="98">
        <f t="shared" si="16"/>
        <v>90.786240786240796</v>
      </c>
      <c r="I69" s="98">
        <f t="shared" si="17"/>
        <v>9.2137592137592144</v>
      </c>
      <c r="J69" s="98">
        <f t="shared" si="18"/>
        <v>97.445091887046161</v>
      </c>
      <c r="K69" s="98">
        <f t="shared" si="19"/>
        <v>2.5549081129538322</v>
      </c>
      <c r="L69" s="98">
        <f t="shared" si="20"/>
        <v>95.620437956204384</v>
      </c>
      <c r="M69" s="98">
        <f t="shared" si="21"/>
        <v>4.3795620437956204</v>
      </c>
      <c r="N69" s="98">
        <f t="shared" si="22"/>
        <v>93.1640625</v>
      </c>
      <c r="O69" s="98">
        <f t="shared" si="23"/>
        <v>6.8359375</v>
      </c>
      <c r="P69" s="98">
        <f t="shared" si="24"/>
        <v>93.596601039414281</v>
      </c>
      <c r="Q69" s="98">
        <f t="shared" si="25"/>
        <v>6.4033989605857142</v>
      </c>
    </row>
    <row r="70" spans="2:17">
      <c r="B70" s="14" t="s">
        <v>34</v>
      </c>
      <c r="C70" s="93">
        <v>2016</v>
      </c>
      <c r="D70" s="98">
        <f t="shared" si="12"/>
        <v>82.385988103106413</v>
      </c>
      <c r="E70" s="98">
        <f t="shared" si="13"/>
        <v>17.61401189689359</v>
      </c>
      <c r="F70" s="98">
        <f t="shared" si="14"/>
        <v>91.941471937104168</v>
      </c>
      <c r="G70" s="98">
        <f t="shared" si="15"/>
        <v>8.058528062895828</v>
      </c>
      <c r="H70" s="98">
        <f t="shared" si="16"/>
        <v>91.429955787051057</v>
      </c>
      <c r="I70" s="98">
        <f t="shared" si="17"/>
        <v>8.5700442129489431</v>
      </c>
      <c r="J70" s="98">
        <f t="shared" si="18"/>
        <v>96.980990153172868</v>
      </c>
      <c r="K70" s="98">
        <f t="shared" si="19"/>
        <v>3.0190098468271334</v>
      </c>
      <c r="L70" s="98">
        <f t="shared" si="20"/>
        <v>94.88258957807092</v>
      </c>
      <c r="M70" s="98">
        <f t="shared" si="21"/>
        <v>5.1174104219290859</v>
      </c>
      <c r="N70" s="98">
        <f t="shared" si="22"/>
        <v>92.380560131795718</v>
      </c>
      <c r="O70" s="98">
        <f t="shared" si="23"/>
        <v>7.6194398682042834</v>
      </c>
      <c r="P70" s="98">
        <f t="shared" si="24"/>
        <v>93.385876819424141</v>
      </c>
      <c r="Q70" s="98">
        <f t="shared" si="25"/>
        <v>6.6141231805758594</v>
      </c>
    </row>
    <row r="71" spans="2:17">
      <c r="B71" s="16" t="s">
        <v>30</v>
      </c>
      <c r="C71" s="2">
        <v>2017</v>
      </c>
      <c r="D71" s="98">
        <f t="shared" si="12"/>
        <v>77.272727272727266</v>
      </c>
      <c r="E71" s="98">
        <f t="shared" si="13"/>
        <v>22.727272727272727</v>
      </c>
      <c r="F71" s="98">
        <f t="shared" si="14"/>
        <v>90.634110787172006</v>
      </c>
      <c r="G71" s="98">
        <f t="shared" si="15"/>
        <v>9.3658892128279874</v>
      </c>
      <c r="H71" s="98">
        <f t="shared" si="16"/>
        <v>90.058479532163744</v>
      </c>
      <c r="I71" s="98">
        <f t="shared" si="17"/>
        <v>9.9415204678362574</v>
      </c>
      <c r="J71" s="98">
        <f t="shared" si="18"/>
        <v>95.570517363571938</v>
      </c>
      <c r="K71" s="98">
        <f t="shared" si="19"/>
        <v>4.4294826364280651</v>
      </c>
      <c r="L71" s="98">
        <f t="shared" si="20"/>
        <v>94.806483625537538</v>
      </c>
      <c r="M71" s="98">
        <f t="shared" si="21"/>
        <v>5.1935163744624546</v>
      </c>
      <c r="N71" s="98">
        <f t="shared" si="22"/>
        <v>89.075630252100851</v>
      </c>
      <c r="O71" s="98">
        <f t="shared" si="23"/>
        <v>10.92436974789916</v>
      </c>
      <c r="P71" s="98">
        <f t="shared" si="24"/>
        <v>92.095289658906339</v>
      </c>
      <c r="Q71" s="98">
        <f t="shared" si="25"/>
        <v>7.904710341093665</v>
      </c>
    </row>
    <row r="72" spans="2:17">
      <c r="B72" s="11" t="s">
        <v>31</v>
      </c>
      <c r="C72" s="2">
        <v>2017</v>
      </c>
      <c r="D72" s="98">
        <f t="shared" si="12"/>
        <v>72.385620915032675</v>
      </c>
      <c r="E72" s="98">
        <f t="shared" si="13"/>
        <v>27.614379084967322</v>
      </c>
      <c r="F72" s="98">
        <f t="shared" si="14"/>
        <v>88.401775804661483</v>
      </c>
      <c r="G72" s="98">
        <f t="shared" si="15"/>
        <v>11.598224195338513</v>
      </c>
      <c r="H72" s="98">
        <f t="shared" si="16"/>
        <v>85.622154779969648</v>
      </c>
      <c r="I72" s="98">
        <f t="shared" si="17"/>
        <v>14.37784522003035</v>
      </c>
      <c r="J72" s="98">
        <f t="shared" si="18"/>
        <v>95.411297121522338</v>
      </c>
      <c r="K72" s="98">
        <f t="shared" si="19"/>
        <v>4.5887028784776591</v>
      </c>
      <c r="L72" s="98">
        <f t="shared" si="20"/>
        <v>91.013071895424829</v>
      </c>
      <c r="M72" s="98">
        <f t="shared" si="21"/>
        <v>8.9869281045751634</v>
      </c>
      <c r="N72" s="98">
        <f t="shared" si="22"/>
        <v>91.187739463601531</v>
      </c>
      <c r="O72" s="98">
        <f t="shared" si="23"/>
        <v>8.8122605363984672</v>
      </c>
      <c r="P72" s="98">
        <f t="shared" si="24"/>
        <v>90.536139600447186</v>
      </c>
      <c r="Q72" s="98">
        <f t="shared" si="25"/>
        <v>9.4638603995528126</v>
      </c>
    </row>
    <row r="73" spans="2:17">
      <c r="B73" s="11" t="s">
        <v>32</v>
      </c>
      <c r="C73" s="2">
        <v>2017</v>
      </c>
      <c r="D73" s="98">
        <f t="shared" si="12"/>
        <v>83.748753738783648</v>
      </c>
      <c r="E73" s="98">
        <f t="shared" si="13"/>
        <v>16.251246261216352</v>
      </c>
      <c r="F73" s="98">
        <f t="shared" si="14"/>
        <v>94.031141868512108</v>
      </c>
      <c r="G73" s="98">
        <f t="shared" si="15"/>
        <v>5.968858131487889</v>
      </c>
      <c r="H73" s="98">
        <f t="shared" si="16"/>
        <v>91.663599558336401</v>
      </c>
      <c r="I73" s="98">
        <f t="shared" si="17"/>
        <v>8.3364004416635993</v>
      </c>
      <c r="J73" s="98">
        <f t="shared" si="18"/>
        <v>97.563098346388159</v>
      </c>
      <c r="K73" s="98">
        <f t="shared" si="19"/>
        <v>2.4369016536118364</v>
      </c>
      <c r="L73" s="98">
        <f t="shared" si="20"/>
        <v>95.328083989501309</v>
      </c>
      <c r="M73" s="98">
        <f t="shared" si="21"/>
        <v>4.6719160104986877</v>
      </c>
      <c r="N73" s="98">
        <f t="shared" si="22"/>
        <v>93.527508090614887</v>
      </c>
      <c r="O73" s="98">
        <f t="shared" si="23"/>
        <v>6.4724919093851128</v>
      </c>
      <c r="P73" s="98">
        <f t="shared" si="24"/>
        <v>94.226353810830489</v>
      </c>
      <c r="Q73" s="98">
        <f t="shared" si="25"/>
        <v>5.7736461891695132</v>
      </c>
    </row>
    <row r="74" spans="2:17">
      <c r="B74" s="11" t="s">
        <v>33</v>
      </c>
      <c r="C74" s="2">
        <v>2017</v>
      </c>
      <c r="D74" s="98">
        <f t="shared" si="12"/>
        <v>83.601669648181272</v>
      </c>
      <c r="E74" s="98">
        <f t="shared" si="13"/>
        <v>16.398330351818725</v>
      </c>
      <c r="F74" s="98">
        <f t="shared" si="14"/>
        <v>92.655217965653904</v>
      </c>
      <c r="G74" s="98">
        <f t="shared" si="15"/>
        <v>7.3447820343461032</v>
      </c>
      <c r="H74" s="98">
        <f t="shared" si="16"/>
        <v>88.612269207861829</v>
      </c>
      <c r="I74" s="98">
        <f t="shared" si="17"/>
        <v>11.387730792138177</v>
      </c>
      <c r="J74" s="98">
        <f t="shared" si="18"/>
        <v>97.005464480874309</v>
      </c>
      <c r="K74" s="98">
        <f t="shared" si="19"/>
        <v>2.9945355191256828</v>
      </c>
      <c r="L74" s="98">
        <f t="shared" si="20"/>
        <v>95.584599081596608</v>
      </c>
      <c r="M74" s="98">
        <f t="shared" si="21"/>
        <v>4.4154009184033907</v>
      </c>
      <c r="N74" s="98">
        <f t="shared" si="22"/>
        <v>92.167381974248926</v>
      </c>
      <c r="O74" s="98">
        <f t="shared" si="23"/>
        <v>7.8326180257510734</v>
      </c>
      <c r="P74" s="98">
        <f t="shared" si="24"/>
        <v>92.599925289503176</v>
      </c>
      <c r="Q74" s="98">
        <f t="shared" si="25"/>
        <v>7.400074710496825</v>
      </c>
    </row>
    <row r="75" spans="2:17">
      <c r="B75" s="14" t="s">
        <v>34</v>
      </c>
      <c r="C75" s="2">
        <v>2017</v>
      </c>
      <c r="D75" s="98">
        <f t="shared" si="12"/>
        <v>79.411764705882348</v>
      </c>
      <c r="E75" s="98">
        <f t="shared" si="13"/>
        <v>20.588235294117645</v>
      </c>
      <c r="F75" s="98">
        <f t="shared" si="14"/>
        <v>91.233427079148257</v>
      </c>
      <c r="G75" s="98">
        <f t="shared" si="15"/>
        <v>8.7665729208517487</v>
      </c>
      <c r="H75" s="98">
        <f t="shared" si="16"/>
        <v>89.226960110041261</v>
      </c>
      <c r="I75" s="98">
        <f t="shared" si="17"/>
        <v>10.773039889958733</v>
      </c>
      <c r="J75" s="98">
        <f t="shared" si="18"/>
        <v>96.422260011336732</v>
      </c>
      <c r="K75" s="98">
        <f t="shared" si="19"/>
        <v>3.5777399886632657</v>
      </c>
      <c r="L75" s="98">
        <f t="shared" si="20"/>
        <v>93.722494395084283</v>
      </c>
      <c r="M75" s="98">
        <f t="shared" si="21"/>
        <v>6.277505604915719</v>
      </c>
      <c r="N75" s="98">
        <f t="shared" si="22"/>
        <v>91.603773584905653</v>
      </c>
      <c r="O75" s="98">
        <f t="shared" si="23"/>
        <v>8.3962264150943398</v>
      </c>
      <c r="P75" s="98">
        <f t="shared" si="24"/>
        <v>92.338951685505648</v>
      </c>
      <c r="Q75" s="98">
        <f t="shared" si="25"/>
        <v>7.661048314494348</v>
      </c>
    </row>
    <row r="76" spans="2:17">
      <c r="B76" s="11" t="s">
        <v>30</v>
      </c>
      <c r="C76" s="2">
        <v>2018</v>
      </c>
      <c r="D76" s="98">
        <f t="shared" si="12"/>
        <v>73.902633679169995</v>
      </c>
      <c r="E76" s="98">
        <f t="shared" si="13"/>
        <v>26.097366320830005</v>
      </c>
      <c r="F76" s="98">
        <f t="shared" si="14"/>
        <v>90.558103975535161</v>
      </c>
      <c r="G76" s="98">
        <f t="shared" si="15"/>
        <v>9.4418960244648318</v>
      </c>
      <c r="H76" s="98">
        <f t="shared" si="16"/>
        <v>87.625</v>
      </c>
      <c r="I76" s="98">
        <f t="shared" si="17"/>
        <v>12.375</v>
      </c>
      <c r="J76" s="98">
        <f t="shared" si="18"/>
        <v>94.567685589519641</v>
      </c>
      <c r="K76" s="98">
        <f t="shared" si="19"/>
        <v>4</v>
      </c>
      <c r="L76" s="98">
        <f t="shared" si="20"/>
        <v>92.991563919532766</v>
      </c>
      <c r="M76" s="98">
        <f t="shared" si="21"/>
        <v>7.008436080467229</v>
      </c>
      <c r="N76" s="98">
        <f t="shared" si="22"/>
        <v>88.603988603988597</v>
      </c>
      <c r="O76" s="98">
        <f t="shared" si="23"/>
        <v>11.396011396011396</v>
      </c>
      <c r="P76" s="98">
        <f t="shared" si="24"/>
        <v>91.40630341149928</v>
      </c>
      <c r="Q76" s="98">
        <f t="shared" si="25"/>
        <v>8.5936965885007179</v>
      </c>
    </row>
    <row r="77" spans="2:17">
      <c r="B77" s="11" t="s">
        <v>31</v>
      </c>
      <c r="C77" s="2">
        <v>2018</v>
      </c>
      <c r="D77" s="98">
        <f t="shared" si="12"/>
        <v>69.328063241106719</v>
      </c>
      <c r="E77" s="98">
        <f t="shared" si="13"/>
        <v>30.671936758893281</v>
      </c>
      <c r="F77" s="98">
        <f t="shared" si="14"/>
        <v>86.256200758681061</v>
      </c>
      <c r="G77" s="98">
        <f t="shared" si="15"/>
        <v>13.743799241318937</v>
      </c>
      <c r="H77" s="98">
        <f t="shared" si="16"/>
        <v>85.719310587407676</v>
      </c>
      <c r="I77" s="98">
        <f t="shared" si="17"/>
        <v>14.280689412592332</v>
      </c>
      <c r="J77" s="98">
        <f t="shared" si="18"/>
        <v>95.817720294935327</v>
      </c>
      <c r="K77" s="98">
        <f t="shared" si="19"/>
        <v>4.1822797050646683</v>
      </c>
      <c r="L77" s="98">
        <f t="shared" si="20"/>
        <v>89.930555555555557</v>
      </c>
      <c r="M77" s="98">
        <f t="shared" si="21"/>
        <v>10.069444444444445</v>
      </c>
      <c r="N77" s="98">
        <f t="shared" si="22"/>
        <v>92.05175600739372</v>
      </c>
      <c r="O77" s="98">
        <f t="shared" si="23"/>
        <v>7.9482439926062849</v>
      </c>
      <c r="P77" s="98">
        <f t="shared" si="24"/>
        <v>89.893076588127158</v>
      </c>
      <c r="Q77" s="98">
        <f t="shared" si="25"/>
        <v>10.106923411872854</v>
      </c>
    </row>
    <row r="78" spans="2:17">
      <c r="B78" s="11" t="s">
        <v>32</v>
      </c>
      <c r="C78" s="2">
        <v>2018</v>
      </c>
      <c r="D78" s="98">
        <f t="shared" si="12"/>
        <v>83.549351944167498</v>
      </c>
      <c r="E78" s="98">
        <f t="shared" si="13"/>
        <v>16.450648055832502</v>
      </c>
      <c r="F78" s="98">
        <f t="shared" si="14"/>
        <v>93.519751442521084</v>
      </c>
      <c r="G78" s="98">
        <f t="shared" si="15"/>
        <v>6.4802485574789168</v>
      </c>
      <c r="H78" s="98">
        <f t="shared" si="16"/>
        <v>90.149738408803898</v>
      </c>
      <c r="I78" s="98">
        <f t="shared" si="17"/>
        <v>9.8502615911961033</v>
      </c>
      <c r="J78" s="98">
        <f t="shared" si="18"/>
        <v>96.716149347728305</v>
      </c>
      <c r="K78" s="98">
        <f t="shared" si="19"/>
        <v>2.6840605787974212</v>
      </c>
      <c r="L78" s="98">
        <f t="shared" si="20"/>
        <v>93.895781637717121</v>
      </c>
      <c r="M78" s="98">
        <f t="shared" si="21"/>
        <v>6.1042183622828778</v>
      </c>
      <c r="N78" s="98">
        <f t="shared" si="22"/>
        <v>90.965732087227408</v>
      </c>
      <c r="O78" s="98">
        <f t="shared" si="23"/>
        <v>9.0342679127725845</v>
      </c>
      <c r="P78" s="98">
        <f t="shared" si="24"/>
        <v>93.327342170298806</v>
      </c>
      <c r="Q78" s="98">
        <f t="shared" si="25"/>
        <v>6.6726578297011914</v>
      </c>
    </row>
    <row r="79" spans="2:17">
      <c r="B79" s="11" t="s">
        <v>33</v>
      </c>
      <c r="C79" s="2">
        <v>2018</v>
      </c>
      <c r="D79" s="98">
        <f t="shared" si="12"/>
        <v>79.099678456591633</v>
      </c>
      <c r="E79" s="98">
        <f t="shared" si="13"/>
        <v>20.90032154340836</v>
      </c>
      <c r="F79" s="98">
        <f t="shared" si="14"/>
        <v>91.854636591478695</v>
      </c>
      <c r="G79" s="98">
        <f t="shared" si="15"/>
        <v>8.1453634085213036</v>
      </c>
      <c r="H79" s="98">
        <f t="shared" si="16"/>
        <v>87.821906833009038</v>
      </c>
      <c r="I79" s="98">
        <f t="shared" si="17"/>
        <v>12.178093166990958</v>
      </c>
      <c r="J79" s="98">
        <f t="shared" si="18"/>
        <v>96.823159492572913</v>
      </c>
      <c r="K79" s="98">
        <f t="shared" si="19"/>
        <v>3.1768405074270847</v>
      </c>
      <c r="L79" s="98">
        <f t="shared" si="20"/>
        <v>94.44629198536748</v>
      </c>
      <c r="M79" s="98">
        <f t="shared" si="21"/>
        <v>5.5537080146325239</v>
      </c>
      <c r="N79" s="98">
        <f t="shared" si="22"/>
        <v>91.062801932367151</v>
      </c>
      <c r="O79" s="98">
        <f t="shared" si="23"/>
        <v>8.9371980676328491</v>
      </c>
      <c r="P79" s="98">
        <f t="shared" si="24"/>
        <v>91.775299525280687</v>
      </c>
      <c r="Q79" s="98">
        <f t="shared" si="25"/>
        <v>8.2247004747193131</v>
      </c>
    </row>
    <row r="80" spans="2:17">
      <c r="B80" s="14" t="s">
        <v>34</v>
      </c>
      <c r="C80" s="2">
        <v>2018</v>
      </c>
      <c r="D80" s="98">
        <f t="shared" si="12"/>
        <v>76.26083530338849</v>
      </c>
      <c r="E80" s="98">
        <f t="shared" si="13"/>
        <v>23.739164696611507</v>
      </c>
      <c r="F80" s="98">
        <f t="shared" si="14"/>
        <v>90.215877437325915</v>
      </c>
      <c r="G80" s="98">
        <f t="shared" si="15"/>
        <v>9.784122562674094</v>
      </c>
      <c r="H80" s="98">
        <f t="shared" si="16"/>
        <v>88.174971959621857</v>
      </c>
      <c r="I80" s="98">
        <f t="shared" si="17"/>
        <v>11.825028040378145</v>
      </c>
      <c r="J80" s="98">
        <f t="shared" si="18"/>
        <v>96.497156239545006</v>
      </c>
      <c r="K80" s="98">
        <f t="shared" si="19"/>
        <v>3.5028437604550016</v>
      </c>
      <c r="L80" s="98">
        <f t="shared" si="20"/>
        <v>92.425949774629743</v>
      </c>
      <c r="M80" s="98">
        <f t="shared" si="21"/>
        <v>7.5740502253702502</v>
      </c>
      <c r="N80" s="98">
        <f t="shared" si="22"/>
        <v>90.886820186183243</v>
      </c>
      <c r="O80" s="98">
        <f t="shared" si="23"/>
        <v>9.1131798138167568</v>
      </c>
      <c r="P80" s="98">
        <f t="shared" si="24"/>
        <v>91.566007885286666</v>
      </c>
      <c r="Q80" s="98">
        <f t="shared" si="25"/>
        <v>8.4339921147133428</v>
      </c>
    </row>
    <row r="81" spans="2:17">
      <c r="B81" s="11" t="s">
        <v>30</v>
      </c>
      <c r="C81" s="12">
        <v>2019</v>
      </c>
      <c r="D81" s="98">
        <f t="shared" si="12"/>
        <v>71.931196247068016</v>
      </c>
      <c r="E81" s="98">
        <f t="shared" si="13"/>
        <v>28.068803752931977</v>
      </c>
      <c r="F81" s="98">
        <f t="shared" si="14"/>
        <v>88.690022848438687</v>
      </c>
      <c r="G81" s="98">
        <f t="shared" si="15"/>
        <v>11.309977151561309</v>
      </c>
      <c r="H81" s="98">
        <f t="shared" si="16"/>
        <v>87.970388648982109</v>
      </c>
      <c r="I81" s="98">
        <f t="shared" si="17"/>
        <v>12.029611351017889</v>
      </c>
      <c r="J81" s="98">
        <f t="shared" si="18"/>
        <v>95.336787564766837</v>
      </c>
      <c r="K81" s="98">
        <f t="shared" si="19"/>
        <v>4.6632124352331603</v>
      </c>
      <c r="L81" s="98">
        <f t="shared" si="20"/>
        <v>93.372561164447205</v>
      </c>
      <c r="M81" s="98">
        <f t="shared" si="21"/>
        <v>6.6274388355528027</v>
      </c>
      <c r="N81" s="98">
        <f t="shared" si="22"/>
        <v>89.743589743589752</v>
      </c>
      <c r="O81" s="98">
        <f t="shared" si="23"/>
        <v>10.256410256410255</v>
      </c>
      <c r="P81" s="98">
        <f t="shared" si="24"/>
        <v>90.731344293349565</v>
      </c>
      <c r="Q81" s="98">
        <f t="shared" si="25"/>
        <v>9.2686557066504296</v>
      </c>
    </row>
    <row r="82" spans="2:17">
      <c r="B82" s="11" t="s">
        <v>31</v>
      </c>
      <c r="C82" s="12">
        <v>2019</v>
      </c>
      <c r="D82" s="98">
        <f t="shared" si="12"/>
        <v>69.980506822612085</v>
      </c>
      <c r="E82" s="98">
        <f t="shared" si="13"/>
        <v>30.019493177387911</v>
      </c>
      <c r="F82" s="98">
        <f t="shared" si="14"/>
        <v>87.109249113760882</v>
      </c>
      <c r="G82" s="98">
        <f t="shared" si="15"/>
        <v>12.890750886239125</v>
      </c>
      <c r="H82" s="98">
        <f t="shared" si="16"/>
        <v>80.182002022244689</v>
      </c>
      <c r="I82" s="98">
        <f t="shared" si="17"/>
        <v>19.817997977755308</v>
      </c>
      <c r="J82" s="98">
        <f t="shared" si="18"/>
        <v>95.243800167724942</v>
      </c>
      <c r="K82" s="98">
        <f t="shared" si="19"/>
        <v>4.7561998322750689</v>
      </c>
      <c r="L82" s="98">
        <f t="shared" si="20"/>
        <v>88.086241386974891</v>
      </c>
      <c r="M82" s="98">
        <f t="shared" si="21"/>
        <v>11.913758613025117</v>
      </c>
      <c r="N82" s="98">
        <f t="shared" si="22"/>
        <v>93.430656934306569</v>
      </c>
      <c r="O82" s="98">
        <f t="shared" si="23"/>
        <v>6.5693430656934311</v>
      </c>
      <c r="P82" s="98">
        <f t="shared" si="24"/>
        <v>88.945827232796475</v>
      </c>
      <c r="Q82" s="98">
        <f t="shared" si="25"/>
        <v>11.054172767203514</v>
      </c>
    </row>
    <row r="83" spans="2:17">
      <c r="B83" s="11" t="s">
        <v>32</v>
      </c>
      <c r="C83" s="12">
        <v>2019</v>
      </c>
      <c r="D83" s="98">
        <f t="shared" si="12"/>
        <v>81.742738589211612</v>
      </c>
      <c r="E83" s="98">
        <f t="shared" si="13"/>
        <v>18.257261410788381</v>
      </c>
      <c r="F83" s="98">
        <f t="shared" si="14"/>
        <v>92.666051660516601</v>
      </c>
      <c r="G83" s="98">
        <f t="shared" si="15"/>
        <v>7.3339483394833955</v>
      </c>
      <c r="H83" s="98">
        <f t="shared" si="16"/>
        <v>89.574507275741382</v>
      </c>
      <c r="I83" s="98">
        <f t="shared" si="17"/>
        <v>10.425492724258611</v>
      </c>
      <c r="J83" s="98">
        <f t="shared" si="18"/>
        <v>97.139360562949363</v>
      </c>
      <c r="K83" s="98">
        <f t="shared" si="19"/>
        <v>2.8606394370506347</v>
      </c>
      <c r="L83" s="98">
        <f t="shared" si="20"/>
        <v>93.51432880844645</v>
      </c>
      <c r="M83" s="98">
        <f t="shared" si="21"/>
        <v>6.4856711915535454</v>
      </c>
      <c r="N83" s="98">
        <f t="shared" si="22"/>
        <v>91.807909604519779</v>
      </c>
      <c r="O83" s="98">
        <f t="shared" si="23"/>
        <v>8.1920903954802249</v>
      </c>
      <c r="P83" s="98">
        <f t="shared" si="24"/>
        <v>92.85591422510177</v>
      </c>
      <c r="Q83" s="98">
        <f t="shared" si="25"/>
        <v>7.1440857748982287</v>
      </c>
    </row>
    <row r="84" spans="2:17">
      <c r="B84" s="11" t="s">
        <v>33</v>
      </c>
      <c r="C84" s="12">
        <v>2019</v>
      </c>
      <c r="D84" s="98">
        <f t="shared" si="12"/>
        <v>76.649369903632319</v>
      </c>
      <c r="E84" s="98">
        <f t="shared" si="13"/>
        <v>23.350630096367681</v>
      </c>
      <c r="F84" s="98">
        <f t="shared" si="14"/>
        <v>91.80921052631578</v>
      </c>
      <c r="G84" s="98">
        <f t="shared" si="15"/>
        <v>8.1907894736842106</v>
      </c>
      <c r="H84" s="98">
        <f t="shared" si="16"/>
        <v>85.47105561861521</v>
      </c>
      <c r="I84" s="98">
        <f t="shared" si="17"/>
        <v>14.52894438138479</v>
      </c>
      <c r="J84" s="98">
        <f t="shared" si="18"/>
        <v>96.484736355226644</v>
      </c>
      <c r="K84" s="98">
        <f t="shared" si="19"/>
        <v>3.5152636447733578</v>
      </c>
      <c r="L84" s="98">
        <f t="shared" si="20"/>
        <v>93.706293706293707</v>
      </c>
      <c r="M84" s="98">
        <f t="shared" si="21"/>
        <v>6.2937062937062942</v>
      </c>
      <c r="N84" s="98">
        <f t="shared" si="22"/>
        <v>92.620624408703875</v>
      </c>
      <c r="O84" s="98">
        <f t="shared" si="23"/>
        <v>7.379375591296121</v>
      </c>
      <c r="P84" s="98">
        <f t="shared" si="24"/>
        <v>90.678195082410156</v>
      </c>
      <c r="Q84" s="98">
        <f t="shared" si="25"/>
        <v>9.3218049175898408</v>
      </c>
    </row>
    <row r="85" spans="2:17">
      <c r="B85" s="14" t="s">
        <v>34</v>
      </c>
      <c r="C85" s="12">
        <v>2019</v>
      </c>
      <c r="D85" s="98">
        <f t="shared" si="12"/>
        <v>74.924209614551756</v>
      </c>
      <c r="E85" s="98">
        <f t="shared" si="13"/>
        <v>25.075790385448244</v>
      </c>
      <c r="F85" s="98">
        <f t="shared" si="14"/>
        <v>89.896680991131035</v>
      </c>
      <c r="G85" s="98">
        <f t="shared" si="15"/>
        <v>10.103319008868977</v>
      </c>
      <c r="H85" s="98">
        <f t="shared" si="16"/>
        <v>86.036012110267166</v>
      </c>
      <c r="I85" s="98">
        <f t="shared" si="17"/>
        <v>13.963987889732831</v>
      </c>
      <c r="J85" s="98">
        <f t="shared" si="18"/>
        <v>96.055477359332613</v>
      </c>
      <c r="K85" s="98">
        <f t="shared" si="19"/>
        <v>3.9445226406673766</v>
      </c>
      <c r="L85" s="98">
        <f t="shared" si="20"/>
        <v>91.603773584905653</v>
      </c>
      <c r="M85" s="98">
        <f t="shared" si="21"/>
        <v>8.3962264150943398</v>
      </c>
      <c r="N85" s="98">
        <f t="shared" si="22"/>
        <v>92.169179229480733</v>
      </c>
      <c r="O85" s="98">
        <f t="shared" si="23"/>
        <v>7.8308207705192627</v>
      </c>
      <c r="P85" s="98">
        <f t="shared" si="24"/>
        <v>90.719800557117239</v>
      </c>
      <c r="Q85" s="98">
        <f t="shared" si="25"/>
        <v>9.2801994428827648</v>
      </c>
    </row>
    <row r="86" spans="2:17">
      <c r="B86" s="11" t="s">
        <v>30</v>
      </c>
      <c r="C86" s="12">
        <v>2020</v>
      </c>
      <c r="D86" s="98">
        <f>E40/D40*100</f>
        <v>70.62818336162988</v>
      </c>
      <c r="E86" s="98">
        <f>F40/D40*100</f>
        <v>29.37181663837012</v>
      </c>
      <c r="F86" s="98">
        <f>H40/G40*100</f>
        <v>88.866956178444539</v>
      </c>
      <c r="G86" s="98">
        <f>I40/G40*100</f>
        <v>11.133043821555468</v>
      </c>
      <c r="H86" s="98">
        <f>K40/J40*100</f>
        <v>86.74314850223071</v>
      </c>
      <c r="I86" s="98">
        <f>L40/J40*100</f>
        <v>13.256851497769279</v>
      </c>
      <c r="J86" s="98">
        <f>N40/M40*100</f>
        <v>94.041496719276466</v>
      </c>
      <c r="K86" s="98">
        <f>O40/M40*100</f>
        <v>5.9585032807235327</v>
      </c>
      <c r="L86" s="98">
        <f>Q40/P40*100</f>
        <v>91.637519872813982</v>
      </c>
      <c r="M86" s="98">
        <f>R40/P40*100</f>
        <v>8.362480127186009</v>
      </c>
      <c r="N86" s="98">
        <f>T40/S40*100</f>
        <v>89.00709219858156</v>
      </c>
      <c r="O86" s="98">
        <f>U40/S40*100</f>
        <v>10.99290780141844</v>
      </c>
      <c r="P86" s="98">
        <f>W40/V40*100</f>
        <v>89.781123658162556</v>
      </c>
      <c r="Q86" s="98">
        <f>X40/V40*100</f>
        <v>10.218876341837447</v>
      </c>
    </row>
    <row r="87" spans="2:17">
      <c r="B87" s="11" t="s">
        <v>31</v>
      </c>
      <c r="C87" s="12">
        <v>2020</v>
      </c>
      <c r="D87" s="98">
        <f>E41/D41*100</f>
        <v>68.172268907563023</v>
      </c>
      <c r="E87" s="98">
        <f>F41/D41*100</f>
        <v>31.827731092436974</v>
      </c>
      <c r="F87" s="98">
        <f>H41/G41*100</f>
        <v>86.927449013707786</v>
      </c>
      <c r="G87" s="98">
        <f>I41/G41*100</f>
        <v>13.072550986292212</v>
      </c>
      <c r="H87" s="98">
        <f>K41/J41*100</f>
        <v>80.932340563289102</v>
      </c>
      <c r="I87" s="98">
        <f>L41/J41*100</f>
        <v>19.067659436710908</v>
      </c>
      <c r="J87" s="98">
        <f>N41/M41*100</f>
        <v>94.71100748558105</v>
      </c>
      <c r="K87" s="98">
        <f>O41/M41*100</f>
        <v>5.2889925144189469</v>
      </c>
      <c r="L87" s="98">
        <f>Q41/P41*100</f>
        <v>85.860382392174301</v>
      </c>
      <c r="M87" s="98">
        <f>R41/P41*100</f>
        <v>14.1396176078257</v>
      </c>
      <c r="N87" s="98">
        <f>T41/S41*100</f>
        <v>86.196319018404907</v>
      </c>
      <c r="O87" s="98">
        <f>U41/S41*100</f>
        <v>13.803680981595093</v>
      </c>
      <c r="P87" s="98">
        <f>W41/V41*100</f>
        <v>88.027993001749564</v>
      </c>
      <c r="Q87" s="98">
        <f>X41/V41*100</f>
        <v>11.972006998250437</v>
      </c>
    </row>
    <row r="88" spans="2:17">
      <c r="B88" s="11" t="s">
        <v>32</v>
      </c>
      <c r="C88" s="12">
        <v>2020</v>
      </c>
      <c r="D88" s="98">
        <f>E42/D42*100</f>
        <v>80.724174653887118</v>
      </c>
      <c r="E88" s="98">
        <f>F42/D42*100</f>
        <v>19.275825346112885</v>
      </c>
      <c r="F88" s="98">
        <f>H42/G42*100</f>
        <v>91.538461538461533</v>
      </c>
      <c r="G88" s="98">
        <f>I42/G42*100</f>
        <v>8.4615384615384617</v>
      </c>
      <c r="H88" s="98">
        <f>K42/J42*100</f>
        <v>88.153110047846894</v>
      </c>
      <c r="I88" s="98">
        <f>L42/J42*100</f>
        <v>11.846889952153109</v>
      </c>
      <c r="J88" s="98">
        <f>N42/M42*100</f>
        <v>96.323188629692567</v>
      </c>
      <c r="K88" s="98">
        <f>O42/M42*100</f>
        <v>3.6768113703074303</v>
      </c>
      <c r="L88" s="98">
        <f>Q42/P42*100</f>
        <v>91.845703125</v>
      </c>
      <c r="M88" s="98">
        <f>R42/P42*100</f>
        <v>8.154296875</v>
      </c>
      <c r="N88" s="98">
        <f>T42/S42*100</f>
        <v>96.739130434782609</v>
      </c>
      <c r="O88" s="98">
        <f>U42/S42*100</f>
        <v>3.2608695652173911</v>
      </c>
      <c r="P88" s="98">
        <f>W42/V42*100</f>
        <v>91.816626349637147</v>
      </c>
      <c r="Q88" s="98">
        <f>X42/V42*100</f>
        <v>8.1833736503628529</v>
      </c>
    </row>
    <row r="89" spans="2:17">
      <c r="B89" s="11" t="s">
        <v>33</v>
      </c>
      <c r="C89" s="12">
        <v>2020</v>
      </c>
      <c r="D89" s="98">
        <f>E43/D43*100</f>
        <v>75.303951367781153</v>
      </c>
      <c r="E89" s="98">
        <f>F43/D43*100</f>
        <v>24.696048632218844</v>
      </c>
      <c r="F89" s="98">
        <f>H43/G43*100</f>
        <v>90.189642596644788</v>
      </c>
      <c r="G89" s="98">
        <f>I43/G43*100</f>
        <v>9.8103574033552139</v>
      </c>
      <c r="H89" s="98">
        <f>K43/J43*100</f>
        <v>83.860311467673426</v>
      </c>
      <c r="I89" s="98">
        <f>L43/J43*100</f>
        <v>16.139688532326566</v>
      </c>
      <c r="J89" s="98">
        <f>N43/M43*100</f>
        <v>95.349108287679215</v>
      </c>
      <c r="K89" s="98">
        <f>O43/M43*100</f>
        <v>4.6508917123207834</v>
      </c>
      <c r="L89" s="98">
        <f>Q43/P43*100</f>
        <v>92.777413000656594</v>
      </c>
      <c r="M89" s="98">
        <f>R43/P43*100</f>
        <v>7.2225869993434015</v>
      </c>
      <c r="N89" s="98">
        <f>T43/S43*100</f>
        <v>88.888888888888886</v>
      </c>
      <c r="O89" s="98">
        <f>U43/S43*100</f>
        <v>11.111111111111111</v>
      </c>
      <c r="P89" s="98">
        <f>W43/V43*100</f>
        <v>89.30634670544984</v>
      </c>
      <c r="Q89" s="98">
        <f>X43/V43*100</f>
        <v>10.693653294550156</v>
      </c>
    </row>
    <row r="90" spans="2:17">
      <c r="B90" s="14" t="s">
        <v>34</v>
      </c>
      <c r="C90" s="12">
        <v>2020</v>
      </c>
      <c r="D90" s="98">
        <f>E44/D44*100</f>
        <v>73.660205245153932</v>
      </c>
      <c r="E90" s="98">
        <f>F44/D44*100</f>
        <v>26.339794754846068</v>
      </c>
      <c r="F90" s="98">
        <f>H44/G44*100</f>
        <v>89.193891358979315</v>
      </c>
      <c r="G90" s="98">
        <f>I44/G44*100</f>
        <v>10.806108641020684</v>
      </c>
      <c r="H90" s="98">
        <f>K44/J44*100</f>
        <v>84.835775369028809</v>
      </c>
      <c r="I90" s="98">
        <f>L44/J44*100</f>
        <v>15.164224630971185</v>
      </c>
      <c r="J90" s="98">
        <f>N44/M44*100</f>
        <v>95.131761442441061</v>
      </c>
      <c r="K90" s="98">
        <f>O44/M44*100</f>
        <v>4.8682385575589464</v>
      </c>
      <c r="L90" s="98">
        <f>Q44/P44*100</f>
        <v>89.903430949203113</v>
      </c>
      <c r="M90" s="98">
        <f>R44/P44*100</f>
        <v>10.096569050796891</v>
      </c>
      <c r="N90" s="98">
        <f>T44/S44*100</f>
        <v>89.321789321789325</v>
      </c>
      <c r="O90" s="98">
        <f>U44/S44*100</f>
        <v>10.678210678210679</v>
      </c>
      <c r="P90" s="98">
        <f>W44/V44*100</f>
        <v>89.61908143005536</v>
      </c>
      <c r="Q90" s="98">
        <f>X44/V44*100</f>
        <v>10.380918569944644</v>
      </c>
    </row>
    <row r="91" spans="2:17">
      <c r="B91" s="11"/>
      <c r="C91" s="15"/>
      <c r="D91" s="20"/>
      <c r="E91" s="20"/>
      <c r="F91" s="20"/>
      <c r="G91" s="20"/>
      <c r="H91" s="22"/>
      <c r="I91" s="22"/>
      <c r="J91" s="20"/>
      <c r="K91" s="20"/>
      <c r="L91" s="20"/>
      <c r="M91" s="20"/>
      <c r="N91" s="20"/>
      <c r="O91" s="20"/>
      <c r="P91" s="20"/>
      <c r="Q91" s="20"/>
    </row>
    <row r="92" spans="2:17">
      <c r="B92" s="11"/>
      <c r="C92" s="15"/>
      <c r="D92" s="20"/>
      <c r="E92" s="20"/>
      <c r="F92" s="20"/>
      <c r="G92" s="20"/>
      <c r="H92" s="22"/>
      <c r="I92" s="22"/>
      <c r="J92" s="20"/>
      <c r="K92" s="20"/>
      <c r="L92" s="20"/>
      <c r="M92" s="20"/>
      <c r="N92" s="20"/>
      <c r="O92" s="20"/>
      <c r="P92" s="20"/>
      <c r="Q92" s="20"/>
    </row>
    <row r="93" spans="2:17">
      <c r="B93" s="11"/>
      <c r="C93" s="15"/>
      <c r="D93" s="20"/>
      <c r="E93" s="20"/>
      <c r="F93" s="20"/>
      <c r="G93" s="20"/>
      <c r="H93" s="22"/>
      <c r="I93" s="22"/>
      <c r="J93" s="20"/>
      <c r="K93" s="20"/>
      <c r="L93" s="20"/>
      <c r="M93" s="20"/>
      <c r="N93" s="20"/>
      <c r="O93" s="20"/>
      <c r="P93" s="20"/>
      <c r="Q93" s="20"/>
    </row>
    <row r="94" spans="2:17">
      <c r="B94" s="11"/>
      <c r="C94" s="15"/>
      <c r="D94" s="20"/>
      <c r="E94" s="20"/>
      <c r="F94" s="20"/>
      <c r="G94" s="20"/>
      <c r="H94" s="22"/>
      <c r="I94" s="22"/>
      <c r="J94" s="20"/>
      <c r="K94" s="20"/>
      <c r="L94" s="20"/>
      <c r="M94" s="20"/>
      <c r="N94" s="20"/>
      <c r="O94" s="20"/>
      <c r="P94" s="20"/>
      <c r="Q94" s="20"/>
    </row>
    <row r="95" spans="2:17">
      <c r="B95" s="14"/>
      <c r="C95" s="15"/>
      <c r="D95" s="20"/>
      <c r="E95" s="20"/>
      <c r="F95" s="20"/>
      <c r="G95" s="20"/>
      <c r="H95" s="22"/>
      <c r="I95" s="22"/>
      <c r="J95" s="20"/>
      <c r="K95" s="20"/>
      <c r="L95" s="20"/>
      <c r="M95" s="20"/>
      <c r="N95" s="20"/>
      <c r="O95" s="20"/>
      <c r="P95" s="20"/>
      <c r="Q95" s="20"/>
    </row>
    <row r="96" spans="2:17">
      <c r="B96" s="11"/>
      <c r="C96" s="12"/>
      <c r="D96" s="23"/>
      <c r="E96" s="23"/>
      <c r="F96" s="23"/>
      <c r="G96" s="23"/>
      <c r="H96" s="21"/>
      <c r="I96" s="21"/>
      <c r="J96" s="23"/>
      <c r="K96" s="23"/>
      <c r="L96" s="23"/>
      <c r="M96" s="23"/>
      <c r="N96" s="23"/>
      <c r="O96" s="23"/>
      <c r="P96" s="23"/>
      <c r="Q96" s="23"/>
    </row>
    <row r="97" spans="2:17">
      <c r="B97" s="11"/>
      <c r="C97" s="12"/>
      <c r="D97" s="23"/>
      <c r="E97" s="23"/>
      <c r="F97" s="23"/>
      <c r="G97" s="23"/>
      <c r="H97" s="21"/>
      <c r="I97" s="21"/>
      <c r="J97" s="23"/>
      <c r="K97" s="23"/>
      <c r="L97" s="23"/>
      <c r="M97" s="23"/>
      <c r="N97" s="23"/>
      <c r="O97" s="23"/>
      <c r="P97" s="23"/>
      <c r="Q97" s="23"/>
    </row>
    <row r="98" spans="2:17">
      <c r="B98" s="11"/>
      <c r="C98" s="12"/>
      <c r="D98" s="23"/>
      <c r="E98" s="23"/>
      <c r="F98" s="23"/>
      <c r="G98" s="23"/>
      <c r="H98" s="21"/>
      <c r="I98" s="21"/>
      <c r="J98" s="23"/>
      <c r="K98" s="23"/>
      <c r="L98" s="23"/>
      <c r="M98" s="23"/>
      <c r="N98" s="23"/>
      <c r="O98" s="23"/>
      <c r="P98" s="23"/>
      <c r="Q98" s="23"/>
    </row>
    <row r="99" spans="2:17">
      <c r="B99" s="11"/>
      <c r="C99" s="12"/>
      <c r="D99" s="23"/>
      <c r="E99" s="23"/>
      <c r="F99" s="23"/>
      <c r="G99" s="23"/>
      <c r="H99" s="21"/>
      <c r="I99" s="21"/>
      <c r="J99" s="23"/>
      <c r="K99" s="23"/>
      <c r="L99" s="23"/>
      <c r="M99" s="23"/>
      <c r="N99" s="23"/>
      <c r="O99" s="23"/>
      <c r="P99" s="23"/>
      <c r="Q99" s="23"/>
    </row>
    <row r="100" spans="2:17">
      <c r="B100" s="14"/>
      <c r="C100" s="15"/>
      <c r="D100" s="20"/>
      <c r="E100" s="20"/>
      <c r="F100" s="20"/>
      <c r="G100" s="20"/>
      <c r="H100" s="22"/>
      <c r="I100" s="22"/>
      <c r="J100" s="20"/>
      <c r="K100" s="20"/>
      <c r="L100" s="20"/>
      <c r="M100" s="20"/>
      <c r="N100" s="20"/>
      <c r="O100" s="20"/>
      <c r="P100" s="20"/>
      <c r="Q100" s="20"/>
    </row>
    <row r="101" spans="2:17">
      <c r="B101" s="11"/>
      <c r="C101" s="12"/>
      <c r="D101" s="19"/>
      <c r="E101" s="19"/>
      <c r="F101" s="19"/>
      <c r="G101" s="19"/>
      <c r="H101" s="21"/>
      <c r="I101" s="21"/>
      <c r="J101" s="19"/>
      <c r="K101" s="19"/>
      <c r="L101" s="19"/>
      <c r="M101" s="19"/>
      <c r="N101" s="19"/>
      <c r="O101" s="19"/>
      <c r="P101" s="19"/>
      <c r="Q101" s="19"/>
    </row>
    <row r="102" spans="2:17">
      <c r="B102" s="11"/>
      <c r="C102" s="12"/>
      <c r="D102" s="19"/>
      <c r="E102" s="19"/>
      <c r="F102" s="19"/>
      <c r="G102" s="19"/>
      <c r="H102" s="21"/>
      <c r="I102" s="21"/>
      <c r="J102" s="19"/>
      <c r="K102" s="19"/>
      <c r="L102" s="19"/>
      <c r="M102" s="19"/>
      <c r="N102" s="19"/>
      <c r="O102" s="19"/>
      <c r="P102" s="19"/>
      <c r="Q102" s="19"/>
    </row>
    <row r="103" spans="2:17">
      <c r="B103" s="11"/>
      <c r="C103" s="12"/>
      <c r="D103" s="19"/>
      <c r="E103" s="19"/>
      <c r="F103" s="19"/>
      <c r="G103" s="19"/>
      <c r="H103" s="21"/>
      <c r="I103" s="21"/>
      <c r="J103" s="19"/>
      <c r="K103" s="19"/>
      <c r="L103" s="19"/>
      <c r="M103" s="24"/>
      <c r="N103" s="19"/>
      <c r="O103" s="19"/>
      <c r="P103" s="19"/>
      <c r="Q103" s="19"/>
    </row>
    <row r="104" spans="2:17">
      <c r="B104" s="11"/>
      <c r="C104" s="12"/>
      <c r="D104" s="19"/>
      <c r="E104" s="19"/>
      <c r="F104" s="19"/>
      <c r="G104" s="19"/>
      <c r="H104" s="21"/>
      <c r="I104" s="21"/>
      <c r="J104" s="19"/>
      <c r="K104" s="19"/>
      <c r="L104" s="19"/>
      <c r="M104" s="19"/>
      <c r="N104" s="19"/>
      <c r="O104" s="19"/>
      <c r="P104" s="19"/>
      <c r="Q104" s="19"/>
    </row>
    <row r="105" spans="2:17">
      <c r="B105" s="14"/>
      <c r="C105" s="15"/>
      <c r="D105" s="20"/>
      <c r="E105" s="20"/>
      <c r="F105" s="20"/>
      <c r="G105" s="20"/>
      <c r="H105" s="22"/>
      <c r="I105" s="22"/>
      <c r="J105" s="20"/>
      <c r="K105" s="20"/>
      <c r="L105" s="20"/>
      <c r="M105" s="20"/>
      <c r="N105" s="20"/>
      <c r="O105" s="20"/>
      <c r="P105" s="20"/>
      <c r="Q105" s="20"/>
    </row>
  </sheetData>
  <mergeCells count="19">
    <mergeCell ref="B1:B3"/>
    <mergeCell ref="C1:C3"/>
    <mergeCell ref="D1:F1"/>
    <mergeCell ref="G1:I1"/>
    <mergeCell ref="J1:L1"/>
    <mergeCell ref="B47:B49"/>
    <mergeCell ref="C47:C49"/>
    <mergeCell ref="D47:E47"/>
    <mergeCell ref="F47:G47"/>
    <mergeCell ref="H47:I47"/>
    <mergeCell ref="P47:Q47"/>
    <mergeCell ref="D49:Q49"/>
    <mergeCell ref="P1:R1"/>
    <mergeCell ref="S1:U1"/>
    <mergeCell ref="V1:X1"/>
    <mergeCell ref="J47:K47"/>
    <mergeCell ref="L47:M47"/>
    <mergeCell ref="M1:O1"/>
    <mergeCell ref="N47:O47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E66"/>
  <sheetViews>
    <sheetView workbookViewId="0"/>
  </sheetViews>
  <sheetFormatPr baseColWidth="10" defaultRowHeight="15"/>
  <sheetData>
    <row r="1" spans="1:5" ht="45">
      <c r="A1" s="80" t="s">
        <v>47</v>
      </c>
      <c r="B1" s="162"/>
      <c r="C1" s="76"/>
      <c r="D1" s="77"/>
      <c r="E1" s="91"/>
    </row>
    <row r="2" spans="1:5" ht="45">
      <c r="A2" s="104" t="s">
        <v>111</v>
      </c>
      <c r="B2" s="105" t="s">
        <v>3</v>
      </c>
      <c r="C2" s="106" t="s">
        <v>124</v>
      </c>
      <c r="D2" s="106" t="s">
        <v>12</v>
      </c>
      <c r="E2" s="107" t="s">
        <v>11</v>
      </c>
    </row>
    <row r="3" spans="1:5" ht="30">
      <c r="A3" s="43" t="s">
        <v>40</v>
      </c>
      <c r="B3" s="43">
        <v>2020</v>
      </c>
      <c r="C3" s="78">
        <f>VLOOKUP(A3,'2020_B4_Rohdaten_alle'!A28:AB145,11,FALSE)</f>
        <v>76053</v>
      </c>
      <c r="D3" s="78">
        <f>VLOOKUP($A3,'2020_B4_Rohdaten_Ausländer'!$A$28:$AB$145,11,FALSE)</f>
        <v>7895</v>
      </c>
      <c r="E3" s="103">
        <f>C3-D3</f>
        <v>68158</v>
      </c>
    </row>
    <row r="4" spans="1:5" ht="30">
      <c r="A4" s="43" t="s">
        <v>78</v>
      </c>
      <c r="B4" s="43">
        <v>2020</v>
      </c>
      <c r="C4" s="78">
        <f>VLOOKUP($A4,'2020_B4_Rohdaten_alle'!$A$28:$AB$145,11,FALSE)</f>
        <v>3318</v>
      </c>
      <c r="D4" s="78">
        <f>VLOOKUP($A4,'2020_B4_Rohdaten_Ausländer'!$A$28:$AB$145,11,FALSE)</f>
        <v>969</v>
      </c>
      <c r="E4" s="103">
        <f t="shared" ref="E4:E66" si="0">C4-D4</f>
        <v>2349</v>
      </c>
    </row>
    <row r="5" spans="1:5" ht="30">
      <c r="A5" s="43" t="s">
        <v>80</v>
      </c>
      <c r="B5" s="43">
        <v>2020</v>
      </c>
      <c r="C5" s="78">
        <f>VLOOKUP($A5,'2020_B4_Rohdaten_alle'!$A$28:$AB$145,11,FALSE)</f>
        <v>7942</v>
      </c>
      <c r="D5" s="78">
        <f>VLOOKUP($A5,'2020_B4_Rohdaten_Ausländer'!$A$28:$AB$145,11,FALSE)</f>
        <v>964</v>
      </c>
      <c r="E5" s="103">
        <f t="shared" si="0"/>
        <v>6978</v>
      </c>
    </row>
    <row r="6" spans="1:5" ht="30">
      <c r="A6" s="43" t="s">
        <v>81</v>
      </c>
      <c r="B6" s="43">
        <v>2020</v>
      </c>
      <c r="C6" s="78">
        <f>VLOOKUP($A6,'2020_B4_Rohdaten_alle'!$A$28:$AB$145,11,FALSE)</f>
        <v>18359</v>
      </c>
      <c r="D6" s="78">
        <f>VLOOKUP($A6,'2020_B4_Rohdaten_Ausländer'!$A$28:$AB$145,11,FALSE)</f>
        <v>2784</v>
      </c>
      <c r="E6" s="103">
        <f t="shared" si="0"/>
        <v>15575</v>
      </c>
    </row>
    <row r="7" spans="1:5" ht="30">
      <c r="A7" s="43" t="s">
        <v>82</v>
      </c>
      <c r="B7" s="43">
        <v>2020</v>
      </c>
      <c r="C7" s="78">
        <f>VLOOKUP($A7,'2020_B4_Rohdaten_alle'!$A$28:$AB$145,11,FALSE)</f>
        <v>26683</v>
      </c>
      <c r="D7" s="78">
        <f>VLOOKUP($A7,'2020_B4_Rohdaten_Ausländer'!$A$28:$AB$145,11,FALSE)</f>
        <v>1316</v>
      </c>
      <c r="E7" s="103">
        <f t="shared" si="0"/>
        <v>25367</v>
      </c>
    </row>
    <row r="8" spans="1:5" ht="45">
      <c r="A8" s="43" t="s">
        <v>83</v>
      </c>
      <c r="B8" s="43">
        <v>2020</v>
      </c>
      <c r="C8" s="78">
        <f>VLOOKUP($A8,'2020_B4_Rohdaten_alle'!$A$28:$AB$145,11,FALSE)</f>
        <v>12737</v>
      </c>
      <c r="D8" s="78">
        <f>VLOOKUP($A8,'2020_B4_Rohdaten_Ausländer'!$A$28:$AB$145,11,FALSE)</f>
        <v>1286</v>
      </c>
      <c r="E8" s="103">
        <f t="shared" si="0"/>
        <v>11451</v>
      </c>
    </row>
    <row r="9" spans="1:5" ht="45">
      <c r="A9" s="43" t="s">
        <v>85</v>
      </c>
      <c r="B9" s="43">
        <v>2020</v>
      </c>
      <c r="C9" s="78">
        <f>VLOOKUP($A9,'2020_B4_Rohdaten_alle'!$A$28:$AB$145,11,FALSE)</f>
        <v>1067</v>
      </c>
      <c r="D9" s="78">
        <f>VLOOKUP($A9,'2020_B4_Rohdaten_Ausländer'!$A$28:$AB$145,11,FALSE)</f>
        <v>186</v>
      </c>
      <c r="E9" s="103">
        <f t="shared" si="0"/>
        <v>881</v>
      </c>
    </row>
    <row r="10" spans="1:5" ht="45">
      <c r="A10" s="43" t="s">
        <v>86</v>
      </c>
      <c r="B10" s="43">
        <v>2020</v>
      </c>
      <c r="C10" s="78">
        <f>VLOOKUP($A10,'2020_B4_Rohdaten_alle'!$A$28:$AB$145,11,FALSE)</f>
        <v>2404</v>
      </c>
      <c r="D10" s="78">
        <f>VLOOKUP($A10,'2020_B4_Rohdaten_Ausländer'!$A$28:$AB$145,11,FALSE)</f>
        <v>154</v>
      </c>
      <c r="E10" s="103">
        <f t="shared" si="0"/>
        <v>2250</v>
      </c>
    </row>
    <row r="11" spans="1:5" ht="60">
      <c r="A11" s="43" t="s">
        <v>87</v>
      </c>
      <c r="B11" s="43">
        <v>2020</v>
      </c>
      <c r="C11" s="78">
        <f>VLOOKUP($A11,'2020_B4_Rohdaten_alle'!$A$28:$AB$145,11,FALSE)</f>
        <v>1764</v>
      </c>
      <c r="D11" s="78">
        <f>VLOOKUP($A11,'2020_B4_Rohdaten_Ausländer'!$A$28:$AB$145,11,FALSE)</f>
        <v>69</v>
      </c>
      <c r="E11" s="103">
        <f t="shared" si="0"/>
        <v>1695</v>
      </c>
    </row>
    <row r="12" spans="1:5" ht="75">
      <c r="A12" s="43" t="s">
        <v>88</v>
      </c>
      <c r="B12" s="43">
        <v>2020</v>
      </c>
      <c r="C12" s="78">
        <f>VLOOKUP($A12,'2020_B4_Rohdaten_alle'!$A$28:$AB$145,11,FALSE)</f>
        <v>393</v>
      </c>
      <c r="D12" s="78">
        <f>VLOOKUP($A12,'2020_B4_Rohdaten_Ausländer'!$A$28:$AB$145,11,FALSE)</f>
        <v>19</v>
      </c>
      <c r="E12" s="103">
        <f t="shared" si="0"/>
        <v>374</v>
      </c>
    </row>
    <row r="13" spans="1:5" ht="45">
      <c r="A13" s="43" t="s">
        <v>90</v>
      </c>
      <c r="B13" s="43">
        <v>2020</v>
      </c>
      <c r="C13" s="78">
        <f>VLOOKUP($A13,'2020_B4_Rohdaten_alle'!$A$28:$AB$145,11,FALSE)</f>
        <v>351</v>
      </c>
      <c r="D13" s="78">
        <f>VLOOKUP($A13,'2020_B4_Rohdaten_Ausländer'!$A$28:$AB$145,11,FALSE)</f>
        <v>66</v>
      </c>
      <c r="E13" s="103">
        <f t="shared" si="0"/>
        <v>285</v>
      </c>
    </row>
    <row r="14" spans="1:5" ht="60">
      <c r="A14" s="43" t="s">
        <v>92</v>
      </c>
      <c r="B14" s="43">
        <v>2020</v>
      </c>
      <c r="C14" s="78">
        <f>VLOOKUP($A14,'2020_B4_Rohdaten_alle'!$A$28:$AB$145,11,FALSE)</f>
        <v>1035</v>
      </c>
      <c r="D14" s="78">
        <f>VLOOKUP($A14,'2020_B4_Rohdaten_Ausländer'!$A$28:$AB$145,11,FALSE)</f>
        <v>82</v>
      </c>
      <c r="E14" s="103">
        <f t="shared" si="0"/>
        <v>953</v>
      </c>
    </row>
    <row r="15" spans="1:5" ht="45">
      <c r="A15" s="80" t="s">
        <v>48</v>
      </c>
      <c r="B15" s="43"/>
      <c r="C15" s="78" t="s">
        <v>41</v>
      </c>
      <c r="D15" s="79" t="s">
        <v>41</v>
      </c>
      <c r="E15" s="103"/>
    </row>
    <row r="16" spans="1:5" ht="30">
      <c r="A16" s="43" t="s">
        <v>40</v>
      </c>
      <c r="B16" s="43">
        <v>2020</v>
      </c>
      <c r="C16" s="78">
        <f>VLOOKUP($A16,'2020_B4_Rohdaten_alle'!$A$52:$R$73,11,FALSE)</f>
        <v>14346</v>
      </c>
      <c r="D16" s="79">
        <f>VLOOKUP($A16,'2020_B4_Rohdaten_Ausländer'!$A$52:$R$73,11,FALSE)</f>
        <v>1466</v>
      </c>
      <c r="E16" s="103">
        <f t="shared" si="0"/>
        <v>12880</v>
      </c>
    </row>
    <row r="17" spans="1:5" ht="30">
      <c r="A17" s="43" t="s">
        <v>78</v>
      </c>
      <c r="B17" s="43">
        <v>2020</v>
      </c>
      <c r="C17" s="78">
        <f>VLOOKUP($A17,'2020_B4_Rohdaten_alle'!$A$52:$R$73,11,FALSE)</f>
        <v>1073</v>
      </c>
      <c r="D17" s="79">
        <f>VLOOKUP($A17,'2020_B4_Rohdaten_Ausländer'!$A$52:$R$73,11,FALSE)</f>
        <v>340</v>
      </c>
      <c r="E17" s="103">
        <f t="shared" si="0"/>
        <v>733</v>
      </c>
    </row>
    <row r="18" spans="1:5" ht="30">
      <c r="A18" s="43" t="s">
        <v>80</v>
      </c>
      <c r="B18" s="43">
        <v>2020</v>
      </c>
      <c r="C18" s="78">
        <f>VLOOKUP($A18,'2020_B4_Rohdaten_alle'!$A$52:$R$73,11,FALSE)</f>
        <v>2350</v>
      </c>
      <c r="D18" s="79">
        <f>VLOOKUP($A18,'2020_B4_Rohdaten_Ausländer'!$A$52:$R$73,11,FALSE)</f>
        <v>277</v>
      </c>
      <c r="E18" s="103">
        <f t="shared" si="0"/>
        <v>2073</v>
      </c>
    </row>
    <row r="19" spans="1:5" ht="30">
      <c r="A19" s="43" t="s">
        <v>81</v>
      </c>
      <c r="B19" s="43">
        <v>2020</v>
      </c>
      <c r="C19" s="78">
        <f>VLOOKUP($A19,'2020_B4_Rohdaten_alle'!$A$52:$R$73,11,FALSE)</f>
        <v>1569</v>
      </c>
      <c r="D19" s="79">
        <f>VLOOKUP($A19,'2020_B4_Rohdaten_Ausländer'!$A$52:$R$73,11,FALSE)</f>
        <v>208</v>
      </c>
      <c r="E19" s="103">
        <f t="shared" si="0"/>
        <v>1361</v>
      </c>
    </row>
    <row r="20" spans="1:5" ht="30">
      <c r="A20" s="43" t="s">
        <v>82</v>
      </c>
      <c r="B20" s="43">
        <v>2020</v>
      </c>
      <c r="C20" s="78">
        <f>VLOOKUP($A20,'2020_B4_Rohdaten_alle'!$A$52:$R$73,11,FALSE)</f>
        <v>5469</v>
      </c>
      <c r="D20" s="79">
        <f>VLOOKUP($A20,'2020_B4_Rohdaten_Ausländer'!$A$52:$R$73,11,FALSE)</f>
        <v>333</v>
      </c>
      <c r="E20" s="103">
        <f t="shared" si="0"/>
        <v>5136</v>
      </c>
    </row>
    <row r="21" spans="1:5" ht="45">
      <c r="A21" s="43" t="s">
        <v>83</v>
      </c>
      <c r="B21" s="43">
        <v>2020</v>
      </c>
      <c r="C21" s="78">
        <f>VLOOKUP($A21,'2020_B4_Rohdaten_alle'!$A$52:$R$73,11,FALSE)</f>
        <v>3145</v>
      </c>
      <c r="D21" s="79">
        <f>VLOOKUP($A21,'2020_B4_Rohdaten_Ausländer'!$A$52:$R$73,11,FALSE)</f>
        <v>263</v>
      </c>
      <c r="E21" s="103">
        <f t="shared" si="0"/>
        <v>2882</v>
      </c>
    </row>
    <row r="22" spans="1:5" ht="45">
      <c r="A22" s="43" t="s">
        <v>85</v>
      </c>
      <c r="B22" s="43">
        <v>2020</v>
      </c>
      <c r="C22" s="78">
        <f>VLOOKUP($A22,'2020_B4_Rohdaten_alle'!$A$52:$R$73,11,FALSE)</f>
        <v>105</v>
      </c>
      <c r="D22" s="79">
        <f>VLOOKUP($A22,'2020_B4_Rohdaten_Ausländer'!$A$52:$R$73,11,FALSE)</f>
        <v>6</v>
      </c>
      <c r="E22" s="103">
        <f t="shared" si="0"/>
        <v>99</v>
      </c>
    </row>
    <row r="23" spans="1:5" ht="45">
      <c r="A23" s="43" t="s">
        <v>86</v>
      </c>
      <c r="B23" s="43">
        <v>2020</v>
      </c>
      <c r="C23" s="78">
        <f>VLOOKUP($A23,'2020_B4_Rohdaten_alle'!$A$52:$R$73,11,FALSE)</f>
        <v>183</v>
      </c>
      <c r="D23" s="79">
        <f>VLOOKUP($A23,'2020_B4_Rohdaten_Ausländer'!$A$52:$R$73,11,FALSE)</f>
        <v>5</v>
      </c>
      <c r="E23" s="103">
        <f t="shared" si="0"/>
        <v>178</v>
      </c>
    </row>
    <row r="24" spans="1:5" ht="60">
      <c r="A24" s="43" t="s">
        <v>87</v>
      </c>
      <c r="B24" s="43">
        <v>2020</v>
      </c>
      <c r="C24" s="78">
        <f>VLOOKUP($A24,'2020_B4_Rohdaten_alle'!$A$52:$R$73,11,FALSE)</f>
        <v>78</v>
      </c>
      <c r="D24" s="79">
        <f>VLOOKUP($A24,'2020_B4_Rohdaten_Ausländer'!$A$52:$R$73,11,FALSE)</f>
        <v>3</v>
      </c>
      <c r="E24" s="103">
        <f t="shared" si="0"/>
        <v>75</v>
      </c>
    </row>
    <row r="25" spans="1:5" ht="75">
      <c r="A25" s="43" t="s">
        <v>88</v>
      </c>
      <c r="B25" s="43">
        <v>2020</v>
      </c>
      <c r="C25" s="78">
        <f>VLOOKUP($A25,'2020_B4_Rohdaten_alle'!$A$52:$R$73,11,FALSE)</f>
        <v>92</v>
      </c>
      <c r="D25" s="79">
        <f>VLOOKUP($A25,'2020_B4_Rohdaten_Ausländer'!$A$52:$R$73,11,FALSE)</f>
        <v>0</v>
      </c>
      <c r="E25" s="103">
        <f t="shared" si="0"/>
        <v>92</v>
      </c>
    </row>
    <row r="26" spans="1:5" ht="45">
      <c r="A26" s="43" t="s">
        <v>90</v>
      </c>
      <c r="B26" s="43">
        <v>2020</v>
      </c>
      <c r="C26" s="78">
        <f>VLOOKUP($A26,'2020_B4_Rohdaten_alle'!$A$52:$R$73,11,FALSE)</f>
        <v>109</v>
      </c>
      <c r="D26" s="79">
        <f>VLOOKUP($A26,'2020_B4_Rohdaten_Ausländer'!$A$52:$R$73,11,FALSE)</f>
        <v>17</v>
      </c>
      <c r="E26" s="103">
        <f t="shared" si="0"/>
        <v>92</v>
      </c>
    </row>
    <row r="27" spans="1:5" ht="60">
      <c r="A27" s="43" t="s">
        <v>92</v>
      </c>
      <c r="B27" s="43">
        <v>2020</v>
      </c>
      <c r="C27" s="78">
        <f>VLOOKUP($A27,'2020_B4_Rohdaten_alle'!$A$52:$R$73,11,FALSE)</f>
        <v>173</v>
      </c>
      <c r="D27" s="79">
        <f>VLOOKUP($A27,'2020_B4_Rohdaten_Ausländer'!$A$52:$R$73,11,FALSE)</f>
        <v>14</v>
      </c>
      <c r="E27" s="103">
        <f t="shared" si="0"/>
        <v>159</v>
      </c>
    </row>
    <row r="28" spans="1:5">
      <c r="A28" s="80" t="s">
        <v>49</v>
      </c>
      <c r="B28" s="43"/>
      <c r="C28" s="78" t="s">
        <v>41</v>
      </c>
      <c r="D28" s="79" t="s">
        <v>41</v>
      </c>
      <c r="E28" s="103"/>
    </row>
    <row r="29" spans="1:5" ht="30">
      <c r="A29" s="43" t="s">
        <v>40</v>
      </c>
      <c r="B29" s="43">
        <v>2020</v>
      </c>
      <c r="C29" s="78">
        <f>VLOOKUP($A29,'2020_B4_Rohdaten_alle'!$A$76:$R$97,11,FALSE)</f>
        <v>20005</v>
      </c>
      <c r="D29" s="79">
        <f>VLOOKUP($A29,'2020_B4_Rohdaten_Ausländer'!$A$76:$R$97,11,FALSE)</f>
        <v>2395</v>
      </c>
      <c r="E29" s="103">
        <f t="shared" si="0"/>
        <v>17610</v>
      </c>
    </row>
    <row r="30" spans="1:5" ht="30">
      <c r="A30" s="43" t="s">
        <v>78</v>
      </c>
      <c r="B30" s="43">
        <v>2020</v>
      </c>
      <c r="C30" s="78">
        <f>VLOOKUP($A30,'2020_B4_Rohdaten_alle'!$A$76:$R$97,11,FALSE)</f>
        <v>526</v>
      </c>
      <c r="D30" s="79">
        <f>VLOOKUP($A30,'2020_B4_Rohdaten_Ausländer'!$A$76:$R$97,11,FALSE)</f>
        <v>192</v>
      </c>
      <c r="E30" s="103">
        <f t="shared" si="0"/>
        <v>334</v>
      </c>
    </row>
    <row r="31" spans="1:5" ht="30">
      <c r="A31" s="43" t="s">
        <v>80</v>
      </c>
      <c r="B31" s="43">
        <v>2020</v>
      </c>
      <c r="C31" s="78">
        <f>VLOOKUP($A31,'2020_B4_Rohdaten_alle'!$A$76:$R$97,11,FALSE)</f>
        <v>1855</v>
      </c>
      <c r="D31" s="79">
        <f>VLOOKUP($A31,'2020_B4_Rohdaten_Ausländer'!$A$76:$R$97,11,FALSE)</f>
        <v>300</v>
      </c>
      <c r="E31" s="103">
        <f t="shared" si="0"/>
        <v>1555</v>
      </c>
    </row>
    <row r="32" spans="1:5" ht="30">
      <c r="A32" s="43" t="s">
        <v>81</v>
      </c>
      <c r="B32" s="43">
        <v>2020</v>
      </c>
      <c r="C32" s="78">
        <f>VLOOKUP($A32,'2020_B4_Rohdaten_alle'!$A$76:$R$97,11,FALSE)</f>
        <v>3089</v>
      </c>
      <c r="D32" s="79">
        <f>VLOOKUP($A32,'2020_B4_Rohdaten_Ausländer'!$A$76:$R$97,11,FALSE)</f>
        <v>589</v>
      </c>
      <c r="E32" s="103">
        <f t="shared" si="0"/>
        <v>2500</v>
      </c>
    </row>
    <row r="33" spans="1:5" ht="30">
      <c r="A33" s="43" t="s">
        <v>82</v>
      </c>
      <c r="B33" s="43">
        <v>2020</v>
      </c>
      <c r="C33" s="78">
        <f>VLOOKUP($A33,'2020_B4_Rohdaten_alle'!$A$76:$R$97,11,FALSE)</f>
        <v>7220</v>
      </c>
      <c r="D33" s="79">
        <f>VLOOKUP($A33,'2020_B4_Rohdaten_Ausländer'!$A$76:$R$97,11,FALSE)</f>
        <v>388</v>
      </c>
      <c r="E33" s="103">
        <f t="shared" si="0"/>
        <v>6832</v>
      </c>
    </row>
    <row r="34" spans="1:5" ht="45">
      <c r="A34" s="43" t="s">
        <v>83</v>
      </c>
      <c r="B34" s="43">
        <v>2020</v>
      </c>
      <c r="C34" s="78">
        <f>VLOOKUP($A34,'2020_B4_Rohdaten_alle'!$A$76:$R$97,11,FALSE)</f>
        <v>4498</v>
      </c>
      <c r="D34" s="79">
        <f>VLOOKUP($A34,'2020_B4_Rohdaten_Ausländer'!$A$76:$R$97,11,FALSE)</f>
        <v>636</v>
      </c>
      <c r="E34" s="103">
        <f t="shared" si="0"/>
        <v>3862</v>
      </c>
    </row>
    <row r="35" spans="1:5" ht="45">
      <c r="A35" s="43" t="s">
        <v>85</v>
      </c>
      <c r="B35" s="43">
        <v>2020</v>
      </c>
      <c r="C35" s="78">
        <f>VLOOKUP($A35,'2020_B4_Rohdaten_alle'!$A$76:$R$97,11,FALSE)</f>
        <v>426</v>
      </c>
      <c r="D35" s="79">
        <f>VLOOKUP($A35,'2020_B4_Rohdaten_Ausländer'!$A$76:$R$97,11,FALSE)</f>
        <v>111</v>
      </c>
      <c r="E35" s="103">
        <f t="shared" si="0"/>
        <v>315</v>
      </c>
    </row>
    <row r="36" spans="1:5" ht="45">
      <c r="A36" s="43" t="s">
        <v>86</v>
      </c>
      <c r="B36" s="43">
        <v>2020</v>
      </c>
      <c r="C36" s="78">
        <f>VLOOKUP($A36,'2020_B4_Rohdaten_alle'!$A$76:$R$97,11,FALSE)</f>
        <v>1136</v>
      </c>
      <c r="D36" s="79">
        <f>VLOOKUP($A36,'2020_B4_Rohdaten_Ausländer'!$A$76:$R$97,11,FALSE)</f>
        <v>91</v>
      </c>
      <c r="E36" s="103">
        <f t="shared" si="0"/>
        <v>1045</v>
      </c>
    </row>
    <row r="37" spans="1:5" ht="60">
      <c r="A37" s="43" t="s">
        <v>87</v>
      </c>
      <c r="B37" s="43">
        <v>2020</v>
      </c>
      <c r="C37" s="78">
        <f>VLOOKUP($A37,'2020_B4_Rohdaten_alle'!$A$76:$R$97,11,FALSE)</f>
        <v>823</v>
      </c>
      <c r="D37" s="79">
        <f>VLOOKUP($A37,'2020_B4_Rohdaten_Ausländer'!$A$76:$R$97,11,FALSE)</f>
        <v>35</v>
      </c>
      <c r="E37" s="103">
        <f t="shared" si="0"/>
        <v>788</v>
      </c>
    </row>
    <row r="38" spans="1:5" ht="75">
      <c r="A38" s="43" t="s">
        <v>88</v>
      </c>
      <c r="B38" s="43">
        <v>2020</v>
      </c>
      <c r="C38" s="78">
        <f>VLOOKUP($A38,'2020_B4_Rohdaten_alle'!$A$76:$R$97,11,FALSE)</f>
        <v>106</v>
      </c>
      <c r="D38" s="79">
        <f>VLOOKUP($A38,'2020_B4_Rohdaten_Ausländer'!$A$76:$R$97,11,FALSE)</f>
        <v>8</v>
      </c>
      <c r="E38" s="103">
        <f t="shared" si="0"/>
        <v>98</v>
      </c>
    </row>
    <row r="39" spans="1:5" ht="45">
      <c r="A39" s="43" t="s">
        <v>90</v>
      </c>
      <c r="B39" s="43">
        <v>2020</v>
      </c>
      <c r="C39" s="78">
        <f>VLOOKUP($A39,'2020_B4_Rohdaten_alle'!$A$76:$R$97,11,FALSE)</f>
        <v>23</v>
      </c>
      <c r="D39" s="79">
        <f>VLOOKUP($A39,'2020_B4_Rohdaten_Ausländer'!$A$76:$R$97,11,FALSE)</f>
        <v>7</v>
      </c>
      <c r="E39" s="103">
        <f t="shared" si="0"/>
        <v>16</v>
      </c>
    </row>
    <row r="40" spans="1:5" ht="60">
      <c r="A40" s="43" t="s">
        <v>92</v>
      </c>
      <c r="B40" s="43">
        <v>2020</v>
      </c>
      <c r="C40" s="78">
        <f>VLOOKUP($A40,'2020_B4_Rohdaten_alle'!$A$76:$R$97,11,FALSE)</f>
        <v>303</v>
      </c>
      <c r="D40" s="79">
        <f>VLOOKUP($A40,'2020_B4_Rohdaten_Ausländer'!$A$76:$R$97,11,FALSE)</f>
        <v>38</v>
      </c>
      <c r="E40" s="103">
        <f t="shared" si="0"/>
        <v>265</v>
      </c>
    </row>
    <row r="41" spans="1:5">
      <c r="A41" s="80" t="s">
        <v>50</v>
      </c>
      <c r="B41" s="43"/>
      <c r="C41" s="78" t="s">
        <v>41</v>
      </c>
      <c r="D41" s="79" t="s">
        <v>41</v>
      </c>
      <c r="E41" s="103"/>
    </row>
    <row r="42" spans="1:5" ht="30">
      <c r="A42" s="43" t="s">
        <v>40</v>
      </c>
      <c r="B42" s="43">
        <v>2020</v>
      </c>
      <c r="C42" s="78">
        <f>VLOOKUP($A42,'2020_B4_Rohdaten_alle'!$A$100:$R$121,11,FALSE)</f>
        <v>16949</v>
      </c>
      <c r="D42" s="79">
        <f>VLOOKUP($A42,'2020_B4_Rohdaten_Ausländer'!$A$100:$R$121,11,FALSE)</f>
        <v>1387</v>
      </c>
      <c r="E42" s="103">
        <f t="shared" si="0"/>
        <v>15562</v>
      </c>
    </row>
    <row r="43" spans="1:5" ht="30">
      <c r="A43" s="43" t="s">
        <v>78</v>
      </c>
      <c r="B43" s="43">
        <v>2020</v>
      </c>
      <c r="C43" s="78">
        <f>VLOOKUP($A43,'2020_B4_Rohdaten_alle'!$A$100:$R$121,11,FALSE)</f>
        <v>656</v>
      </c>
      <c r="D43" s="79">
        <f>VLOOKUP($A43,'2020_B4_Rohdaten_Ausländer'!$A$100:$R$121,11,FALSE)</f>
        <v>141</v>
      </c>
      <c r="E43" s="103">
        <f t="shared" si="0"/>
        <v>515</v>
      </c>
    </row>
    <row r="44" spans="1:5" ht="30">
      <c r="A44" s="43" t="s">
        <v>80</v>
      </c>
      <c r="B44" s="43">
        <v>2020</v>
      </c>
      <c r="C44" s="78">
        <f>VLOOKUP($A44,'2020_B4_Rohdaten_alle'!$A$100:$R$121,11,FALSE)</f>
        <v>1432</v>
      </c>
      <c r="D44" s="79">
        <f>VLOOKUP($A44,'2020_B4_Rohdaten_Ausländer'!$A$100:$R$121,11,FALSE)</f>
        <v>145</v>
      </c>
      <c r="E44" s="103">
        <f t="shared" si="0"/>
        <v>1287</v>
      </c>
    </row>
    <row r="45" spans="1:5" ht="30">
      <c r="A45" s="43" t="s">
        <v>81</v>
      </c>
      <c r="B45" s="43">
        <v>2020</v>
      </c>
      <c r="C45" s="78">
        <f>VLOOKUP($A45,'2020_B4_Rohdaten_alle'!$A$100:$R$121,11,FALSE)</f>
        <v>5225</v>
      </c>
      <c r="D45" s="79">
        <f>VLOOKUP($A45,'2020_B4_Rohdaten_Ausländer'!$A$100:$R$121,11,FALSE)</f>
        <v>619</v>
      </c>
      <c r="E45" s="103">
        <f t="shared" si="0"/>
        <v>4606</v>
      </c>
    </row>
    <row r="46" spans="1:5" ht="30">
      <c r="A46" s="43" t="s">
        <v>82</v>
      </c>
      <c r="B46" s="43">
        <v>2020</v>
      </c>
      <c r="C46" s="78">
        <f>VLOOKUP($A46,'2020_B4_Rohdaten_alle'!$A$100:$R$121,11,FALSE)</f>
        <v>5891</v>
      </c>
      <c r="D46" s="79">
        <f>VLOOKUP($A46,'2020_B4_Rohdaten_Ausländer'!$A$100:$R$121,11,FALSE)</f>
        <v>213</v>
      </c>
      <c r="E46" s="103">
        <f t="shared" si="0"/>
        <v>5678</v>
      </c>
    </row>
    <row r="47" spans="1:5" ht="45">
      <c r="A47" s="43" t="s">
        <v>83</v>
      </c>
      <c r="B47" s="43">
        <v>2020</v>
      </c>
      <c r="C47" s="78">
        <f>VLOOKUP($A47,'2020_B4_Rohdaten_alle'!$A$100:$R$121,11,FALSE)</f>
        <v>2048</v>
      </c>
      <c r="D47" s="79">
        <f>VLOOKUP($A47,'2020_B4_Rohdaten_Ausländer'!$A$100:$R$121,11,FALSE)</f>
        <v>167</v>
      </c>
      <c r="E47" s="103">
        <f t="shared" si="0"/>
        <v>1881</v>
      </c>
    </row>
    <row r="48" spans="1:5" ht="45">
      <c r="A48" s="43" t="s">
        <v>85</v>
      </c>
      <c r="B48" s="43">
        <v>2020</v>
      </c>
      <c r="C48" s="78">
        <f>VLOOKUP($A48,'2020_B4_Rohdaten_alle'!$A$100:$R$121,11,FALSE)</f>
        <v>283</v>
      </c>
      <c r="D48" s="79">
        <f>VLOOKUP($A48,'2020_B4_Rohdaten_Ausländer'!$A$100:$R$121,11,FALSE)</f>
        <v>40</v>
      </c>
      <c r="E48" s="103">
        <f t="shared" si="0"/>
        <v>243</v>
      </c>
    </row>
    <row r="49" spans="1:5" ht="45">
      <c r="A49" s="43" t="s">
        <v>86</v>
      </c>
      <c r="B49" s="43">
        <v>2020</v>
      </c>
      <c r="C49" s="78">
        <f>VLOOKUP($A49,'2020_B4_Rohdaten_alle'!$A$100:$R$121,11,FALSE)</f>
        <v>648</v>
      </c>
      <c r="D49" s="79">
        <f>VLOOKUP($A49,'2020_B4_Rohdaten_Ausländer'!$A$100:$R$121,11,FALSE)</f>
        <v>31</v>
      </c>
      <c r="E49" s="103">
        <f t="shared" si="0"/>
        <v>617</v>
      </c>
    </row>
    <row r="50" spans="1:5" ht="60">
      <c r="A50" s="43" t="s">
        <v>87</v>
      </c>
      <c r="B50" s="43">
        <v>2020</v>
      </c>
      <c r="C50" s="78">
        <f>VLOOKUP($A50,'2020_B4_Rohdaten_alle'!$A$100:$R$121,11,FALSE)</f>
        <v>534</v>
      </c>
      <c r="D50" s="79">
        <f>VLOOKUP($A50,'2020_B4_Rohdaten_Ausländer'!$A$100:$R$121,11,FALSE)</f>
        <v>22</v>
      </c>
      <c r="E50" s="103">
        <f t="shared" si="0"/>
        <v>512</v>
      </c>
    </row>
    <row r="51" spans="1:5" ht="75">
      <c r="A51" s="43" t="s">
        <v>88</v>
      </c>
      <c r="B51" s="43">
        <v>2020</v>
      </c>
      <c r="C51" s="78">
        <f>VLOOKUP($A51,'2020_B4_Rohdaten_alle'!$A$100:$R$121,11,FALSE)</f>
        <v>48</v>
      </c>
      <c r="D51" s="79">
        <f>VLOOKUP($A51,'2020_B4_Rohdaten_Ausländer'!$A$100:$R$121,11,FALSE)</f>
        <v>3</v>
      </c>
      <c r="E51" s="103">
        <f t="shared" si="0"/>
        <v>45</v>
      </c>
    </row>
    <row r="52" spans="1:5" ht="45">
      <c r="A52" s="43" t="s">
        <v>90</v>
      </c>
      <c r="B52" s="43">
        <v>2020</v>
      </c>
      <c r="C52" s="78">
        <f>VLOOKUP($A52,'2020_B4_Rohdaten_alle'!$A$100:$R$121,11,FALSE)</f>
        <v>39</v>
      </c>
      <c r="D52" s="79">
        <f>VLOOKUP($A52,'2020_B4_Rohdaten_Ausländer'!$A$100:$R$121,11,FALSE)</f>
        <v>4</v>
      </c>
      <c r="E52" s="103">
        <f t="shared" si="0"/>
        <v>35</v>
      </c>
    </row>
    <row r="53" spans="1:5" ht="60">
      <c r="A53" s="43" t="s">
        <v>92</v>
      </c>
      <c r="B53" s="43">
        <v>2020</v>
      </c>
      <c r="C53" s="78">
        <f>VLOOKUP($A53,'2020_B4_Rohdaten_alle'!$A$100:$R$121,11,FALSE)</f>
        <v>145</v>
      </c>
      <c r="D53" s="79">
        <f>VLOOKUP($A53,'2020_B4_Rohdaten_Ausländer'!$A$100:$R$121,11,FALSE)</f>
        <v>2</v>
      </c>
      <c r="E53" s="103">
        <f t="shared" si="0"/>
        <v>143</v>
      </c>
    </row>
    <row r="54" spans="1:5" ht="30">
      <c r="A54" s="80" t="s">
        <v>51</v>
      </c>
      <c r="B54" s="43"/>
      <c r="C54" s="78" t="s">
        <v>41</v>
      </c>
      <c r="D54" s="79" t="s">
        <v>41</v>
      </c>
      <c r="E54" s="103"/>
    </row>
    <row r="55" spans="1:5" ht="30">
      <c r="A55" s="43" t="s">
        <v>40</v>
      </c>
      <c r="B55" s="43">
        <v>2020</v>
      </c>
      <c r="C55" s="78">
        <f>VLOOKUP($A55,'2020_B4_Rohdaten_alle'!$A$124:$R$145,11,FALSE)</f>
        <v>24753</v>
      </c>
      <c r="D55" s="79">
        <f>VLOOKUP($A55,'2020_B4_Rohdaten_Ausländer'!$A$124:$R$145,11,FALSE)</f>
        <v>2647</v>
      </c>
      <c r="E55" s="103">
        <f t="shared" si="0"/>
        <v>22106</v>
      </c>
    </row>
    <row r="56" spans="1:5" ht="30">
      <c r="A56" s="43" t="s">
        <v>78</v>
      </c>
      <c r="B56" s="43">
        <v>2020</v>
      </c>
      <c r="C56" s="78">
        <f>VLOOKUP($A56,'2020_B4_Rohdaten_alle'!$A$124:$R$145,11,FALSE)</f>
        <v>1063</v>
      </c>
      <c r="D56" s="79">
        <f>VLOOKUP($A56,'2020_B4_Rohdaten_Ausländer'!$A$124:$R$145,11,FALSE)</f>
        <v>296</v>
      </c>
      <c r="E56" s="103">
        <f t="shared" si="0"/>
        <v>767</v>
      </c>
    </row>
    <row r="57" spans="1:5" ht="30">
      <c r="A57" s="43" t="s">
        <v>80</v>
      </c>
      <c r="B57" s="43">
        <v>2020</v>
      </c>
      <c r="C57" s="78">
        <f>VLOOKUP($A57,'2020_B4_Rohdaten_alle'!$A$124:$R$145,11,FALSE)</f>
        <v>2305</v>
      </c>
      <c r="D57" s="79">
        <f>VLOOKUP($A57,'2020_B4_Rohdaten_Ausländer'!$A$124:$R$145,11,FALSE)</f>
        <v>242</v>
      </c>
      <c r="E57" s="103">
        <f t="shared" si="0"/>
        <v>2063</v>
      </c>
    </row>
    <row r="58" spans="1:5" ht="30">
      <c r="A58" s="43" t="s">
        <v>81</v>
      </c>
      <c r="B58" s="43">
        <v>2020</v>
      </c>
      <c r="C58" s="78">
        <f>VLOOKUP($A58,'2020_B4_Rohdaten_alle'!$A$124:$R$145,11,FALSE)</f>
        <v>8476</v>
      </c>
      <c r="D58" s="79">
        <f>VLOOKUP($A58,'2020_B4_Rohdaten_Ausländer'!$A$124:$R$145,11,FALSE)</f>
        <v>1368</v>
      </c>
      <c r="E58" s="103">
        <f t="shared" si="0"/>
        <v>7108</v>
      </c>
    </row>
    <row r="59" spans="1:5" ht="30">
      <c r="A59" s="43" t="s">
        <v>82</v>
      </c>
      <c r="B59" s="43">
        <v>2020</v>
      </c>
      <c r="C59" s="78">
        <f>VLOOKUP($A59,'2020_B4_Rohdaten_alle'!$A$124:$R$145,11,FALSE)</f>
        <v>8103</v>
      </c>
      <c r="D59" s="79">
        <f>VLOOKUP($A59,'2020_B4_Rohdaten_Ausländer'!$A$124:$R$145,11,FALSE)</f>
        <v>382</v>
      </c>
      <c r="E59" s="103">
        <f t="shared" si="0"/>
        <v>7721</v>
      </c>
    </row>
    <row r="60" spans="1:5" ht="45">
      <c r="A60" s="43" t="s">
        <v>83</v>
      </c>
      <c r="B60" s="43">
        <v>2020</v>
      </c>
      <c r="C60" s="78">
        <f>VLOOKUP($A60,'2020_B4_Rohdaten_alle'!$A$124:$R$145,11,FALSE)</f>
        <v>3046</v>
      </c>
      <c r="D60" s="79">
        <f>VLOOKUP($A60,'2020_B4_Rohdaten_Ausländer'!$A$124:$R$145,11,FALSE)</f>
        <v>220</v>
      </c>
      <c r="E60" s="103">
        <f t="shared" si="0"/>
        <v>2826</v>
      </c>
    </row>
    <row r="61" spans="1:5" ht="45">
      <c r="A61" s="43" t="s">
        <v>85</v>
      </c>
      <c r="B61" s="43">
        <v>2020</v>
      </c>
      <c r="C61" s="78">
        <f>VLOOKUP($A61,'2020_B4_Rohdaten_alle'!$A$124:$R$145,11,FALSE)</f>
        <v>253</v>
      </c>
      <c r="D61" s="79">
        <f>VLOOKUP($A61,'2020_B4_Rohdaten_Ausländer'!$A$124:$R$145,11,FALSE)</f>
        <v>29</v>
      </c>
      <c r="E61" s="103">
        <f t="shared" si="0"/>
        <v>224</v>
      </c>
    </row>
    <row r="62" spans="1:5" ht="45">
      <c r="A62" s="43" t="s">
        <v>86</v>
      </c>
      <c r="B62" s="43">
        <v>2020</v>
      </c>
      <c r="C62" s="78">
        <f>VLOOKUP($A62,'2020_B4_Rohdaten_alle'!$A$124:$R$145,11,FALSE)</f>
        <v>437</v>
      </c>
      <c r="D62" s="79">
        <f>VLOOKUP($A62,'2020_B4_Rohdaten_Ausländer'!$A$124:$R$145,11,FALSE)</f>
        <v>27</v>
      </c>
      <c r="E62" s="103">
        <f t="shared" si="0"/>
        <v>410</v>
      </c>
    </row>
    <row r="63" spans="1:5" ht="60">
      <c r="A63" s="43" t="s">
        <v>87</v>
      </c>
      <c r="B63" s="43">
        <v>2020</v>
      </c>
      <c r="C63" s="78">
        <f>VLOOKUP($A63,'2020_B4_Rohdaten_alle'!$A$124:$R$145,11,FALSE)</f>
        <v>329</v>
      </c>
      <c r="D63" s="79">
        <f>VLOOKUP($A63,'2020_B4_Rohdaten_Ausländer'!$A$124:$R$145,11,FALSE)</f>
        <v>9</v>
      </c>
      <c r="E63" s="103">
        <f t="shared" si="0"/>
        <v>320</v>
      </c>
    </row>
    <row r="64" spans="1:5" ht="75">
      <c r="A64" s="43" t="s">
        <v>88</v>
      </c>
      <c r="B64" s="43">
        <v>2020</v>
      </c>
      <c r="C64" s="78">
        <f>VLOOKUP($A64,'2020_B4_Rohdaten_alle'!$A$124:$R$145,11,FALSE)</f>
        <v>147</v>
      </c>
      <c r="D64" s="79">
        <f>VLOOKUP($A64,'2020_B4_Rohdaten_Ausländer'!$A$124:$R$145,11,FALSE)</f>
        <v>8</v>
      </c>
      <c r="E64" s="103">
        <f t="shared" si="0"/>
        <v>139</v>
      </c>
    </row>
    <row r="65" spans="1:5" ht="45">
      <c r="A65" s="43" t="s">
        <v>90</v>
      </c>
      <c r="B65" s="43">
        <v>2020</v>
      </c>
      <c r="C65" s="78">
        <f>VLOOKUP($A65,'2020_B4_Rohdaten_alle'!$A$124:$R$145,11,FALSE)</f>
        <v>180</v>
      </c>
      <c r="D65" s="79">
        <f>VLOOKUP($A65,'2020_B4_Rohdaten_Ausländer'!$A$124:$R$145,11,FALSE)</f>
        <v>38</v>
      </c>
      <c r="E65" s="103">
        <f t="shared" si="0"/>
        <v>142</v>
      </c>
    </row>
    <row r="66" spans="1:5" ht="60">
      <c r="A66" s="43" t="s">
        <v>92</v>
      </c>
      <c r="B66" s="43">
        <v>2020</v>
      </c>
      <c r="C66" s="78">
        <f>VLOOKUP($A66,'2020_B4_Rohdaten_alle'!$A$124:$R$145,11,FALSE)</f>
        <v>414</v>
      </c>
      <c r="D66" s="79">
        <f>VLOOKUP($A66,'2020_B4_Rohdaten_Ausländer'!$A$124:$R$145,11,FALSE)</f>
        <v>28</v>
      </c>
      <c r="E66" s="103">
        <f t="shared" si="0"/>
        <v>386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R158"/>
  <sheetViews>
    <sheetView workbookViewId="0"/>
  </sheetViews>
  <sheetFormatPr baseColWidth="10" defaultRowHeight="15"/>
  <sheetData>
    <row r="1" spans="1:18">
      <c r="A1" s="53" t="s">
        <v>135</v>
      </c>
    </row>
    <row r="3" spans="1:18">
      <c r="A3" s="54" t="s">
        <v>126</v>
      </c>
    </row>
    <row r="4" spans="1:18">
      <c r="A4" s="54" t="s">
        <v>55</v>
      </c>
    </row>
    <row r="6" spans="1:18">
      <c r="A6" s="167" t="s">
        <v>56</v>
      </c>
    </row>
    <row r="7" spans="1:18">
      <c r="A7" s="166"/>
    </row>
    <row r="8" spans="1:18">
      <c r="A8" s="168" t="s">
        <v>42</v>
      </c>
    </row>
    <row r="9" spans="1:18">
      <c r="A9" s="168" t="s">
        <v>57</v>
      </c>
    </row>
    <row r="10" spans="1:18">
      <c r="A10" s="168" t="s">
        <v>128</v>
      </c>
    </row>
    <row r="11" spans="1:18">
      <c r="A11" s="166"/>
    </row>
    <row r="12" spans="1:18">
      <c r="A12" s="168" t="s">
        <v>58</v>
      </c>
    </row>
    <row r="13" spans="1:18">
      <c r="A13" s="168" t="s">
        <v>59</v>
      </c>
    </row>
    <row r="14" spans="1:18">
      <c r="A14" s="168" t="s">
        <v>127</v>
      </c>
    </row>
    <row r="15" spans="1:18" ht="15.75" thickBot="1"/>
    <row r="16" spans="1:18">
      <c r="A16" s="179" t="s">
        <v>34</v>
      </c>
      <c r="B16" s="180" t="s">
        <v>63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6"/>
    </row>
    <row r="17" spans="1:18">
      <c r="A17" s="183" t="s">
        <v>44</v>
      </c>
      <c r="B17" s="174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8"/>
    </row>
    <row r="18" spans="1:18" ht="15.75" thickBot="1">
      <c r="A18" s="183" t="s">
        <v>45</v>
      </c>
      <c r="B18" s="175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200"/>
    </row>
    <row r="19" spans="1:18">
      <c r="A19" s="183" t="s">
        <v>61</v>
      </c>
      <c r="B19" s="173"/>
      <c r="C19" s="172" t="s">
        <v>66</v>
      </c>
      <c r="D19" s="201"/>
      <c r="E19" s="201"/>
      <c r="F19" s="201"/>
      <c r="G19" s="201"/>
      <c r="H19" s="201"/>
      <c r="I19" s="201"/>
      <c r="J19" s="201"/>
      <c r="K19" s="201"/>
      <c r="L19" s="201"/>
      <c r="M19" s="202"/>
      <c r="N19" s="169" t="s">
        <v>68</v>
      </c>
      <c r="O19" s="172" t="s">
        <v>72</v>
      </c>
      <c r="P19" s="201"/>
      <c r="Q19" s="201"/>
      <c r="R19" s="202"/>
    </row>
    <row r="20" spans="1:18">
      <c r="A20" s="183" t="s">
        <v>46</v>
      </c>
      <c r="B20" s="170" t="s">
        <v>64</v>
      </c>
      <c r="C20" s="174" t="s">
        <v>67</v>
      </c>
      <c r="D20" s="197"/>
      <c r="E20" s="197"/>
      <c r="F20" s="197"/>
      <c r="G20" s="197"/>
      <c r="H20" s="197"/>
      <c r="I20" s="197"/>
      <c r="J20" s="197"/>
      <c r="K20" s="197"/>
      <c r="L20" s="197"/>
      <c r="M20" s="198"/>
      <c r="N20" s="170" t="s">
        <v>69</v>
      </c>
      <c r="O20" s="174" t="s">
        <v>67</v>
      </c>
      <c r="P20" s="197"/>
      <c r="Q20" s="197"/>
      <c r="R20" s="198"/>
    </row>
    <row r="21" spans="1:18" ht="15.75" thickBot="1">
      <c r="A21" s="183" t="s">
        <v>62</v>
      </c>
      <c r="B21" s="170" t="s">
        <v>65</v>
      </c>
      <c r="C21" s="175"/>
      <c r="D21" s="199"/>
      <c r="E21" s="199"/>
      <c r="F21" s="199"/>
      <c r="G21" s="199"/>
      <c r="H21" s="199"/>
      <c r="I21" s="199"/>
      <c r="J21" s="199"/>
      <c r="K21" s="199"/>
      <c r="L21" s="199"/>
      <c r="M21" s="200"/>
      <c r="N21" s="170" t="s">
        <v>70</v>
      </c>
      <c r="O21" s="175"/>
      <c r="P21" s="199"/>
      <c r="Q21" s="199"/>
      <c r="R21" s="200"/>
    </row>
    <row r="22" spans="1:18">
      <c r="A22" s="183"/>
      <c r="B22" s="170"/>
      <c r="C22" s="169">
        <v>0</v>
      </c>
      <c r="D22" s="169">
        <v>1</v>
      </c>
      <c r="E22" s="169">
        <v>2</v>
      </c>
      <c r="F22" s="169">
        <v>3</v>
      </c>
      <c r="G22" s="169">
        <v>4</v>
      </c>
      <c r="H22" s="169">
        <v>5</v>
      </c>
      <c r="I22" s="169">
        <v>6</v>
      </c>
      <c r="J22" s="169">
        <v>7</v>
      </c>
      <c r="K22" s="169">
        <v>8</v>
      </c>
      <c r="L22" s="169">
        <v>9</v>
      </c>
      <c r="M22" s="169">
        <v>10</v>
      </c>
      <c r="N22" s="170" t="s">
        <v>129</v>
      </c>
      <c r="O22" s="169" t="s">
        <v>73</v>
      </c>
      <c r="P22" s="169">
        <v>11</v>
      </c>
      <c r="Q22" s="169">
        <v>12</v>
      </c>
      <c r="R22" s="169">
        <v>13</v>
      </c>
    </row>
    <row r="23" spans="1:18" ht="15.75" thickBot="1">
      <c r="A23" s="183"/>
      <c r="B23" s="171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 t="s">
        <v>130</v>
      </c>
      <c r="P23" s="171"/>
      <c r="Q23" s="171"/>
      <c r="R23" s="171"/>
    </row>
    <row r="24" spans="1:18" ht="15.75" thickBot="1">
      <c r="A24" s="185"/>
      <c r="B24" s="176">
        <v>1</v>
      </c>
      <c r="C24" s="176">
        <v>2</v>
      </c>
      <c r="D24" s="176">
        <v>3</v>
      </c>
      <c r="E24" s="176">
        <v>4</v>
      </c>
      <c r="F24" s="176">
        <v>5</v>
      </c>
      <c r="G24" s="176">
        <v>6</v>
      </c>
      <c r="H24" s="176">
        <v>7</v>
      </c>
      <c r="I24" s="176">
        <v>8</v>
      </c>
      <c r="J24" s="176">
        <v>9</v>
      </c>
      <c r="K24" s="176">
        <v>10</v>
      </c>
      <c r="L24" s="176">
        <v>11</v>
      </c>
      <c r="M24" s="176">
        <v>12</v>
      </c>
      <c r="N24" s="176">
        <v>13</v>
      </c>
      <c r="O24" s="176">
        <v>14</v>
      </c>
      <c r="P24" s="176">
        <v>15</v>
      </c>
      <c r="Q24" s="176">
        <v>16</v>
      </c>
      <c r="R24" s="176">
        <v>17</v>
      </c>
    </row>
    <row r="25" spans="1:18" ht="15.75" thickBot="1">
      <c r="A25" s="186"/>
    </row>
    <row r="26" spans="1:18" ht="15.75" thickBot="1">
      <c r="A26" s="187" t="s">
        <v>47</v>
      </c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</row>
    <row r="27" spans="1:18" ht="15.75" thickBot="1">
      <c r="A27" s="188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</row>
    <row r="28" spans="1:18" ht="15.75" thickBot="1">
      <c r="A28" s="189" t="s">
        <v>40</v>
      </c>
      <c r="B28" s="177">
        <v>841261</v>
      </c>
      <c r="C28" s="177">
        <v>2560</v>
      </c>
      <c r="D28" s="177">
        <v>76669</v>
      </c>
      <c r="E28" s="177">
        <v>71506</v>
      </c>
      <c r="F28" s="177">
        <v>70362</v>
      </c>
      <c r="G28" s="177">
        <v>72064</v>
      </c>
      <c r="H28" s="177">
        <v>75763</v>
      </c>
      <c r="I28" s="177">
        <v>73286</v>
      </c>
      <c r="J28" s="177">
        <v>75406</v>
      </c>
      <c r="K28" s="177">
        <v>76053</v>
      </c>
      <c r="L28" s="177">
        <v>78419</v>
      </c>
      <c r="M28" s="177">
        <v>75371</v>
      </c>
      <c r="N28" s="177">
        <v>1386</v>
      </c>
      <c r="O28" s="177">
        <v>0</v>
      </c>
      <c r="P28" s="177">
        <v>33939</v>
      </c>
      <c r="Q28" s="177">
        <v>31253</v>
      </c>
      <c r="R28" s="177">
        <v>27224</v>
      </c>
    </row>
    <row r="29" spans="1:18" ht="15.75" thickBot="1">
      <c r="A29" s="188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</row>
    <row r="30" spans="1:18" ht="15.75" thickBot="1">
      <c r="A30" s="189" t="s">
        <v>75</v>
      </c>
      <c r="B30" s="177">
        <v>2477</v>
      </c>
      <c r="C30" s="177">
        <v>2477</v>
      </c>
      <c r="D30" s="177">
        <v>0</v>
      </c>
      <c r="E30" s="177">
        <v>0</v>
      </c>
      <c r="F30" s="177">
        <v>0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</row>
    <row r="31" spans="1:18" ht="15.75" thickBot="1">
      <c r="A31" s="190" t="s">
        <v>76</v>
      </c>
      <c r="B31" s="178">
        <v>279053</v>
      </c>
      <c r="C31" s="178">
        <v>0</v>
      </c>
      <c r="D31" s="178">
        <v>71780</v>
      </c>
      <c r="E31" s="178">
        <v>69036</v>
      </c>
      <c r="F31" s="178">
        <v>68162</v>
      </c>
      <c r="G31" s="178">
        <v>69949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126</v>
      </c>
      <c r="O31" s="178">
        <v>0</v>
      </c>
      <c r="P31" s="178">
        <v>0</v>
      </c>
      <c r="Q31" s="178">
        <v>0</v>
      </c>
      <c r="R31" s="178">
        <v>0</v>
      </c>
    </row>
    <row r="32" spans="1:18" ht="15.75" thickBot="1">
      <c r="A32" s="189" t="s">
        <v>77</v>
      </c>
      <c r="B32" s="177">
        <v>0</v>
      </c>
      <c r="C32" s="177">
        <v>0</v>
      </c>
      <c r="D32" s="177">
        <v>0</v>
      </c>
      <c r="E32" s="177">
        <v>0</v>
      </c>
      <c r="F32" s="177">
        <v>0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</row>
    <row r="33" spans="1:18" ht="15.75" thickBot="1">
      <c r="A33" s="190" t="s">
        <v>78</v>
      </c>
      <c r="B33" s="178">
        <v>16780</v>
      </c>
      <c r="C33" s="178">
        <v>0</v>
      </c>
      <c r="D33" s="178">
        <v>0</v>
      </c>
      <c r="E33" s="178">
        <v>0</v>
      </c>
      <c r="F33" s="178">
        <v>0</v>
      </c>
      <c r="G33" s="178">
        <v>0</v>
      </c>
      <c r="H33" s="178">
        <v>1805</v>
      </c>
      <c r="I33" s="178">
        <v>2143</v>
      </c>
      <c r="J33" s="178">
        <v>2702</v>
      </c>
      <c r="K33" s="178">
        <v>3318</v>
      </c>
      <c r="L33" s="178">
        <v>3785</v>
      </c>
      <c r="M33" s="178">
        <v>2861</v>
      </c>
      <c r="N33" s="178">
        <v>166</v>
      </c>
      <c r="O33" s="178">
        <v>0</v>
      </c>
      <c r="P33" s="178">
        <v>0</v>
      </c>
      <c r="Q33" s="178">
        <v>0</v>
      </c>
      <c r="R33" s="178">
        <v>0</v>
      </c>
    </row>
    <row r="34" spans="1:18" ht="15.75" thickBot="1">
      <c r="A34" s="189" t="s">
        <v>79</v>
      </c>
      <c r="B34" s="177">
        <v>0</v>
      </c>
      <c r="C34" s="177">
        <v>0</v>
      </c>
      <c r="D34" s="177">
        <v>0</v>
      </c>
      <c r="E34" s="177">
        <v>0</v>
      </c>
      <c r="F34" s="177">
        <v>0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</row>
    <row r="35" spans="1:18" ht="15.75" thickBot="1">
      <c r="A35" s="190" t="s">
        <v>80</v>
      </c>
      <c r="B35" s="178">
        <v>47848</v>
      </c>
      <c r="C35" s="178">
        <v>0</v>
      </c>
      <c r="D35" s="178">
        <v>0</v>
      </c>
      <c r="E35" s="178">
        <v>0</v>
      </c>
      <c r="F35" s="178">
        <v>0</v>
      </c>
      <c r="G35" s="178">
        <v>0</v>
      </c>
      <c r="H35" s="178">
        <v>7371</v>
      </c>
      <c r="I35" s="178">
        <v>7409</v>
      </c>
      <c r="J35" s="178">
        <v>7605</v>
      </c>
      <c r="K35" s="178">
        <v>7942</v>
      </c>
      <c r="L35" s="178">
        <v>8573</v>
      </c>
      <c r="M35" s="178">
        <v>8852</v>
      </c>
      <c r="N35" s="178">
        <v>96</v>
      </c>
      <c r="O35" s="178">
        <v>0</v>
      </c>
      <c r="P35" s="178">
        <v>0</v>
      </c>
      <c r="Q35" s="178">
        <v>0</v>
      </c>
      <c r="R35" s="178">
        <v>0</v>
      </c>
    </row>
    <row r="36" spans="1:18" ht="15.75" thickBot="1">
      <c r="A36" s="189" t="s">
        <v>81</v>
      </c>
      <c r="B36" s="177">
        <v>103598</v>
      </c>
      <c r="C36" s="177">
        <v>0</v>
      </c>
      <c r="D36" s="177">
        <v>0</v>
      </c>
      <c r="E36" s="177">
        <v>0</v>
      </c>
      <c r="F36" s="177">
        <v>0</v>
      </c>
      <c r="G36" s="177">
        <v>0</v>
      </c>
      <c r="H36" s="177">
        <v>15836</v>
      </c>
      <c r="I36" s="177">
        <v>16229</v>
      </c>
      <c r="J36" s="177">
        <v>17653</v>
      </c>
      <c r="K36" s="177">
        <v>18359</v>
      </c>
      <c r="L36" s="177">
        <v>18917</v>
      </c>
      <c r="M36" s="177">
        <v>16120</v>
      </c>
      <c r="N36" s="177">
        <v>484</v>
      </c>
      <c r="O36" s="177">
        <v>0</v>
      </c>
      <c r="P36" s="177">
        <v>0</v>
      </c>
      <c r="Q36" s="177">
        <v>0</v>
      </c>
      <c r="R36" s="177">
        <v>0</v>
      </c>
    </row>
    <row r="37" spans="1:18" ht="15.75" thickBot="1">
      <c r="A37" s="190" t="s">
        <v>82</v>
      </c>
      <c r="B37" s="178">
        <v>231730</v>
      </c>
      <c r="C37" s="178">
        <v>0</v>
      </c>
      <c r="D37" s="178">
        <v>0</v>
      </c>
      <c r="E37" s="178">
        <v>0</v>
      </c>
      <c r="F37" s="178">
        <v>0</v>
      </c>
      <c r="G37" s="178">
        <v>0</v>
      </c>
      <c r="H37" s="178">
        <v>27761</v>
      </c>
      <c r="I37" s="178">
        <v>28274</v>
      </c>
      <c r="J37" s="178">
        <v>27848</v>
      </c>
      <c r="K37" s="178">
        <v>26683</v>
      </c>
      <c r="L37" s="178">
        <v>26339</v>
      </c>
      <c r="M37" s="178">
        <v>26164</v>
      </c>
      <c r="N37" s="178">
        <v>249</v>
      </c>
      <c r="O37" s="178">
        <v>0</v>
      </c>
      <c r="P37" s="178">
        <v>24627</v>
      </c>
      <c r="Q37" s="178">
        <v>22956</v>
      </c>
      <c r="R37" s="178">
        <v>20829</v>
      </c>
    </row>
    <row r="38" spans="1:18" ht="15.75" thickBot="1">
      <c r="A38" s="189" t="s">
        <v>83</v>
      </c>
      <c r="B38" s="177">
        <v>94062</v>
      </c>
      <c r="C38" s="177">
        <v>29</v>
      </c>
      <c r="D38" s="177">
        <v>871</v>
      </c>
      <c r="E38" s="177">
        <v>837</v>
      </c>
      <c r="F38" s="177">
        <v>854</v>
      </c>
      <c r="G38" s="177">
        <v>882</v>
      </c>
      <c r="H38" s="177">
        <v>12105</v>
      </c>
      <c r="I38" s="177">
        <v>12208</v>
      </c>
      <c r="J38" s="177">
        <v>12332</v>
      </c>
      <c r="K38" s="177">
        <v>12737</v>
      </c>
      <c r="L38" s="177">
        <v>12785</v>
      </c>
      <c r="M38" s="177">
        <v>12207</v>
      </c>
      <c r="N38" s="177">
        <v>190</v>
      </c>
      <c r="O38" s="177">
        <v>0</v>
      </c>
      <c r="P38" s="177">
        <v>6284</v>
      </c>
      <c r="Q38" s="177">
        <v>5538</v>
      </c>
      <c r="R38" s="177">
        <v>4203</v>
      </c>
    </row>
    <row r="39" spans="1:18" ht="15.75" thickBot="1">
      <c r="A39" s="190" t="s">
        <v>84</v>
      </c>
      <c r="B39" s="178">
        <v>0</v>
      </c>
      <c r="C39" s="178">
        <v>0</v>
      </c>
      <c r="D39" s="178">
        <v>0</v>
      </c>
      <c r="E39" s="178">
        <v>0</v>
      </c>
      <c r="F39" s="178"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</row>
    <row r="40" spans="1:18" ht="15.75" thickBot="1">
      <c r="A40" s="189" t="s">
        <v>85</v>
      </c>
      <c r="B40" s="177">
        <v>5325</v>
      </c>
      <c r="C40" s="177">
        <v>0</v>
      </c>
      <c r="D40" s="177">
        <v>0</v>
      </c>
      <c r="E40" s="177">
        <v>0</v>
      </c>
      <c r="F40" s="177">
        <v>0</v>
      </c>
      <c r="G40" s="177">
        <v>0</v>
      </c>
      <c r="H40" s="177">
        <v>677</v>
      </c>
      <c r="I40" s="177">
        <v>736</v>
      </c>
      <c r="J40" s="177">
        <v>908</v>
      </c>
      <c r="K40" s="177">
        <v>1067</v>
      </c>
      <c r="L40" s="177">
        <v>1035</v>
      </c>
      <c r="M40" s="177">
        <v>827</v>
      </c>
      <c r="N40" s="177">
        <v>75</v>
      </c>
      <c r="O40" s="177">
        <v>0</v>
      </c>
      <c r="P40" s="177">
        <v>0</v>
      </c>
      <c r="Q40" s="177">
        <v>0</v>
      </c>
      <c r="R40" s="177">
        <v>0</v>
      </c>
    </row>
    <row r="41" spans="1:18" ht="15.75" thickBot="1">
      <c r="A41" s="190" t="s">
        <v>86</v>
      </c>
      <c r="B41" s="178">
        <v>14627</v>
      </c>
      <c r="C41" s="178">
        <v>0</v>
      </c>
      <c r="D41" s="178">
        <v>0</v>
      </c>
      <c r="E41" s="178">
        <v>0</v>
      </c>
      <c r="F41" s="178">
        <v>0</v>
      </c>
      <c r="G41" s="178">
        <v>0</v>
      </c>
      <c r="H41" s="178">
        <v>2306</v>
      </c>
      <c r="I41" s="178">
        <v>2299</v>
      </c>
      <c r="J41" s="178">
        <v>2385</v>
      </c>
      <c r="K41" s="178">
        <v>2404</v>
      </c>
      <c r="L41" s="178">
        <v>2564</v>
      </c>
      <c r="M41" s="178">
        <v>2669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</row>
    <row r="42" spans="1:18" ht="15.75" thickBot="1">
      <c r="A42" s="189" t="s">
        <v>87</v>
      </c>
      <c r="B42" s="177">
        <v>16487</v>
      </c>
      <c r="C42" s="177">
        <v>0</v>
      </c>
      <c r="D42" s="177">
        <v>0</v>
      </c>
      <c r="E42" s="177">
        <v>0</v>
      </c>
      <c r="F42" s="177">
        <v>0</v>
      </c>
      <c r="G42" s="177">
        <v>0</v>
      </c>
      <c r="H42" s="177">
        <v>1866</v>
      </c>
      <c r="I42" s="177">
        <v>1883</v>
      </c>
      <c r="J42" s="177">
        <v>1845</v>
      </c>
      <c r="K42" s="177">
        <v>1764</v>
      </c>
      <c r="L42" s="177">
        <v>1745</v>
      </c>
      <c r="M42" s="177">
        <v>1835</v>
      </c>
      <c r="N42" s="177">
        <v>0</v>
      </c>
      <c r="O42" s="177">
        <v>0</v>
      </c>
      <c r="P42" s="177">
        <v>2108</v>
      </c>
      <c r="Q42" s="177">
        <v>1869</v>
      </c>
      <c r="R42" s="177">
        <v>1572</v>
      </c>
    </row>
    <row r="43" spans="1:18" ht="15.75" thickBot="1">
      <c r="A43" s="190" t="s">
        <v>88</v>
      </c>
      <c r="B43" s="178">
        <v>3383</v>
      </c>
      <c r="C43" s="178">
        <v>0</v>
      </c>
      <c r="D43" s="178">
        <v>0</v>
      </c>
      <c r="E43" s="178">
        <v>0</v>
      </c>
      <c r="F43" s="178">
        <v>0</v>
      </c>
      <c r="G43" s="178">
        <v>0</v>
      </c>
      <c r="H43" s="178">
        <v>335</v>
      </c>
      <c r="I43" s="178">
        <v>395</v>
      </c>
      <c r="J43" s="178">
        <v>355</v>
      </c>
      <c r="K43" s="178">
        <v>393</v>
      </c>
      <c r="L43" s="178">
        <v>387</v>
      </c>
      <c r="M43" s="178">
        <v>372</v>
      </c>
      <c r="N43" s="178">
        <v>0</v>
      </c>
      <c r="O43" s="178">
        <v>0</v>
      </c>
      <c r="P43" s="178">
        <v>325</v>
      </c>
      <c r="Q43" s="178">
        <v>440</v>
      </c>
      <c r="R43" s="178">
        <v>381</v>
      </c>
    </row>
    <row r="44" spans="1:18" ht="15.75" thickBot="1">
      <c r="A44" s="189" t="s">
        <v>89</v>
      </c>
      <c r="B44" s="177">
        <v>54</v>
      </c>
      <c r="C44" s="177">
        <v>54</v>
      </c>
      <c r="D44" s="177">
        <v>0</v>
      </c>
      <c r="E44" s="177">
        <v>0</v>
      </c>
      <c r="F44" s="177">
        <v>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</row>
    <row r="45" spans="1:18" ht="15.75" thickBot="1">
      <c r="A45" s="190" t="s">
        <v>90</v>
      </c>
      <c r="B45" s="178">
        <v>4641</v>
      </c>
      <c r="C45" s="178">
        <v>0</v>
      </c>
      <c r="D45" s="178">
        <v>0</v>
      </c>
      <c r="E45" s="178">
        <v>0</v>
      </c>
      <c r="F45" s="178">
        <v>0</v>
      </c>
      <c r="G45" s="178">
        <v>0</v>
      </c>
      <c r="H45" s="178">
        <v>829</v>
      </c>
      <c r="I45" s="178">
        <v>743</v>
      </c>
      <c r="J45" s="178">
        <v>724</v>
      </c>
      <c r="K45" s="178">
        <v>351</v>
      </c>
      <c r="L45" s="178">
        <v>1288</v>
      </c>
      <c r="M45" s="178">
        <v>706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</row>
    <row r="46" spans="1:18" ht="15.75" thickBot="1">
      <c r="A46" s="189" t="s">
        <v>131</v>
      </c>
      <c r="B46" s="177">
        <v>8890</v>
      </c>
      <c r="C46" s="177">
        <v>0</v>
      </c>
      <c r="D46" s="177">
        <v>2523</v>
      </c>
      <c r="E46" s="177">
        <v>0</v>
      </c>
      <c r="F46" s="177">
        <v>0</v>
      </c>
      <c r="G46" s="177">
        <v>0</v>
      </c>
      <c r="H46" s="177">
        <v>4040</v>
      </c>
      <c r="I46" s="177">
        <v>0</v>
      </c>
      <c r="J46" s="177">
        <v>0</v>
      </c>
      <c r="K46" s="177">
        <v>0</v>
      </c>
      <c r="L46" s="177">
        <v>0</v>
      </c>
      <c r="M46" s="177">
        <v>2327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</row>
    <row r="47" spans="1:18" ht="15.75" thickBot="1">
      <c r="A47" s="190" t="s">
        <v>92</v>
      </c>
      <c r="B47" s="178">
        <v>11022</v>
      </c>
      <c r="C47" s="178">
        <v>0</v>
      </c>
      <c r="D47" s="178">
        <v>1495</v>
      </c>
      <c r="E47" s="178">
        <v>1633</v>
      </c>
      <c r="F47" s="178">
        <v>1346</v>
      </c>
      <c r="G47" s="178">
        <v>1233</v>
      </c>
      <c r="H47" s="178">
        <v>832</v>
      </c>
      <c r="I47" s="178">
        <v>967</v>
      </c>
      <c r="J47" s="178">
        <v>1049</v>
      </c>
      <c r="K47" s="178">
        <v>1035</v>
      </c>
      <c r="L47" s="178">
        <v>1001</v>
      </c>
      <c r="M47" s="178">
        <v>431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</row>
    <row r="48" spans="1:18" ht="15.75" thickBot="1">
      <c r="A48" s="189" t="s">
        <v>93</v>
      </c>
      <c r="B48" s="177">
        <v>617</v>
      </c>
      <c r="C48" s="177">
        <v>0</v>
      </c>
      <c r="D48" s="177">
        <v>0</v>
      </c>
      <c r="E48" s="177">
        <v>0</v>
      </c>
      <c r="F48" s="177">
        <v>0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283</v>
      </c>
      <c r="Q48" s="177">
        <v>222</v>
      </c>
      <c r="R48" s="177">
        <v>112</v>
      </c>
    </row>
    <row r="49" spans="1:18" ht="15.75" thickBot="1">
      <c r="A49" s="190" t="s">
        <v>94</v>
      </c>
      <c r="B49" s="178">
        <v>667</v>
      </c>
      <c r="C49" s="178">
        <v>0</v>
      </c>
      <c r="D49" s="178">
        <v>0</v>
      </c>
      <c r="E49" s="178">
        <v>0</v>
      </c>
      <c r="F49" s="178"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312</v>
      </c>
      <c r="Q49" s="178">
        <v>228</v>
      </c>
      <c r="R49" s="178">
        <v>127</v>
      </c>
    </row>
    <row r="50" spans="1:18" ht="15.75" thickBot="1">
      <c r="A50" s="187" t="s">
        <v>48</v>
      </c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</row>
    <row r="51" spans="1:18" ht="15.75" thickBot="1">
      <c r="A51" s="188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</row>
    <row r="52" spans="1:18" ht="15.75" thickBot="1">
      <c r="A52" s="189" t="s">
        <v>40</v>
      </c>
      <c r="B52" s="177">
        <v>160572</v>
      </c>
      <c r="C52" s="177">
        <v>519</v>
      </c>
      <c r="D52" s="177">
        <v>14507</v>
      </c>
      <c r="E52" s="177">
        <v>13280</v>
      </c>
      <c r="F52" s="177">
        <v>13167</v>
      </c>
      <c r="G52" s="177">
        <v>13347</v>
      </c>
      <c r="H52" s="177">
        <v>14241</v>
      </c>
      <c r="I52" s="177">
        <v>13800</v>
      </c>
      <c r="J52" s="177">
        <v>14375</v>
      </c>
      <c r="K52" s="177">
        <v>14346</v>
      </c>
      <c r="L52" s="177">
        <v>14689</v>
      </c>
      <c r="M52" s="177">
        <v>14396</v>
      </c>
      <c r="N52" s="177">
        <v>137</v>
      </c>
      <c r="O52" s="177">
        <v>0</v>
      </c>
      <c r="P52" s="177">
        <v>7244</v>
      </c>
      <c r="Q52" s="177">
        <v>6783</v>
      </c>
      <c r="R52" s="177">
        <v>5741</v>
      </c>
    </row>
    <row r="53" spans="1:18" ht="15.75" thickBot="1">
      <c r="A53" s="188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</row>
    <row r="54" spans="1:18" ht="15.75" thickBot="1">
      <c r="A54" s="189" t="s">
        <v>75</v>
      </c>
      <c r="B54" s="177">
        <v>490</v>
      </c>
      <c r="C54" s="177">
        <v>490</v>
      </c>
      <c r="D54" s="177">
        <v>0</v>
      </c>
      <c r="E54" s="177">
        <v>0</v>
      </c>
      <c r="F54" s="177">
        <v>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</row>
    <row r="55" spans="1:18" ht="15.75" thickBot="1">
      <c r="A55" s="190" t="s">
        <v>76</v>
      </c>
      <c r="B55" s="178">
        <v>52166</v>
      </c>
      <c r="C55" s="178">
        <v>0</v>
      </c>
      <c r="D55" s="178">
        <v>13652</v>
      </c>
      <c r="E55" s="178">
        <v>12838</v>
      </c>
      <c r="F55" s="178">
        <v>12728</v>
      </c>
      <c r="G55" s="178">
        <v>12920</v>
      </c>
      <c r="H55" s="178">
        <v>0</v>
      </c>
      <c r="I55" s="178">
        <v>0</v>
      </c>
      <c r="J55" s="178">
        <v>0</v>
      </c>
      <c r="K55" s="178">
        <v>0</v>
      </c>
      <c r="L55" s="178">
        <v>0</v>
      </c>
      <c r="M55" s="178">
        <v>0</v>
      </c>
      <c r="N55" s="178">
        <v>28</v>
      </c>
      <c r="O55" s="178">
        <v>0</v>
      </c>
      <c r="P55" s="178">
        <v>0</v>
      </c>
      <c r="Q55" s="178">
        <v>0</v>
      </c>
      <c r="R55" s="178">
        <v>0</v>
      </c>
    </row>
    <row r="56" spans="1:18" ht="15.75" thickBot="1">
      <c r="A56" s="189" t="s">
        <v>77</v>
      </c>
      <c r="B56" s="177">
        <v>0</v>
      </c>
      <c r="C56" s="177">
        <v>0</v>
      </c>
      <c r="D56" s="177">
        <v>0</v>
      </c>
      <c r="E56" s="177">
        <v>0</v>
      </c>
      <c r="F56" s="177">
        <v>0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</row>
    <row r="57" spans="1:18" ht="15.75" thickBot="1">
      <c r="A57" s="190" t="s">
        <v>78</v>
      </c>
      <c r="B57" s="178">
        <v>5471</v>
      </c>
      <c r="C57" s="178">
        <v>0</v>
      </c>
      <c r="D57" s="178">
        <v>0</v>
      </c>
      <c r="E57" s="178">
        <v>0</v>
      </c>
      <c r="F57" s="178">
        <v>0</v>
      </c>
      <c r="G57" s="178">
        <v>0</v>
      </c>
      <c r="H57" s="178">
        <v>529</v>
      </c>
      <c r="I57" s="178">
        <v>666</v>
      </c>
      <c r="J57" s="178">
        <v>900</v>
      </c>
      <c r="K57" s="178">
        <v>1073</v>
      </c>
      <c r="L57" s="178">
        <v>1237</v>
      </c>
      <c r="M57" s="178">
        <v>1001</v>
      </c>
      <c r="N57" s="178">
        <v>65</v>
      </c>
      <c r="O57" s="178">
        <v>0</v>
      </c>
      <c r="P57" s="178">
        <v>0</v>
      </c>
      <c r="Q57" s="178">
        <v>0</v>
      </c>
      <c r="R57" s="178">
        <v>0</v>
      </c>
    </row>
    <row r="58" spans="1:18" ht="15.75" thickBot="1">
      <c r="A58" s="189" t="s">
        <v>79</v>
      </c>
      <c r="B58" s="177">
        <v>0</v>
      </c>
      <c r="C58" s="177">
        <v>0</v>
      </c>
      <c r="D58" s="177">
        <v>0</v>
      </c>
      <c r="E58" s="177">
        <v>0</v>
      </c>
      <c r="F58" s="177">
        <v>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</row>
    <row r="59" spans="1:18" ht="15.75" thickBot="1">
      <c r="A59" s="190" t="s">
        <v>80</v>
      </c>
      <c r="B59" s="178">
        <v>13966</v>
      </c>
      <c r="C59" s="178">
        <v>0</v>
      </c>
      <c r="D59" s="178">
        <v>0</v>
      </c>
      <c r="E59" s="178">
        <v>0</v>
      </c>
      <c r="F59" s="178">
        <v>0</v>
      </c>
      <c r="G59" s="178">
        <v>0</v>
      </c>
      <c r="H59" s="178">
        <v>2201</v>
      </c>
      <c r="I59" s="178">
        <v>2216</v>
      </c>
      <c r="J59" s="178">
        <v>2325</v>
      </c>
      <c r="K59" s="178">
        <v>2350</v>
      </c>
      <c r="L59" s="178">
        <v>2424</v>
      </c>
      <c r="M59" s="178">
        <v>2450</v>
      </c>
      <c r="N59" s="178">
        <v>0</v>
      </c>
      <c r="O59" s="178">
        <v>0</v>
      </c>
      <c r="P59" s="178">
        <v>0</v>
      </c>
      <c r="Q59" s="178">
        <v>0</v>
      </c>
      <c r="R59" s="178">
        <v>0</v>
      </c>
    </row>
    <row r="60" spans="1:18" ht="15.75" thickBot="1">
      <c r="A60" s="189" t="s">
        <v>81</v>
      </c>
      <c r="B60" s="177">
        <v>9115</v>
      </c>
      <c r="C60" s="177">
        <v>0</v>
      </c>
      <c r="D60" s="177">
        <v>0</v>
      </c>
      <c r="E60" s="177">
        <v>0</v>
      </c>
      <c r="F60" s="177">
        <v>0</v>
      </c>
      <c r="G60" s="177">
        <v>0</v>
      </c>
      <c r="H60" s="177">
        <v>1452</v>
      </c>
      <c r="I60" s="177">
        <v>1421</v>
      </c>
      <c r="J60" s="177">
        <v>1541</v>
      </c>
      <c r="K60" s="177">
        <v>1569</v>
      </c>
      <c r="L60" s="177">
        <v>1635</v>
      </c>
      <c r="M60" s="177">
        <v>1482</v>
      </c>
      <c r="N60" s="177">
        <v>15</v>
      </c>
      <c r="O60" s="177">
        <v>0</v>
      </c>
      <c r="P60" s="177">
        <v>0</v>
      </c>
      <c r="Q60" s="177">
        <v>0</v>
      </c>
      <c r="R60" s="177">
        <v>0</v>
      </c>
    </row>
    <row r="61" spans="1:18" ht="15.75" thickBot="1">
      <c r="A61" s="190" t="s">
        <v>82</v>
      </c>
      <c r="B61" s="178">
        <v>47448</v>
      </c>
      <c r="C61" s="178">
        <v>0</v>
      </c>
      <c r="D61" s="178">
        <v>0</v>
      </c>
      <c r="E61" s="178">
        <v>0</v>
      </c>
      <c r="F61" s="178">
        <v>0</v>
      </c>
      <c r="G61" s="178">
        <v>0</v>
      </c>
      <c r="H61" s="178">
        <v>5617</v>
      </c>
      <c r="I61" s="178">
        <v>5747</v>
      </c>
      <c r="J61" s="178">
        <v>5726</v>
      </c>
      <c r="K61" s="178">
        <v>5469</v>
      </c>
      <c r="L61" s="178">
        <v>5307</v>
      </c>
      <c r="M61" s="178">
        <v>5295</v>
      </c>
      <c r="N61" s="178">
        <v>17</v>
      </c>
      <c r="O61" s="178">
        <v>0</v>
      </c>
      <c r="P61" s="178">
        <v>5117</v>
      </c>
      <c r="Q61" s="178">
        <v>4847</v>
      </c>
      <c r="R61" s="178">
        <v>4306</v>
      </c>
    </row>
    <row r="62" spans="1:18" ht="15.75" thickBot="1">
      <c r="A62" s="189" t="s">
        <v>83</v>
      </c>
      <c r="B62" s="177">
        <v>23504</v>
      </c>
      <c r="C62" s="177">
        <v>29</v>
      </c>
      <c r="D62" s="177">
        <v>138</v>
      </c>
      <c r="E62" s="177">
        <v>133</v>
      </c>
      <c r="F62" s="177">
        <v>144</v>
      </c>
      <c r="G62" s="177">
        <v>159</v>
      </c>
      <c r="H62" s="177">
        <v>2971</v>
      </c>
      <c r="I62" s="177">
        <v>3028</v>
      </c>
      <c r="J62" s="177">
        <v>3063</v>
      </c>
      <c r="K62" s="177">
        <v>3145</v>
      </c>
      <c r="L62" s="177">
        <v>3209</v>
      </c>
      <c r="M62" s="177">
        <v>3056</v>
      </c>
      <c r="N62" s="177">
        <v>12</v>
      </c>
      <c r="O62" s="177">
        <v>0</v>
      </c>
      <c r="P62" s="177">
        <v>1778</v>
      </c>
      <c r="Q62" s="177">
        <v>1528</v>
      </c>
      <c r="R62" s="177">
        <v>1111</v>
      </c>
    </row>
    <row r="63" spans="1:18" ht="15.75" thickBot="1">
      <c r="A63" s="190" t="s">
        <v>84</v>
      </c>
      <c r="B63" s="178">
        <v>0</v>
      </c>
      <c r="C63" s="178">
        <v>0</v>
      </c>
      <c r="D63" s="178">
        <v>0</v>
      </c>
      <c r="E63" s="178">
        <v>0</v>
      </c>
      <c r="F63" s="178">
        <v>0</v>
      </c>
      <c r="G63" s="178">
        <v>0</v>
      </c>
      <c r="H63" s="178">
        <v>0</v>
      </c>
      <c r="I63" s="178">
        <v>0</v>
      </c>
      <c r="J63" s="178">
        <v>0</v>
      </c>
      <c r="K63" s="178">
        <v>0</v>
      </c>
      <c r="L63" s="178">
        <v>0</v>
      </c>
      <c r="M63" s="178">
        <v>0</v>
      </c>
      <c r="N63" s="178">
        <v>0</v>
      </c>
      <c r="O63" s="178">
        <v>0</v>
      </c>
      <c r="P63" s="178">
        <v>0</v>
      </c>
      <c r="Q63" s="178">
        <v>0</v>
      </c>
      <c r="R63" s="178">
        <v>0</v>
      </c>
    </row>
    <row r="64" spans="1:18" ht="15.75" thickBot="1">
      <c r="A64" s="189" t="s">
        <v>85</v>
      </c>
      <c r="B64" s="177">
        <v>514</v>
      </c>
      <c r="C64" s="177">
        <v>0</v>
      </c>
      <c r="D64" s="177">
        <v>0</v>
      </c>
      <c r="E64" s="177">
        <v>0</v>
      </c>
      <c r="F64" s="177">
        <v>0</v>
      </c>
      <c r="G64" s="177">
        <v>0</v>
      </c>
      <c r="H64" s="177">
        <v>80</v>
      </c>
      <c r="I64" s="177">
        <v>102</v>
      </c>
      <c r="J64" s="177">
        <v>78</v>
      </c>
      <c r="K64" s="177">
        <v>105</v>
      </c>
      <c r="L64" s="177">
        <v>77</v>
      </c>
      <c r="M64" s="177">
        <v>72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</row>
    <row r="65" spans="1:18" ht="15.75" thickBot="1">
      <c r="A65" s="190" t="s">
        <v>86</v>
      </c>
      <c r="B65" s="178">
        <v>1132</v>
      </c>
      <c r="C65" s="178">
        <v>0</v>
      </c>
      <c r="D65" s="178">
        <v>0</v>
      </c>
      <c r="E65" s="178">
        <v>0</v>
      </c>
      <c r="F65" s="178">
        <v>0</v>
      </c>
      <c r="G65" s="178">
        <v>0</v>
      </c>
      <c r="H65" s="178">
        <v>158</v>
      </c>
      <c r="I65" s="178">
        <v>148</v>
      </c>
      <c r="J65" s="178">
        <v>219</v>
      </c>
      <c r="K65" s="178">
        <v>183</v>
      </c>
      <c r="L65" s="178">
        <v>219</v>
      </c>
      <c r="M65" s="178">
        <v>205</v>
      </c>
      <c r="N65" s="178">
        <v>0</v>
      </c>
      <c r="O65" s="178">
        <v>0</v>
      </c>
      <c r="P65" s="178">
        <v>0</v>
      </c>
      <c r="Q65" s="178">
        <v>0</v>
      </c>
      <c r="R65" s="178">
        <v>0</v>
      </c>
    </row>
    <row r="66" spans="1:18" ht="15.75" thickBot="1">
      <c r="A66" s="189" t="s">
        <v>87</v>
      </c>
      <c r="B66" s="177">
        <v>536</v>
      </c>
      <c r="C66" s="177">
        <v>0</v>
      </c>
      <c r="D66" s="177">
        <v>0</v>
      </c>
      <c r="E66" s="177">
        <v>0</v>
      </c>
      <c r="F66" s="177">
        <v>0</v>
      </c>
      <c r="G66" s="177">
        <v>0</v>
      </c>
      <c r="H66" s="177">
        <v>41</v>
      </c>
      <c r="I66" s="177">
        <v>56</v>
      </c>
      <c r="J66" s="177">
        <v>87</v>
      </c>
      <c r="K66" s="177">
        <v>78</v>
      </c>
      <c r="L66" s="177">
        <v>78</v>
      </c>
      <c r="M66" s="177">
        <v>78</v>
      </c>
      <c r="N66" s="177">
        <v>0</v>
      </c>
      <c r="O66" s="177">
        <v>0</v>
      </c>
      <c r="P66" s="177">
        <v>52</v>
      </c>
      <c r="Q66" s="177">
        <v>38</v>
      </c>
      <c r="R66" s="177">
        <v>28</v>
      </c>
    </row>
    <row r="67" spans="1:18" ht="15.75" thickBot="1">
      <c r="A67" s="190" t="s">
        <v>88</v>
      </c>
      <c r="B67" s="178">
        <v>974</v>
      </c>
      <c r="C67" s="178">
        <v>0</v>
      </c>
      <c r="D67" s="178">
        <v>0</v>
      </c>
      <c r="E67" s="178">
        <v>0</v>
      </c>
      <c r="F67" s="178">
        <v>0</v>
      </c>
      <c r="G67" s="178">
        <v>0</v>
      </c>
      <c r="H67" s="178">
        <v>73</v>
      </c>
      <c r="I67" s="178">
        <v>75</v>
      </c>
      <c r="J67" s="178">
        <v>68</v>
      </c>
      <c r="K67" s="178">
        <v>92</v>
      </c>
      <c r="L67" s="178">
        <v>84</v>
      </c>
      <c r="M67" s="178">
        <v>87</v>
      </c>
      <c r="N67" s="178">
        <v>0</v>
      </c>
      <c r="O67" s="178">
        <v>0</v>
      </c>
      <c r="P67" s="178">
        <v>90</v>
      </c>
      <c r="Q67" s="178">
        <v>207</v>
      </c>
      <c r="R67" s="178">
        <v>198</v>
      </c>
    </row>
    <row r="68" spans="1:18" ht="15.75" thickBot="1">
      <c r="A68" s="189" t="s">
        <v>89</v>
      </c>
      <c r="B68" s="177">
        <v>0</v>
      </c>
      <c r="C68" s="177">
        <v>0</v>
      </c>
      <c r="D68" s="177">
        <v>0</v>
      </c>
      <c r="E68" s="177">
        <v>0</v>
      </c>
      <c r="F68" s="177">
        <v>0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</row>
    <row r="69" spans="1:18" ht="15.75" thickBot="1">
      <c r="A69" s="190" t="s">
        <v>90</v>
      </c>
      <c r="B69" s="178">
        <v>1089</v>
      </c>
      <c r="C69" s="178">
        <v>0</v>
      </c>
      <c r="D69" s="178">
        <v>0</v>
      </c>
      <c r="E69" s="178">
        <v>0</v>
      </c>
      <c r="F69" s="178">
        <v>0</v>
      </c>
      <c r="G69" s="178">
        <v>0</v>
      </c>
      <c r="H69" s="178">
        <v>228</v>
      </c>
      <c r="I69" s="178">
        <v>179</v>
      </c>
      <c r="J69" s="178">
        <v>176</v>
      </c>
      <c r="K69" s="178">
        <v>109</v>
      </c>
      <c r="L69" s="178">
        <v>254</v>
      </c>
      <c r="M69" s="178">
        <v>143</v>
      </c>
      <c r="N69" s="178">
        <v>0</v>
      </c>
      <c r="O69" s="178">
        <v>0</v>
      </c>
      <c r="P69" s="178">
        <v>0</v>
      </c>
      <c r="Q69" s="178">
        <v>0</v>
      </c>
      <c r="R69" s="178">
        <v>0</v>
      </c>
    </row>
    <row r="70" spans="1:18" ht="15.75" thickBot="1">
      <c r="A70" s="189" t="s">
        <v>131</v>
      </c>
      <c r="B70" s="177">
        <v>1683</v>
      </c>
      <c r="C70" s="177">
        <v>0</v>
      </c>
      <c r="D70" s="177">
        <v>474</v>
      </c>
      <c r="E70" s="177">
        <v>0</v>
      </c>
      <c r="F70" s="177">
        <v>0</v>
      </c>
      <c r="G70" s="177">
        <v>0</v>
      </c>
      <c r="H70" s="177">
        <v>751</v>
      </c>
      <c r="I70" s="177">
        <v>0</v>
      </c>
      <c r="J70" s="177">
        <v>0</v>
      </c>
      <c r="K70" s="177">
        <v>0</v>
      </c>
      <c r="L70" s="177">
        <v>0</v>
      </c>
      <c r="M70" s="177">
        <v>458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</row>
    <row r="71" spans="1:18" ht="15.75" thickBot="1">
      <c r="A71" s="190" t="s">
        <v>92</v>
      </c>
      <c r="B71" s="178">
        <v>2016</v>
      </c>
      <c r="C71" s="178">
        <v>0</v>
      </c>
      <c r="D71" s="178">
        <v>243</v>
      </c>
      <c r="E71" s="178">
        <v>309</v>
      </c>
      <c r="F71" s="178">
        <v>295</v>
      </c>
      <c r="G71" s="178">
        <v>268</v>
      </c>
      <c r="H71" s="178">
        <v>140</v>
      </c>
      <c r="I71" s="178">
        <v>162</v>
      </c>
      <c r="J71" s="178">
        <v>192</v>
      </c>
      <c r="K71" s="178">
        <v>173</v>
      </c>
      <c r="L71" s="178">
        <v>165</v>
      </c>
      <c r="M71" s="178">
        <v>69</v>
      </c>
      <c r="N71" s="178">
        <v>0</v>
      </c>
      <c r="O71" s="178">
        <v>0</v>
      </c>
      <c r="P71" s="178">
        <v>0</v>
      </c>
      <c r="Q71" s="178">
        <v>0</v>
      </c>
      <c r="R71" s="178">
        <v>0</v>
      </c>
    </row>
    <row r="72" spans="1:18" ht="15.75" thickBot="1">
      <c r="A72" s="189" t="s">
        <v>93</v>
      </c>
      <c r="B72" s="177">
        <v>195</v>
      </c>
      <c r="C72" s="177">
        <v>0</v>
      </c>
      <c r="D72" s="177">
        <v>0</v>
      </c>
      <c r="E72" s="177">
        <v>0</v>
      </c>
      <c r="F72" s="177">
        <v>0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93</v>
      </c>
      <c r="Q72" s="177">
        <v>65</v>
      </c>
      <c r="R72" s="177">
        <v>37</v>
      </c>
    </row>
    <row r="73" spans="1:18" ht="15.75" thickBot="1">
      <c r="A73" s="190" t="s">
        <v>94</v>
      </c>
      <c r="B73" s="178">
        <v>273</v>
      </c>
      <c r="C73" s="178">
        <v>0</v>
      </c>
      <c r="D73" s="178">
        <v>0</v>
      </c>
      <c r="E73" s="178">
        <v>0</v>
      </c>
      <c r="F73" s="178">
        <v>0</v>
      </c>
      <c r="G73" s="178">
        <v>0</v>
      </c>
      <c r="H73" s="178">
        <v>0</v>
      </c>
      <c r="I73" s="178">
        <v>0</v>
      </c>
      <c r="J73" s="178">
        <v>0</v>
      </c>
      <c r="K73" s="178">
        <v>0</v>
      </c>
      <c r="L73" s="178">
        <v>0</v>
      </c>
      <c r="M73" s="178">
        <v>0</v>
      </c>
      <c r="N73" s="178">
        <v>0</v>
      </c>
      <c r="O73" s="178">
        <v>0</v>
      </c>
      <c r="P73" s="178">
        <v>114</v>
      </c>
      <c r="Q73" s="178">
        <v>98</v>
      </c>
      <c r="R73" s="178">
        <v>61</v>
      </c>
    </row>
    <row r="74" spans="1:18" ht="15.75" thickBot="1">
      <c r="A74" s="187" t="s">
        <v>49</v>
      </c>
      <c r="B74" s="203"/>
      <c r="C74" s="203"/>
      <c r="D74" s="203"/>
      <c r="E74" s="203"/>
      <c r="F74" s="203"/>
      <c r="G74" s="203"/>
      <c r="H74" s="203"/>
      <c r="I74" s="203"/>
      <c r="J74" s="203"/>
      <c r="K74" s="203"/>
      <c r="L74" s="203"/>
      <c r="M74" s="203"/>
      <c r="N74" s="203"/>
      <c r="O74" s="203"/>
      <c r="P74" s="203"/>
      <c r="Q74" s="203"/>
      <c r="R74" s="203"/>
    </row>
    <row r="75" spans="1:18" ht="15.75" thickBot="1">
      <c r="A75" s="188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</row>
    <row r="76" spans="1:18" ht="15.75" thickBot="1">
      <c r="A76" s="189" t="s">
        <v>40</v>
      </c>
      <c r="B76" s="177">
        <v>225028</v>
      </c>
      <c r="C76" s="177">
        <v>583</v>
      </c>
      <c r="D76" s="177">
        <v>20554</v>
      </c>
      <c r="E76" s="177">
        <v>18793</v>
      </c>
      <c r="F76" s="177">
        <v>18470</v>
      </c>
      <c r="G76" s="177">
        <v>19515</v>
      </c>
      <c r="H76" s="177">
        <v>19782</v>
      </c>
      <c r="I76" s="177">
        <v>19238</v>
      </c>
      <c r="J76" s="177">
        <v>19863</v>
      </c>
      <c r="K76" s="177">
        <v>20005</v>
      </c>
      <c r="L76" s="177">
        <v>20544</v>
      </c>
      <c r="M76" s="177">
        <v>20260</v>
      </c>
      <c r="N76" s="177">
        <v>588</v>
      </c>
      <c r="O76" s="177">
        <v>0</v>
      </c>
      <c r="P76" s="177">
        <v>10128</v>
      </c>
      <c r="Q76" s="177">
        <v>9010</v>
      </c>
      <c r="R76" s="177">
        <v>7695</v>
      </c>
    </row>
    <row r="77" spans="1:18" ht="15.75" thickBot="1">
      <c r="A77" s="188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</row>
    <row r="78" spans="1:18" ht="15.75" thickBot="1">
      <c r="A78" s="189" t="s">
        <v>75</v>
      </c>
      <c r="B78" s="177">
        <v>529</v>
      </c>
      <c r="C78" s="177">
        <v>529</v>
      </c>
      <c r="D78" s="177">
        <v>0</v>
      </c>
      <c r="E78" s="177">
        <v>0</v>
      </c>
      <c r="F78" s="177"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</row>
    <row r="79" spans="1:18" ht="15.75" thickBot="1">
      <c r="A79" s="190" t="s">
        <v>76</v>
      </c>
      <c r="B79" s="178">
        <v>73941</v>
      </c>
      <c r="C79" s="178">
        <v>0</v>
      </c>
      <c r="D79" s="178">
        <v>19237</v>
      </c>
      <c r="E79" s="178">
        <v>18049</v>
      </c>
      <c r="F79" s="178">
        <v>17795</v>
      </c>
      <c r="G79" s="178">
        <v>18844</v>
      </c>
      <c r="H79" s="178">
        <v>0</v>
      </c>
      <c r="I79" s="178">
        <v>0</v>
      </c>
      <c r="J79" s="178">
        <v>0</v>
      </c>
      <c r="K79" s="178">
        <v>0</v>
      </c>
      <c r="L79" s="178">
        <v>0</v>
      </c>
      <c r="M79" s="178">
        <v>0</v>
      </c>
      <c r="N79" s="178">
        <v>16</v>
      </c>
      <c r="O79" s="178">
        <v>0</v>
      </c>
      <c r="P79" s="178">
        <v>0</v>
      </c>
      <c r="Q79" s="178">
        <v>0</v>
      </c>
      <c r="R79" s="178">
        <v>0</v>
      </c>
    </row>
    <row r="80" spans="1:18" ht="15.75" thickBot="1">
      <c r="A80" s="189" t="s">
        <v>77</v>
      </c>
      <c r="B80" s="177">
        <v>0</v>
      </c>
      <c r="C80" s="177">
        <v>0</v>
      </c>
      <c r="D80" s="177">
        <v>0</v>
      </c>
      <c r="E80" s="177">
        <v>0</v>
      </c>
      <c r="F80" s="177"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</row>
    <row r="81" spans="1:18" ht="15.75" thickBot="1">
      <c r="A81" s="190" t="s">
        <v>78</v>
      </c>
      <c r="B81" s="178">
        <v>2675</v>
      </c>
      <c r="C81" s="178">
        <v>0</v>
      </c>
      <c r="D81" s="178">
        <v>0</v>
      </c>
      <c r="E81" s="178">
        <v>0</v>
      </c>
      <c r="F81" s="178">
        <v>0</v>
      </c>
      <c r="G81" s="178">
        <v>0</v>
      </c>
      <c r="H81" s="178">
        <v>218</v>
      </c>
      <c r="I81" s="178">
        <v>266</v>
      </c>
      <c r="J81" s="178">
        <v>313</v>
      </c>
      <c r="K81" s="178">
        <v>526</v>
      </c>
      <c r="L81" s="178">
        <v>677</v>
      </c>
      <c r="M81" s="178">
        <v>623</v>
      </c>
      <c r="N81" s="178">
        <v>52</v>
      </c>
      <c r="O81" s="178">
        <v>0</v>
      </c>
      <c r="P81" s="178">
        <v>0</v>
      </c>
      <c r="Q81" s="178">
        <v>0</v>
      </c>
      <c r="R81" s="178">
        <v>0</v>
      </c>
    </row>
    <row r="82" spans="1:18" ht="15.75" thickBot="1">
      <c r="A82" s="189" t="s">
        <v>79</v>
      </c>
      <c r="B82" s="177">
        <v>0</v>
      </c>
      <c r="C82" s="177">
        <v>0</v>
      </c>
      <c r="D82" s="177">
        <v>0</v>
      </c>
      <c r="E82" s="177">
        <v>0</v>
      </c>
      <c r="F82" s="177"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</row>
    <row r="83" spans="1:18" ht="15.75" thickBot="1">
      <c r="A83" s="190" t="s">
        <v>80</v>
      </c>
      <c r="B83" s="178">
        <v>10979</v>
      </c>
      <c r="C83" s="178">
        <v>0</v>
      </c>
      <c r="D83" s="178">
        <v>0</v>
      </c>
      <c r="E83" s="178">
        <v>0</v>
      </c>
      <c r="F83" s="178">
        <v>0</v>
      </c>
      <c r="G83" s="178">
        <v>0</v>
      </c>
      <c r="H83" s="178">
        <v>1472</v>
      </c>
      <c r="I83" s="178">
        <v>1592</v>
      </c>
      <c r="J83" s="178">
        <v>1651</v>
      </c>
      <c r="K83" s="178">
        <v>1855</v>
      </c>
      <c r="L83" s="178">
        <v>2075</v>
      </c>
      <c r="M83" s="178">
        <v>2309</v>
      </c>
      <c r="N83" s="178">
        <v>25</v>
      </c>
      <c r="O83" s="178">
        <v>0</v>
      </c>
      <c r="P83" s="178">
        <v>0</v>
      </c>
      <c r="Q83" s="178">
        <v>0</v>
      </c>
      <c r="R83" s="178">
        <v>0</v>
      </c>
    </row>
    <row r="84" spans="1:18" ht="15.75" thickBot="1">
      <c r="A84" s="189" t="s">
        <v>81</v>
      </c>
      <c r="B84" s="177">
        <v>17102</v>
      </c>
      <c r="C84" s="177">
        <v>0</v>
      </c>
      <c r="D84" s="177">
        <v>0</v>
      </c>
      <c r="E84" s="177">
        <v>0</v>
      </c>
      <c r="F84" s="177">
        <v>0</v>
      </c>
      <c r="G84" s="177">
        <v>0</v>
      </c>
      <c r="H84" s="177">
        <v>2620</v>
      </c>
      <c r="I84" s="177">
        <v>2718</v>
      </c>
      <c r="J84" s="177">
        <v>3032</v>
      </c>
      <c r="K84" s="177">
        <v>3089</v>
      </c>
      <c r="L84" s="177">
        <v>2984</v>
      </c>
      <c r="M84" s="177">
        <v>2554</v>
      </c>
      <c r="N84" s="177">
        <v>105</v>
      </c>
      <c r="O84" s="177">
        <v>0</v>
      </c>
      <c r="P84" s="177">
        <v>0</v>
      </c>
      <c r="Q84" s="177">
        <v>0</v>
      </c>
      <c r="R84" s="177">
        <v>0</v>
      </c>
    </row>
    <row r="85" spans="1:18" ht="15.75" thickBot="1">
      <c r="A85" s="190" t="s">
        <v>82</v>
      </c>
      <c r="B85" s="178">
        <v>62710</v>
      </c>
      <c r="C85" s="178">
        <v>0</v>
      </c>
      <c r="D85" s="178">
        <v>0</v>
      </c>
      <c r="E85" s="178">
        <v>0</v>
      </c>
      <c r="F85" s="178">
        <v>0</v>
      </c>
      <c r="G85" s="178">
        <v>0</v>
      </c>
      <c r="H85" s="178">
        <v>7496</v>
      </c>
      <c r="I85" s="178">
        <v>7574</v>
      </c>
      <c r="J85" s="178">
        <v>7747</v>
      </c>
      <c r="K85" s="178">
        <v>7220</v>
      </c>
      <c r="L85" s="178">
        <v>7225</v>
      </c>
      <c r="M85" s="178">
        <v>6976</v>
      </c>
      <c r="N85" s="178">
        <v>183</v>
      </c>
      <c r="O85" s="178">
        <v>0</v>
      </c>
      <c r="P85" s="178">
        <v>6753</v>
      </c>
      <c r="Q85" s="178">
        <v>6032</v>
      </c>
      <c r="R85" s="178">
        <v>5504</v>
      </c>
    </row>
    <row r="86" spans="1:18" ht="15.75" thickBot="1">
      <c r="A86" s="189" t="s">
        <v>83</v>
      </c>
      <c r="B86" s="177">
        <v>33081</v>
      </c>
      <c r="C86" s="177">
        <v>0</v>
      </c>
      <c r="D86" s="177">
        <v>293</v>
      </c>
      <c r="E86" s="177">
        <v>298</v>
      </c>
      <c r="F86" s="177">
        <v>294</v>
      </c>
      <c r="G86" s="177">
        <v>302</v>
      </c>
      <c r="H86" s="177">
        <v>4357</v>
      </c>
      <c r="I86" s="177">
        <v>4376</v>
      </c>
      <c r="J86" s="177">
        <v>4304</v>
      </c>
      <c r="K86" s="177">
        <v>4498</v>
      </c>
      <c r="L86" s="177">
        <v>4589</v>
      </c>
      <c r="M86" s="177">
        <v>4348</v>
      </c>
      <c r="N86" s="177">
        <v>146</v>
      </c>
      <c r="O86" s="177">
        <v>0</v>
      </c>
      <c r="P86" s="177">
        <v>2113</v>
      </c>
      <c r="Q86" s="177">
        <v>1825</v>
      </c>
      <c r="R86" s="177">
        <v>1338</v>
      </c>
    </row>
    <row r="87" spans="1:18" ht="15.75" thickBot="1">
      <c r="A87" s="190" t="s">
        <v>84</v>
      </c>
      <c r="B87" s="178">
        <v>0</v>
      </c>
      <c r="C87" s="178">
        <v>0</v>
      </c>
      <c r="D87" s="178">
        <v>0</v>
      </c>
      <c r="E87" s="178">
        <v>0</v>
      </c>
      <c r="F87" s="178">
        <v>0</v>
      </c>
      <c r="G87" s="178">
        <v>0</v>
      </c>
      <c r="H87" s="178">
        <v>0</v>
      </c>
      <c r="I87" s="178">
        <v>0</v>
      </c>
      <c r="J87" s="178">
        <v>0</v>
      </c>
      <c r="K87" s="178">
        <v>0</v>
      </c>
      <c r="L87" s="178">
        <v>0</v>
      </c>
      <c r="M87" s="178">
        <v>0</v>
      </c>
      <c r="N87" s="178">
        <v>0</v>
      </c>
      <c r="O87" s="178">
        <v>0</v>
      </c>
      <c r="P87" s="178">
        <v>0</v>
      </c>
      <c r="Q87" s="178">
        <v>0</v>
      </c>
      <c r="R87" s="178">
        <v>0</v>
      </c>
    </row>
    <row r="88" spans="1:18" ht="15.75" thickBot="1">
      <c r="A88" s="189" t="s">
        <v>85</v>
      </c>
      <c r="B88" s="177">
        <v>2228</v>
      </c>
      <c r="C88" s="177">
        <v>0</v>
      </c>
      <c r="D88" s="177">
        <v>0</v>
      </c>
      <c r="E88" s="177">
        <v>0</v>
      </c>
      <c r="F88" s="177">
        <v>0</v>
      </c>
      <c r="G88" s="177">
        <v>0</v>
      </c>
      <c r="H88" s="177">
        <v>253</v>
      </c>
      <c r="I88" s="177">
        <v>283</v>
      </c>
      <c r="J88" s="177">
        <v>393</v>
      </c>
      <c r="K88" s="177">
        <v>426</v>
      </c>
      <c r="L88" s="177">
        <v>430</v>
      </c>
      <c r="M88" s="177">
        <v>382</v>
      </c>
      <c r="N88" s="177">
        <v>61</v>
      </c>
      <c r="O88" s="177">
        <v>0</v>
      </c>
      <c r="P88" s="177">
        <v>0</v>
      </c>
      <c r="Q88" s="177">
        <v>0</v>
      </c>
      <c r="R88" s="177">
        <v>0</v>
      </c>
    </row>
    <row r="89" spans="1:18" ht="15.75" thickBot="1">
      <c r="A89" s="190" t="s">
        <v>86</v>
      </c>
      <c r="B89" s="178">
        <v>6562</v>
      </c>
      <c r="C89" s="178">
        <v>0</v>
      </c>
      <c r="D89" s="178">
        <v>0</v>
      </c>
      <c r="E89" s="178">
        <v>0</v>
      </c>
      <c r="F89" s="178">
        <v>0</v>
      </c>
      <c r="G89" s="178">
        <v>0</v>
      </c>
      <c r="H89" s="178">
        <v>1045</v>
      </c>
      <c r="I89" s="178">
        <v>1033</v>
      </c>
      <c r="J89" s="178">
        <v>1043</v>
      </c>
      <c r="K89" s="178">
        <v>1136</v>
      </c>
      <c r="L89" s="178">
        <v>1123</v>
      </c>
      <c r="M89" s="178">
        <v>1182</v>
      </c>
      <c r="N89" s="178">
        <v>0</v>
      </c>
      <c r="O89" s="178">
        <v>0</v>
      </c>
      <c r="P89" s="178">
        <v>0</v>
      </c>
      <c r="Q89" s="178">
        <v>0</v>
      </c>
      <c r="R89" s="178">
        <v>0</v>
      </c>
    </row>
    <row r="90" spans="1:18" ht="15.75" thickBot="1">
      <c r="A90" s="189" t="s">
        <v>87</v>
      </c>
      <c r="B90" s="177">
        <v>7930</v>
      </c>
      <c r="C90" s="177">
        <v>0</v>
      </c>
      <c r="D90" s="177">
        <v>0</v>
      </c>
      <c r="E90" s="177">
        <v>0</v>
      </c>
      <c r="F90" s="177">
        <v>0</v>
      </c>
      <c r="G90" s="177">
        <v>0</v>
      </c>
      <c r="H90" s="177">
        <v>912</v>
      </c>
      <c r="I90" s="177">
        <v>914</v>
      </c>
      <c r="J90" s="177">
        <v>908</v>
      </c>
      <c r="K90" s="177">
        <v>823</v>
      </c>
      <c r="L90" s="177">
        <v>815</v>
      </c>
      <c r="M90" s="177">
        <v>852</v>
      </c>
      <c r="N90" s="177">
        <v>0</v>
      </c>
      <c r="O90" s="177">
        <v>0</v>
      </c>
      <c r="P90" s="177">
        <v>1019</v>
      </c>
      <c r="Q90" s="177">
        <v>953</v>
      </c>
      <c r="R90" s="177">
        <v>734</v>
      </c>
    </row>
    <row r="91" spans="1:18" ht="15.75" thickBot="1">
      <c r="A91" s="190" t="s">
        <v>88</v>
      </c>
      <c r="B91" s="178">
        <v>869</v>
      </c>
      <c r="C91" s="178">
        <v>0</v>
      </c>
      <c r="D91" s="178">
        <v>0</v>
      </c>
      <c r="E91" s="178">
        <v>0</v>
      </c>
      <c r="F91" s="178">
        <v>0</v>
      </c>
      <c r="G91" s="178">
        <v>0</v>
      </c>
      <c r="H91" s="178">
        <v>81</v>
      </c>
      <c r="I91" s="178">
        <v>123</v>
      </c>
      <c r="J91" s="178">
        <v>109</v>
      </c>
      <c r="K91" s="178">
        <v>106</v>
      </c>
      <c r="L91" s="178">
        <v>109</v>
      </c>
      <c r="M91" s="178">
        <v>85</v>
      </c>
      <c r="N91" s="178">
        <v>0</v>
      </c>
      <c r="O91" s="178">
        <v>0</v>
      </c>
      <c r="P91" s="178">
        <v>93</v>
      </c>
      <c r="Q91" s="178">
        <v>93</v>
      </c>
      <c r="R91" s="178">
        <v>70</v>
      </c>
    </row>
    <row r="92" spans="1:18" ht="15.75" thickBot="1">
      <c r="A92" s="189" t="s">
        <v>89</v>
      </c>
      <c r="B92" s="177">
        <v>54</v>
      </c>
      <c r="C92" s="177">
        <v>54</v>
      </c>
      <c r="D92" s="177">
        <v>0</v>
      </c>
      <c r="E92" s="177">
        <v>0</v>
      </c>
      <c r="F92" s="177"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</row>
    <row r="93" spans="1:18" ht="15.75" thickBot="1">
      <c r="A93" s="190" t="s">
        <v>90</v>
      </c>
      <c r="B93" s="178">
        <v>652</v>
      </c>
      <c r="C93" s="178">
        <v>0</v>
      </c>
      <c r="D93" s="178">
        <v>0</v>
      </c>
      <c r="E93" s="178">
        <v>0</v>
      </c>
      <c r="F93" s="178">
        <v>0</v>
      </c>
      <c r="G93" s="178">
        <v>0</v>
      </c>
      <c r="H93" s="178">
        <v>96</v>
      </c>
      <c r="I93" s="178">
        <v>60</v>
      </c>
      <c r="J93" s="178">
        <v>74</v>
      </c>
      <c r="K93" s="178">
        <v>23</v>
      </c>
      <c r="L93" s="178">
        <v>216</v>
      </c>
      <c r="M93" s="178">
        <v>183</v>
      </c>
      <c r="N93" s="178">
        <v>0</v>
      </c>
      <c r="O93" s="178">
        <v>0</v>
      </c>
      <c r="P93" s="178">
        <v>0</v>
      </c>
      <c r="Q93" s="178">
        <v>0</v>
      </c>
      <c r="R93" s="178">
        <v>0</v>
      </c>
    </row>
    <row r="94" spans="1:18" ht="15.75" thickBot="1">
      <c r="A94" s="189" t="s">
        <v>131</v>
      </c>
      <c r="B94" s="177">
        <v>2174</v>
      </c>
      <c r="C94" s="177">
        <v>0</v>
      </c>
      <c r="D94" s="177">
        <v>607</v>
      </c>
      <c r="E94" s="177">
        <v>0</v>
      </c>
      <c r="F94" s="177">
        <v>0</v>
      </c>
      <c r="G94" s="177">
        <v>0</v>
      </c>
      <c r="H94" s="177">
        <v>980</v>
      </c>
      <c r="I94" s="177">
        <v>0</v>
      </c>
      <c r="J94" s="177">
        <v>0</v>
      </c>
      <c r="K94" s="177">
        <v>0</v>
      </c>
      <c r="L94" s="177">
        <v>0</v>
      </c>
      <c r="M94" s="177">
        <v>587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</row>
    <row r="95" spans="1:18" ht="15.75" thickBot="1">
      <c r="A95" s="190" t="s">
        <v>92</v>
      </c>
      <c r="B95" s="178">
        <v>3236</v>
      </c>
      <c r="C95" s="178">
        <v>0</v>
      </c>
      <c r="D95" s="178">
        <v>417</v>
      </c>
      <c r="E95" s="178">
        <v>446</v>
      </c>
      <c r="F95" s="178">
        <v>381</v>
      </c>
      <c r="G95" s="178">
        <v>369</v>
      </c>
      <c r="H95" s="178">
        <v>252</v>
      </c>
      <c r="I95" s="178">
        <v>299</v>
      </c>
      <c r="J95" s="178">
        <v>289</v>
      </c>
      <c r="K95" s="178">
        <v>303</v>
      </c>
      <c r="L95" s="178">
        <v>301</v>
      </c>
      <c r="M95" s="178">
        <v>179</v>
      </c>
      <c r="N95" s="178">
        <v>0</v>
      </c>
      <c r="O95" s="178">
        <v>0</v>
      </c>
      <c r="P95" s="178">
        <v>0</v>
      </c>
      <c r="Q95" s="178">
        <v>0</v>
      </c>
      <c r="R95" s="178">
        <v>0</v>
      </c>
    </row>
    <row r="96" spans="1:18" ht="15.75" thickBot="1">
      <c r="A96" s="189" t="s">
        <v>93</v>
      </c>
      <c r="B96" s="177">
        <v>122</v>
      </c>
      <c r="C96" s="177">
        <v>0</v>
      </c>
      <c r="D96" s="177">
        <v>0</v>
      </c>
      <c r="E96" s="177">
        <v>0</v>
      </c>
      <c r="F96" s="177"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59</v>
      </c>
      <c r="Q96" s="177">
        <v>42</v>
      </c>
      <c r="R96" s="177">
        <v>21</v>
      </c>
    </row>
    <row r="97" spans="1:18" ht="15.75" thickBot="1">
      <c r="A97" s="190" t="s">
        <v>94</v>
      </c>
      <c r="B97" s="178">
        <v>184</v>
      </c>
      <c r="C97" s="178">
        <v>0</v>
      </c>
      <c r="D97" s="178">
        <v>0</v>
      </c>
      <c r="E97" s="178">
        <v>0</v>
      </c>
      <c r="F97" s="178">
        <v>0</v>
      </c>
      <c r="G97" s="178">
        <v>0</v>
      </c>
      <c r="H97" s="178">
        <v>0</v>
      </c>
      <c r="I97" s="178">
        <v>0</v>
      </c>
      <c r="J97" s="178">
        <v>0</v>
      </c>
      <c r="K97" s="178">
        <v>0</v>
      </c>
      <c r="L97" s="178">
        <v>0</v>
      </c>
      <c r="M97" s="178">
        <v>0</v>
      </c>
      <c r="N97" s="178">
        <v>0</v>
      </c>
      <c r="O97" s="178">
        <v>0</v>
      </c>
      <c r="P97" s="178">
        <v>91</v>
      </c>
      <c r="Q97" s="178">
        <v>65</v>
      </c>
      <c r="R97" s="178">
        <v>28</v>
      </c>
    </row>
    <row r="98" spans="1:18" ht="15.75" thickBot="1">
      <c r="A98" s="187" t="s">
        <v>50</v>
      </c>
      <c r="B98" s="203"/>
      <c r="C98" s="203"/>
      <c r="D98" s="203"/>
      <c r="E98" s="203"/>
      <c r="F98" s="203"/>
      <c r="G98" s="203"/>
      <c r="H98" s="203"/>
      <c r="I98" s="203"/>
      <c r="J98" s="203"/>
      <c r="K98" s="203"/>
      <c r="L98" s="203"/>
      <c r="M98" s="203"/>
      <c r="N98" s="203"/>
      <c r="O98" s="203"/>
      <c r="P98" s="203"/>
      <c r="Q98" s="203"/>
      <c r="R98" s="203"/>
    </row>
    <row r="99" spans="1:18" ht="15.75" thickBot="1">
      <c r="A99" s="188"/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</row>
    <row r="100" spans="1:18" ht="15.75" thickBot="1">
      <c r="A100" s="189" t="s">
        <v>40</v>
      </c>
      <c r="B100" s="177">
        <v>185018</v>
      </c>
      <c r="C100" s="177">
        <v>582</v>
      </c>
      <c r="D100" s="177">
        <v>16732</v>
      </c>
      <c r="E100" s="177">
        <v>15855</v>
      </c>
      <c r="F100" s="177">
        <v>15652</v>
      </c>
      <c r="G100" s="177">
        <v>15769</v>
      </c>
      <c r="H100" s="177">
        <v>16803</v>
      </c>
      <c r="I100" s="177">
        <v>16387</v>
      </c>
      <c r="J100" s="177">
        <v>16535</v>
      </c>
      <c r="K100" s="177">
        <v>16949</v>
      </c>
      <c r="L100" s="177">
        <v>17423</v>
      </c>
      <c r="M100" s="177">
        <v>16368</v>
      </c>
      <c r="N100" s="177">
        <v>224</v>
      </c>
      <c r="O100" s="177">
        <v>0</v>
      </c>
      <c r="P100" s="177">
        <v>7229</v>
      </c>
      <c r="Q100" s="177">
        <v>6620</v>
      </c>
      <c r="R100" s="177">
        <v>5890</v>
      </c>
    </row>
    <row r="101" spans="1:18" ht="15.75" thickBot="1">
      <c r="A101" s="188"/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</row>
    <row r="102" spans="1:18" ht="15.75" thickBot="1">
      <c r="A102" s="189" t="s">
        <v>75</v>
      </c>
      <c r="B102" s="177">
        <v>582</v>
      </c>
      <c r="C102" s="177">
        <v>582</v>
      </c>
      <c r="D102" s="177">
        <v>0</v>
      </c>
      <c r="E102" s="177">
        <v>0</v>
      </c>
      <c r="F102" s="177"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</row>
    <row r="103" spans="1:18" ht="15.75" thickBot="1">
      <c r="A103" s="190" t="s">
        <v>76</v>
      </c>
      <c r="B103" s="178">
        <v>61822</v>
      </c>
      <c r="C103" s="178">
        <v>0</v>
      </c>
      <c r="D103" s="178">
        <v>15734</v>
      </c>
      <c r="E103" s="178">
        <v>15386</v>
      </c>
      <c r="F103" s="178">
        <v>15258</v>
      </c>
      <c r="G103" s="178">
        <v>15380</v>
      </c>
      <c r="H103" s="178">
        <v>0</v>
      </c>
      <c r="I103" s="178">
        <v>0</v>
      </c>
      <c r="J103" s="178">
        <v>0</v>
      </c>
      <c r="K103" s="178">
        <v>0</v>
      </c>
      <c r="L103" s="178">
        <v>0</v>
      </c>
      <c r="M103" s="178">
        <v>0</v>
      </c>
      <c r="N103" s="178">
        <v>64</v>
      </c>
      <c r="O103" s="178">
        <v>0</v>
      </c>
      <c r="P103" s="178">
        <v>0</v>
      </c>
      <c r="Q103" s="178">
        <v>0</v>
      </c>
      <c r="R103" s="178">
        <v>0</v>
      </c>
    </row>
    <row r="104" spans="1:18" ht="15.75" thickBot="1">
      <c r="A104" s="189" t="s">
        <v>77</v>
      </c>
      <c r="B104" s="177">
        <v>0</v>
      </c>
      <c r="C104" s="177">
        <v>0</v>
      </c>
      <c r="D104" s="177">
        <v>0</v>
      </c>
      <c r="E104" s="177">
        <v>0</v>
      </c>
      <c r="F104" s="177"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</row>
    <row r="105" spans="1:18" ht="15.75" thickBot="1">
      <c r="A105" s="190" t="s">
        <v>78</v>
      </c>
      <c r="B105" s="178">
        <v>3136</v>
      </c>
      <c r="C105" s="178">
        <v>0</v>
      </c>
      <c r="D105" s="178">
        <v>0</v>
      </c>
      <c r="E105" s="178">
        <v>0</v>
      </c>
      <c r="F105" s="178">
        <v>0</v>
      </c>
      <c r="G105" s="178">
        <v>0</v>
      </c>
      <c r="H105" s="178">
        <v>358</v>
      </c>
      <c r="I105" s="178">
        <v>419</v>
      </c>
      <c r="J105" s="178">
        <v>536</v>
      </c>
      <c r="K105" s="178">
        <v>656</v>
      </c>
      <c r="L105" s="178">
        <v>719</v>
      </c>
      <c r="M105" s="178">
        <v>436</v>
      </c>
      <c r="N105" s="178">
        <v>12</v>
      </c>
      <c r="O105" s="178">
        <v>0</v>
      </c>
      <c r="P105" s="178">
        <v>0</v>
      </c>
      <c r="Q105" s="178">
        <v>0</v>
      </c>
      <c r="R105" s="178">
        <v>0</v>
      </c>
    </row>
    <row r="106" spans="1:18" ht="15.75" thickBot="1">
      <c r="A106" s="189" t="s">
        <v>79</v>
      </c>
      <c r="B106" s="177">
        <v>0</v>
      </c>
      <c r="C106" s="177">
        <v>0</v>
      </c>
      <c r="D106" s="177">
        <v>0</v>
      </c>
      <c r="E106" s="177">
        <v>0</v>
      </c>
      <c r="F106" s="177">
        <v>0</v>
      </c>
      <c r="G106" s="177">
        <v>0</v>
      </c>
      <c r="H106" s="177">
        <v>0</v>
      </c>
      <c r="I106" s="177">
        <v>0</v>
      </c>
      <c r="J106" s="177">
        <v>0</v>
      </c>
      <c r="K106" s="177">
        <v>0</v>
      </c>
      <c r="L106" s="177">
        <v>0</v>
      </c>
      <c r="M106" s="177">
        <v>0</v>
      </c>
      <c r="N106" s="177">
        <v>0</v>
      </c>
      <c r="O106" s="177">
        <v>0</v>
      </c>
      <c r="P106" s="177">
        <v>0</v>
      </c>
      <c r="Q106" s="177">
        <v>0</v>
      </c>
      <c r="R106" s="177">
        <v>0</v>
      </c>
    </row>
    <row r="107" spans="1:18" ht="15.75" thickBot="1">
      <c r="A107" s="190" t="s">
        <v>80</v>
      </c>
      <c r="B107" s="178">
        <v>8040</v>
      </c>
      <c r="C107" s="178">
        <v>0</v>
      </c>
      <c r="D107" s="178">
        <v>0</v>
      </c>
      <c r="E107" s="178">
        <v>0</v>
      </c>
      <c r="F107" s="178">
        <v>0</v>
      </c>
      <c r="G107" s="178">
        <v>0</v>
      </c>
      <c r="H107" s="178">
        <v>1213</v>
      </c>
      <c r="I107" s="178">
        <v>1274</v>
      </c>
      <c r="J107" s="178">
        <v>1162</v>
      </c>
      <c r="K107" s="178">
        <v>1432</v>
      </c>
      <c r="L107" s="178">
        <v>1482</v>
      </c>
      <c r="M107" s="178">
        <v>1477</v>
      </c>
      <c r="N107" s="178">
        <v>0</v>
      </c>
      <c r="O107" s="178">
        <v>0</v>
      </c>
      <c r="P107" s="178">
        <v>0</v>
      </c>
      <c r="Q107" s="178">
        <v>0</v>
      </c>
      <c r="R107" s="178">
        <v>0</v>
      </c>
    </row>
    <row r="108" spans="1:18" ht="15.75" thickBot="1">
      <c r="A108" s="189" t="s">
        <v>81</v>
      </c>
      <c r="B108" s="177">
        <v>29614</v>
      </c>
      <c r="C108" s="177">
        <v>0</v>
      </c>
      <c r="D108" s="177">
        <v>0</v>
      </c>
      <c r="E108" s="177">
        <v>0</v>
      </c>
      <c r="F108" s="177">
        <v>0</v>
      </c>
      <c r="G108" s="177">
        <v>0</v>
      </c>
      <c r="H108" s="177">
        <v>4563</v>
      </c>
      <c r="I108" s="177">
        <v>4597</v>
      </c>
      <c r="J108" s="177">
        <v>5015</v>
      </c>
      <c r="K108" s="177">
        <v>5225</v>
      </c>
      <c r="L108" s="177">
        <v>5474</v>
      </c>
      <c r="M108" s="177">
        <v>4592</v>
      </c>
      <c r="N108" s="177">
        <v>148</v>
      </c>
      <c r="O108" s="177">
        <v>0</v>
      </c>
      <c r="P108" s="177">
        <v>0</v>
      </c>
      <c r="Q108" s="177">
        <v>0</v>
      </c>
      <c r="R108" s="177">
        <v>0</v>
      </c>
    </row>
    <row r="109" spans="1:18" ht="15.75" thickBot="1">
      <c r="A109" s="190" t="s">
        <v>82</v>
      </c>
      <c r="B109" s="178">
        <v>51148</v>
      </c>
      <c r="C109" s="178">
        <v>0</v>
      </c>
      <c r="D109" s="178">
        <v>0</v>
      </c>
      <c r="E109" s="178">
        <v>0</v>
      </c>
      <c r="F109" s="178">
        <v>0</v>
      </c>
      <c r="G109" s="178">
        <v>0</v>
      </c>
      <c r="H109" s="178">
        <v>6218</v>
      </c>
      <c r="I109" s="178">
        <v>6366</v>
      </c>
      <c r="J109" s="178">
        <v>6066</v>
      </c>
      <c r="K109" s="178">
        <v>5891</v>
      </c>
      <c r="L109" s="178">
        <v>5795</v>
      </c>
      <c r="M109" s="178">
        <v>5760</v>
      </c>
      <c r="N109" s="178">
        <v>0</v>
      </c>
      <c r="O109" s="178">
        <v>0</v>
      </c>
      <c r="P109" s="178">
        <v>5370</v>
      </c>
      <c r="Q109" s="178">
        <v>5030</v>
      </c>
      <c r="R109" s="178">
        <v>4652</v>
      </c>
    </row>
    <row r="110" spans="1:18" ht="15.75" thickBot="1">
      <c r="A110" s="189" t="s">
        <v>83</v>
      </c>
      <c r="B110" s="177">
        <v>15945</v>
      </c>
      <c r="C110" s="177">
        <v>0</v>
      </c>
      <c r="D110" s="177">
        <v>244</v>
      </c>
      <c r="E110" s="177">
        <v>236</v>
      </c>
      <c r="F110" s="177">
        <v>237</v>
      </c>
      <c r="G110" s="177">
        <v>252</v>
      </c>
      <c r="H110" s="177">
        <v>2020</v>
      </c>
      <c r="I110" s="177">
        <v>2032</v>
      </c>
      <c r="J110" s="177">
        <v>2041</v>
      </c>
      <c r="K110" s="177">
        <v>2048</v>
      </c>
      <c r="L110" s="177">
        <v>1979</v>
      </c>
      <c r="M110" s="177">
        <v>1925</v>
      </c>
      <c r="N110" s="177">
        <v>0</v>
      </c>
      <c r="O110" s="177">
        <v>0</v>
      </c>
      <c r="P110" s="177">
        <v>1170</v>
      </c>
      <c r="Q110" s="177">
        <v>1034</v>
      </c>
      <c r="R110" s="177">
        <v>727</v>
      </c>
    </row>
    <row r="111" spans="1:18" ht="15.75" thickBot="1">
      <c r="A111" s="190" t="s">
        <v>84</v>
      </c>
      <c r="B111" s="178">
        <v>0</v>
      </c>
      <c r="C111" s="178">
        <v>0</v>
      </c>
      <c r="D111" s="178">
        <v>0</v>
      </c>
      <c r="E111" s="178">
        <v>0</v>
      </c>
      <c r="F111" s="178">
        <v>0</v>
      </c>
      <c r="G111" s="178">
        <v>0</v>
      </c>
      <c r="H111" s="178">
        <v>0</v>
      </c>
      <c r="I111" s="178">
        <v>0</v>
      </c>
      <c r="J111" s="178">
        <v>0</v>
      </c>
      <c r="K111" s="178">
        <v>0</v>
      </c>
      <c r="L111" s="178">
        <v>0</v>
      </c>
      <c r="M111" s="178">
        <v>0</v>
      </c>
      <c r="N111" s="178">
        <v>0</v>
      </c>
      <c r="O111" s="178">
        <v>0</v>
      </c>
      <c r="P111" s="178">
        <v>0</v>
      </c>
      <c r="Q111" s="178">
        <v>0</v>
      </c>
      <c r="R111" s="178">
        <v>0</v>
      </c>
    </row>
    <row r="112" spans="1:18" ht="15.75" thickBot="1">
      <c r="A112" s="189" t="s">
        <v>85</v>
      </c>
      <c r="B112" s="177">
        <v>1376</v>
      </c>
      <c r="C112" s="177">
        <v>0</v>
      </c>
      <c r="D112" s="177">
        <v>0</v>
      </c>
      <c r="E112" s="177">
        <v>0</v>
      </c>
      <c r="F112" s="177">
        <v>0</v>
      </c>
      <c r="G112" s="177">
        <v>0</v>
      </c>
      <c r="H112" s="177">
        <v>192</v>
      </c>
      <c r="I112" s="177">
        <v>190</v>
      </c>
      <c r="J112" s="177">
        <v>227</v>
      </c>
      <c r="K112" s="177">
        <v>283</v>
      </c>
      <c r="L112" s="177">
        <v>292</v>
      </c>
      <c r="M112" s="177">
        <v>192</v>
      </c>
      <c r="N112" s="177">
        <v>0</v>
      </c>
      <c r="O112" s="177">
        <v>0</v>
      </c>
      <c r="P112" s="177">
        <v>0</v>
      </c>
      <c r="Q112" s="177">
        <v>0</v>
      </c>
      <c r="R112" s="177">
        <v>0</v>
      </c>
    </row>
    <row r="113" spans="1:18" ht="15.75" thickBot="1">
      <c r="A113" s="190" t="s">
        <v>86</v>
      </c>
      <c r="B113" s="178">
        <v>4064</v>
      </c>
      <c r="C113" s="178">
        <v>0</v>
      </c>
      <c r="D113" s="178">
        <v>0</v>
      </c>
      <c r="E113" s="178">
        <v>0</v>
      </c>
      <c r="F113" s="178">
        <v>0</v>
      </c>
      <c r="G113" s="178">
        <v>0</v>
      </c>
      <c r="H113" s="178">
        <v>617</v>
      </c>
      <c r="I113" s="178">
        <v>645</v>
      </c>
      <c r="J113" s="178">
        <v>660</v>
      </c>
      <c r="K113" s="178">
        <v>648</v>
      </c>
      <c r="L113" s="178">
        <v>725</v>
      </c>
      <c r="M113" s="178">
        <v>769</v>
      </c>
      <c r="N113" s="178">
        <v>0</v>
      </c>
      <c r="O113" s="178">
        <v>0</v>
      </c>
      <c r="P113" s="178">
        <v>0</v>
      </c>
      <c r="Q113" s="178">
        <v>0</v>
      </c>
      <c r="R113" s="178">
        <v>0</v>
      </c>
    </row>
    <row r="114" spans="1:18" ht="15.75" thickBot="1">
      <c r="A114" s="189" t="s">
        <v>87</v>
      </c>
      <c r="B114" s="177">
        <v>4976</v>
      </c>
      <c r="C114" s="177">
        <v>0</v>
      </c>
      <c r="D114" s="177">
        <v>0</v>
      </c>
      <c r="E114" s="177">
        <v>0</v>
      </c>
      <c r="F114" s="177">
        <v>0</v>
      </c>
      <c r="G114" s="177">
        <v>0</v>
      </c>
      <c r="H114" s="177">
        <v>534</v>
      </c>
      <c r="I114" s="177">
        <v>568</v>
      </c>
      <c r="J114" s="177">
        <v>509</v>
      </c>
      <c r="K114" s="177">
        <v>534</v>
      </c>
      <c r="L114" s="177">
        <v>540</v>
      </c>
      <c r="M114" s="177">
        <v>535</v>
      </c>
      <c r="N114" s="177">
        <v>0</v>
      </c>
      <c r="O114" s="177">
        <v>0</v>
      </c>
      <c r="P114" s="177">
        <v>689</v>
      </c>
      <c r="Q114" s="177">
        <v>556</v>
      </c>
      <c r="R114" s="177">
        <v>511</v>
      </c>
    </row>
    <row r="115" spans="1:18" ht="15.75" thickBot="1">
      <c r="A115" s="190" t="s">
        <v>88</v>
      </c>
      <c r="B115" s="178">
        <v>243</v>
      </c>
      <c r="C115" s="178">
        <v>0</v>
      </c>
      <c r="D115" s="178">
        <v>0</v>
      </c>
      <c r="E115" s="178">
        <v>0</v>
      </c>
      <c r="F115" s="178">
        <v>0</v>
      </c>
      <c r="G115" s="178">
        <v>0</v>
      </c>
      <c r="H115" s="178">
        <v>33</v>
      </c>
      <c r="I115" s="178">
        <v>40</v>
      </c>
      <c r="J115" s="178">
        <v>34</v>
      </c>
      <c r="K115" s="178">
        <v>48</v>
      </c>
      <c r="L115" s="178">
        <v>55</v>
      </c>
      <c r="M115" s="178">
        <v>33</v>
      </c>
      <c r="N115" s="178">
        <v>0</v>
      </c>
      <c r="O115" s="178">
        <v>0</v>
      </c>
      <c r="P115" s="178">
        <v>0</v>
      </c>
      <c r="Q115" s="178">
        <v>0</v>
      </c>
      <c r="R115" s="178">
        <v>0</v>
      </c>
    </row>
    <row r="116" spans="1:18" ht="15.75" thickBot="1">
      <c r="A116" s="189" t="s">
        <v>89</v>
      </c>
      <c r="B116" s="177">
        <v>0</v>
      </c>
      <c r="C116" s="177">
        <v>0</v>
      </c>
      <c r="D116" s="177">
        <v>0</v>
      </c>
      <c r="E116" s="177">
        <v>0</v>
      </c>
      <c r="F116" s="177">
        <v>0</v>
      </c>
      <c r="G116" s="177">
        <v>0</v>
      </c>
      <c r="H116" s="177">
        <v>0</v>
      </c>
      <c r="I116" s="177">
        <v>0</v>
      </c>
      <c r="J116" s="177">
        <v>0</v>
      </c>
      <c r="K116" s="177">
        <v>0</v>
      </c>
      <c r="L116" s="177">
        <v>0</v>
      </c>
      <c r="M116" s="177">
        <v>0</v>
      </c>
      <c r="N116" s="177">
        <v>0</v>
      </c>
      <c r="O116" s="177">
        <v>0</v>
      </c>
      <c r="P116" s="177">
        <v>0</v>
      </c>
      <c r="Q116" s="177">
        <v>0</v>
      </c>
      <c r="R116" s="177">
        <v>0</v>
      </c>
    </row>
    <row r="117" spans="1:18" ht="15.75" thickBot="1">
      <c r="A117" s="190" t="s">
        <v>90</v>
      </c>
      <c r="B117" s="178">
        <v>755</v>
      </c>
      <c r="C117" s="178">
        <v>0</v>
      </c>
      <c r="D117" s="178">
        <v>0</v>
      </c>
      <c r="E117" s="178">
        <v>0</v>
      </c>
      <c r="F117" s="178">
        <v>0</v>
      </c>
      <c r="G117" s="178">
        <v>0</v>
      </c>
      <c r="H117" s="178">
        <v>135</v>
      </c>
      <c r="I117" s="178">
        <v>132</v>
      </c>
      <c r="J117" s="178">
        <v>137</v>
      </c>
      <c r="K117" s="178">
        <v>39</v>
      </c>
      <c r="L117" s="178">
        <v>218</v>
      </c>
      <c r="M117" s="178">
        <v>94</v>
      </c>
      <c r="N117" s="178">
        <v>0</v>
      </c>
      <c r="O117" s="178">
        <v>0</v>
      </c>
      <c r="P117" s="178">
        <v>0</v>
      </c>
      <c r="Q117" s="178">
        <v>0</v>
      </c>
      <c r="R117" s="178">
        <v>0</v>
      </c>
    </row>
    <row r="118" spans="1:18" ht="15.75" thickBot="1">
      <c r="A118" s="189" t="s">
        <v>131</v>
      </c>
      <c r="B118" s="177">
        <v>1810</v>
      </c>
      <c r="C118" s="177">
        <v>0</v>
      </c>
      <c r="D118" s="177">
        <v>483</v>
      </c>
      <c r="E118" s="177">
        <v>0</v>
      </c>
      <c r="F118" s="177">
        <v>0</v>
      </c>
      <c r="G118" s="177">
        <v>0</v>
      </c>
      <c r="H118" s="177">
        <v>834</v>
      </c>
      <c r="I118" s="177">
        <v>0</v>
      </c>
      <c r="J118" s="177">
        <v>0</v>
      </c>
      <c r="K118" s="177">
        <v>0</v>
      </c>
      <c r="L118" s="177">
        <v>0</v>
      </c>
      <c r="M118" s="177">
        <v>493</v>
      </c>
      <c r="N118" s="177">
        <v>0</v>
      </c>
      <c r="O118" s="177">
        <v>0</v>
      </c>
      <c r="P118" s="177">
        <v>0</v>
      </c>
      <c r="Q118" s="177">
        <v>0</v>
      </c>
      <c r="R118" s="177">
        <v>0</v>
      </c>
    </row>
    <row r="119" spans="1:18" ht="15.75" thickBot="1">
      <c r="A119" s="190" t="s">
        <v>92</v>
      </c>
      <c r="B119" s="178">
        <v>1507</v>
      </c>
      <c r="C119" s="178">
        <v>0</v>
      </c>
      <c r="D119" s="178">
        <v>271</v>
      </c>
      <c r="E119" s="178">
        <v>233</v>
      </c>
      <c r="F119" s="178">
        <v>157</v>
      </c>
      <c r="G119" s="178">
        <v>137</v>
      </c>
      <c r="H119" s="178">
        <v>86</v>
      </c>
      <c r="I119" s="178">
        <v>124</v>
      </c>
      <c r="J119" s="178">
        <v>148</v>
      </c>
      <c r="K119" s="178">
        <v>145</v>
      </c>
      <c r="L119" s="178">
        <v>144</v>
      </c>
      <c r="M119" s="178">
        <v>62</v>
      </c>
      <c r="N119" s="178">
        <v>0</v>
      </c>
      <c r="O119" s="178">
        <v>0</v>
      </c>
      <c r="P119" s="178">
        <v>0</v>
      </c>
      <c r="Q119" s="178">
        <v>0</v>
      </c>
      <c r="R119" s="178">
        <v>0</v>
      </c>
    </row>
    <row r="120" spans="1:18" ht="15.75" thickBot="1">
      <c r="A120" s="189" t="s">
        <v>93</v>
      </c>
      <c r="B120" s="177">
        <v>0</v>
      </c>
      <c r="C120" s="177">
        <v>0</v>
      </c>
      <c r="D120" s="177">
        <v>0</v>
      </c>
      <c r="E120" s="177">
        <v>0</v>
      </c>
      <c r="F120" s="177">
        <v>0</v>
      </c>
      <c r="G120" s="177">
        <v>0</v>
      </c>
      <c r="H120" s="177">
        <v>0</v>
      </c>
      <c r="I120" s="177">
        <v>0</v>
      </c>
      <c r="J120" s="177">
        <v>0</v>
      </c>
      <c r="K120" s="177">
        <v>0</v>
      </c>
      <c r="L120" s="177">
        <v>0</v>
      </c>
      <c r="M120" s="177">
        <v>0</v>
      </c>
      <c r="N120" s="177">
        <v>0</v>
      </c>
      <c r="O120" s="177">
        <v>0</v>
      </c>
      <c r="P120" s="177">
        <v>0</v>
      </c>
      <c r="Q120" s="177">
        <v>0</v>
      </c>
      <c r="R120" s="177">
        <v>0</v>
      </c>
    </row>
    <row r="121" spans="1:18" ht="15.75" thickBot="1">
      <c r="A121" s="190" t="s">
        <v>94</v>
      </c>
      <c r="B121" s="178">
        <v>0</v>
      </c>
      <c r="C121" s="178">
        <v>0</v>
      </c>
      <c r="D121" s="178">
        <v>0</v>
      </c>
      <c r="E121" s="178">
        <v>0</v>
      </c>
      <c r="F121" s="178">
        <v>0</v>
      </c>
      <c r="G121" s="178">
        <v>0</v>
      </c>
      <c r="H121" s="178">
        <v>0</v>
      </c>
      <c r="I121" s="178">
        <v>0</v>
      </c>
      <c r="J121" s="178">
        <v>0</v>
      </c>
      <c r="K121" s="178">
        <v>0</v>
      </c>
      <c r="L121" s="178">
        <v>0</v>
      </c>
      <c r="M121" s="178">
        <v>0</v>
      </c>
      <c r="N121" s="178">
        <v>0</v>
      </c>
      <c r="O121" s="178">
        <v>0</v>
      </c>
      <c r="P121" s="178">
        <v>0</v>
      </c>
      <c r="Q121" s="178">
        <v>0</v>
      </c>
      <c r="R121" s="178">
        <v>0</v>
      </c>
    </row>
    <row r="122" spans="1:18" ht="15.75" thickBot="1">
      <c r="A122" s="187" t="s">
        <v>51</v>
      </c>
      <c r="B122" s="203"/>
      <c r="C122" s="203"/>
      <c r="D122" s="203"/>
      <c r="E122" s="203"/>
      <c r="F122" s="203"/>
      <c r="G122" s="203"/>
      <c r="H122" s="203"/>
      <c r="I122" s="203"/>
      <c r="J122" s="203"/>
      <c r="K122" s="203"/>
      <c r="L122" s="203"/>
      <c r="M122" s="203"/>
      <c r="N122" s="203"/>
      <c r="O122" s="203"/>
      <c r="P122" s="203"/>
      <c r="Q122" s="203"/>
      <c r="R122" s="203"/>
    </row>
    <row r="123" spans="1:18" ht="15.75" thickBot="1">
      <c r="A123" s="188"/>
      <c r="B123" s="205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</row>
    <row r="124" spans="1:18" ht="15.75" thickBot="1">
      <c r="A124" s="189" t="s">
        <v>40</v>
      </c>
      <c r="B124" s="177">
        <v>270643</v>
      </c>
      <c r="C124" s="177">
        <v>876</v>
      </c>
      <c r="D124" s="177">
        <v>24876</v>
      </c>
      <c r="E124" s="177">
        <v>23578</v>
      </c>
      <c r="F124" s="177">
        <v>23073</v>
      </c>
      <c r="G124" s="177">
        <v>23433</v>
      </c>
      <c r="H124" s="177">
        <v>24937</v>
      </c>
      <c r="I124" s="177">
        <v>23861</v>
      </c>
      <c r="J124" s="177">
        <v>24633</v>
      </c>
      <c r="K124" s="177">
        <v>24753</v>
      </c>
      <c r="L124" s="177">
        <v>25763</v>
      </c>
      <c r="M124" s="177">
        <v>24347</v>
      </c>
      <c r="N124" s="177">
        <v>437</v>
      </c>
      <c r="O124" s="177">
        <v>0</v>
      </c>
      <c r="P124" s="177">
        <v>9338</v>
      </c>
      <c r="Q124" s="177">
        <v>8840</v>
      </c>
      <c r="R124" s="177">
        <v>7898</v>
      </c>
    </row>
    <row r="125" spans="1:18" ht="15.75" thickBot="1">
      <c r="A125" s="188"/>
      <c r="B125" s="205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</row>
    <row r="126" spans="1:18" ht="15.75" thickBot="1">
      <c r="A126" s="189" t="s">
        <v>75</v>
      </c>
      <c r="B126" s="177">
        <v>876</v>
      </c>
      <c r="C126" s="177">
        <v>876</v>
      </c>
      <c r="D126" s="177">
        <v>0</v>
      </c>
      <c r="E126" s="177">
        <v>0</v>
      </c>
      <c r="F126" s="177">
        <v>0</v>
      </c>
      <c r="G126" s="177">
        <v>0</v>
      </c>
      <c r="H126" s="177">
        <v>0</v>
      </c>
      <c r="I126" s="177">
        <v>0</v>
      </c>
      <c r="J126" s="177">
        <v>0</v>
      </c>
      <c r="K126" s="177">
        <v>0</v>
      </c>
      <c r="L126" s="177">
        <v>0</v>
      </c>
      <c r="M126" s="177">
        <v>0</v>
      </c>
      <c r="N126" s="177">
        <v>0</v>
      </c>
      <c r="O126" s="177">
        <v>0</v>
      </c>
      <c r="P126" s="177">
        <v>0</v>
      </c>
      <c r="Q126" s="177">
        <v>0</v>
      </c>
      <c r="R126" s="177">
        <v>0</v>
      </c>
    </row>
    <row r="127" spans="1:18" ht="15.75" thickBot="1">
      <c r="A127" s="190" t="s">
        <v>76</v>
      </c>
      <c r="B127" s="178">
        <v>91124</v>
      </c>
      <c r="C127" s="178">
        <v>0</v>
      </c>
      <c r="D127" s="178">
        <v>23157</v>
      </c>
      <c r="E127" s="178">
        <v>22763</v>
      </c>
      <c r="F127" s="178">
        <v>22381</v>
      </c>
      <c r="G127" s="178">
        <v>22805</v>
      </c>
      <c r="H127" s="178">
        <v>0</v>
      </c>
      <c r="I127" s="178">
        <v>0</v>
      </c>
      <c r="J127" s="178">
        <v>0</v>
      </c>
      <c r="K127" s="178">
        <v>0</v>
      </c>
      <c r="L127" s="178">
        <v>0</v>
      </c>
      <c r="M127" s="178">
        <v>0</v>
      </c>
      <c r="N127" s="178">
        <v>18</v>
      </c>
      <c r="O127" s="178">
        <v>0</v>
      </c>
      <c r="P127" s="178">
        <v>0</v>
      </c>
      <c r="Q127" s="178">
        <v>0</v>
      </c>
      <c r="R127" s="178">
        <v>0</v>
      </c>
    </row>
    <row r="128" spans="1:18" ht="15.75" thickBot="1">
      <c r="A128" s="189" t="s">
        <v>77</v>
      </c>
      <c r="B128" s="177">
        <v>0</v>
      </c>
      <c r="C128" s="177">
        <v>0</v>
      </c>
      <c r="D128" s="177">
        <v>0</v>
      </c>
      <c r="E128" s="177">
        <v>0</v>
      </c>
      <c r="F128" s="177">
        <v>0</v>
      </c>
      <c r="G128" s="177">
        <v>0</v>
      </c>
      <c r="H128" s="177">
        <v>0</v>
      </c>
      <c r="I128" s="177">
        <v>0</v>
      </c>
      <c r="J128" s="177">
        <v>0</v>
      </c>
      <c r="K128" s="177">
        <v>0</v>
      </c>
      <c r="L128" s="177">
        <v>0</v>
      </c>
      <c r="M128" s="177">
        <v>0</v>
      </c>
      <c r="N128" s="177">
        <v>0</v>
      </c>
      <c r="O128" s="177">
        <v>0</v>
      </c>
      <c r="P128" s="177">
        <v>0</v>
      </c>
      <c r="Q128" s="177">
        <v>0</v>
      </c>
      <c r="R128" s="177">
        <v>0</v>
      </c>
    </row>
    <row r="129" spans="1:18" ht="15.75" thickBot="1">
      <c r="A129" s="190" t="s">
        <v>78</v>
      </c>
      <c r="B129" s="178">
        <v>5498</v>
      </c>
      <c r="C129" s="178">
        <v>0</v>
      </c>
      <c r="D129" s="178">
        <v>0</v>
      </c>
      <c r="E129" s="178">
        <v>0</v>
      </c>
      <c r="F129" s="178">
        <v>0</v>
      </c>
      <c r="G129" s="178">
        <v>0</v>
      </c>
      <c r="H129" s="178">
        <v>700</v>
      </c>
      <c r="I129" s="178">
        <v>792</v>
      </c>
      <c r="J129" s="178">
        <v>953</v>
      </c>
      <c r="K129" s="178">
        <v>1063</v>
      </c>
      <c r="L129" s="178">
        <v>1152</v>
      </c>
      <c r="M129" s="178">
        <v>801</v>
      </c>
      <c r="N129" s="178">
        <v>37</v>
      </c>
      <c r="O129" s="178">
        <v>0</v>
      </c>
      <c r="P129" s="178">
        <v>0</v>
      </c>
      <c r="Q129" s="178">
        <v>0</v>
      </c>
      <c r="R129" s="178">
        <v>0</v>
      </c>
    </row>
    <row r="130" spans="1:18" ht="15.75" thickBot="1">
      <c r="A130" s="189" t="s">
        <v>79</v>
      </c>
      <c r="B130" s="177">
        <v>0</v>
      </c>
      <c r="C130" s="177">
        <v>0</v>
      </c>
      <c r="D130" s="177">
        <v>0</v>
      </c>
      <c r="E130" s="177">
        <v>0</v>
      </c>
      <c r="F130" s="177">
        <v>0</v>
      </c>
      <c r="G130" s="177">
        <v>0</v>
      </c>
      <c r="H130" s="177">
        <v>0</v>
      </c>
      <c r="I130" s="177">
        <v>0</v>
      </c>
      <c r="J130" s="177">
        <v>0</v>
      </c>
      <c r="K130" s="177">
        <v>0</v>
      </c>
      <c r="L130" s="177">
        <v>0</v>
      </c>
      <c r="M130" s="177">
        <v>0</v>
      </c>
      <c r="N130" s="177">
        <v>0</v>
      </c>
      <c r="O130" s="177">
        <v>0</v>
      </c>
      <c r="P130" s="177">
        <v>0</v>
      </c>
      <c r="Q130" s="177">
        <v>0</v>
      </c>
      <c r="R130" s="177">
        <v>0</v>
      </c>
    </row>
    <row r="131" spans="1:18" ht="15.75" thickBot="1">
      <c r="A131" s="190" t="s">
        <v>80</v>
      </c>
      <c r="B131" s="178">
        <v>14863</v>
      </c>
      <c r="C131" s="178">
        <v>0</v>
      </c>
      <c r="D131" s="178">
        <v>0</v>
      </c>
      <c r="E131" s="178">
        <v>0</v>
      </c>
      <c r="F131" s="178">
        <v>0</v>
      </c>
      <c r="G131" s="178">
        <v>0</v>
      </c>
      <c r="H131" s="178">
        <v>2485</v>
      </c>
      <c r="I131" s="178">
        <v>2327</v>
      </c>
      <c r="J131" s="178">
        <v>2467</v>
      </c>
      <c r="K131" s="178">
        <v>2305</v>
      </c>
      <c r="L131" s="178">
        <v>2592</v>
      </c>
      <c r="M131" s="178">
        <v>2616</v>
      </c>
      <c r="N131" s="178">
        <v>71</v>
      </c>
      <c r="O131" s="178">
        <v>0</v>
      </c>
      <c r="P131" s="178">
        <v>0</v>
      </c>
      <c r="Q131" s="178">
        <v>0</v>
      </c>
      <c r="R131" s="178">
        <v>0</v>
      </c>
    </row>
    <row r="132" spans="1:18" ht="15.75" thickBot="1">
      <c r="A132" s="189" t="s">
        <v>81</v>
      </c>
      <c r="B132" s="177">
        <v>47767</v>
      </c>
      <c r="C132" s="177">
        <v>0</v>
      </c>
      <c r="D132" s="177">
        <v>0</v>
      </c>
      <c r="E132" s="177">
        <v>0</v>
      </c>
      <c r="F132" s="177">
        <v>0</v>
      </c>
      <c r="G132" s="177">
        <v>0</v>
      </c>
      <c r="H132" s="177">
        <v>7201</v>
      </c>
      <c r="I132" s="177">
        <v>7493</v>
      </c>
      <c r="J132" s="177">
        <v>8065</v>
      </c>
      <c r="K132" s="177">
        <v>8476</v>
      </c>
      <c r="L132" s="177">
        <v>8824</v>
      </c>
      <c r="M132" s="177">
        <v>7492</v>
      </c>
      <c r="N132" s="177">
        <v>216</v>
      </c>
      <c r="O132" s="177">
        <v>0</v>
      </c>
      <c r="P132" s="177">
        <v>0</v>
      </c>
      <c r="Q132" s="177">
        <v>0</v>
      </c>
      <c r="R132" s="177">
        <v>0</v>
      </c>
    </row>
    <row r="133" spans="1:18" ht="15.75" thickBot="1">
      <c r="A133" s="190" t="s">
        <v>82</v>
      </c>
      <c r="B133" s="178">
        <v>70424</v>
      </c>
      <c r="C133" s="178">
        <v>0</v>
      </c>
      <c r="D133" s="178">
        <v>0</v>
      </c>
      <c r="E133" s="178">
        <v>0</v>
      </c>
      <c r="F133" s="178">
        <v>0</v>
      </c>
      <c r="G133" s="178">
        <v>0</v>
      </c>
      <c r="H133" s="178">
        <v>8430</v>
      </c>
      <c r="I133" s="178">
        <v>8587</v>
      </c>
      <c r="J133" s="178">
        <v>8309</v>
      </c>
      <c r="K133" s="178">
        <v>8103</v>
      </c>
      <c r="L133" s="178">
        <v>8012</v>
      </c>
      <c r="M133" s="178">
        <v>8133</v>
      </c>
      <c r="N133" s="178">
        <v>49</v>
      </c>
      <c r="O133" s="178">
        <v>0</v>
      </c>
      <c r="P133" s="178">
        <v>7387</v>
      </c>
      <c r="Q133" s="178">
        <v>7047</v>
      </c>
      <c r="R133" s="178">
        <v>6367</v>
      </c>
    </row>
    <row r="134" spans="1:18" ht="15.75" thickBot="1">
      <c r="A134" s="189" t="s">
        <v>83</v>
      </c>
      <c r="B134" s="177">
        <v>21532</v>
      </c>
      <c r="C134" s="177">
        <v>0</v>
      </c>
      <c r="D134" s="177">
        <v>196</v>
      </c>
      <c r="E134" s="177">
        <v>170</v>
      </c>
      <c r="F134" s="177">
        <v>179</v>
      </c>
      <c r="G134" s="177">
        <v>169</v>
      </c>
      <c r="H134" s="177">
        <v>2757</v>
      </c>
      <c r="I134" s="177">
        <v>2772</v>
      </c>
      <c r="J134" s="177">
        <v>2924</v>
      </c>
      <c r="K134" s="177">
        <v>3046</v>
      </c>
      <c r="L134" s="177">
        <v>3008</v>
      </c>
      <c r="M134" s="177">
        <v>2878</v>
      </c>
      <c r="N134" s="177">
        <v>32</v>
      </c>
      <c r="O134" s="177">
        <v>0</v>
      </c>
      <c r="P134" s="177">
        <v>1223</v>
      </c>
      <c r="Q134" s="177">
        <v>1151</v>
      </c>
      <c r="R134" s="177">
        <v>1027</v>
      </c>
    </row>
    <row r="135" spans="1:18" ht="15.75" thickBot="1">
      <c r="A135" s="190" t="s">
        <v>84</v>
      </c>
      <c r="B135" s="178">
        <v>0</v>
      </c>
      <c r="C135" s="178">
        <v>0</v>
      </c>
      <c r="D135" s="178">
        <v>0</v>
      </c>
      <c r="E135" s="178">
        <v>0</v>
      </c>
      <c r="F135" s="178">
        <v>0</v>
      </c>
      <c r="G135" s="178">
        <v>0</v>
      </c>
      <c r="H135" s="178">
        <v>0</v>
      </c>
      <c r="I135" s="178">
        <v>0</v>
      </c>
      <c r="J135" s="178">
        <v>0</v>
      </c>
      <c r="K135" s="178">
        <v>0</v>
      </c>
      <c r="L135" s="178">
        <v>0</v>
      </c>
      <c r="M135" s="178">
        <v>0</v>
      </c>
      <c r="N135" s="178">
        <v>0</v>
      </c>
      <c r="O135" s="178">
        <v>0</v>
      </c>
      <c r="P135" s="178">
        <v>0</v>
      </c>
      <c r="Q135" s="178">
        <v>0</v>
      </c>
      <c r="R135" s="178">
        <v>0</v>
      </c>
    </row>
    <row r="136" spans="1:18" ht="15.75" thickBot="1">
      <c r="A136" s="189" t="s">
        <v>85</v>
      </c>
      <c r="B136" s="177">
        <v>1207</v>
      </c>
      <c r="C136" s="177">
        <v>0</v>
      </c>
      <c r="D136" s="177">
        <v>0</v>
      </c>
      <c r="E136" s="177">
        <v>0</v>
      </c>
      <c r="F136" s="177">
        <v>0</v>
      </c>
      <c r="G136" s="177">
        <v>0</v>
      </c>
      <c r="H136" s="177">
        <v>152</v>
      </c>
      <c r="I136" s="177">
        <v>161</v>
      </c>
      <c r="J136" s="177">
        <v>210</v>
      </c>
      <c r="K136" s="177">
        <v>253</v>
      </c>
      <c r="L136" s="177">
        <v>236</v>
      </c>
      <c r="M136" s="177">
        <v>181</v>
      </c>
      <c r="N136" s="177">
        <v>14</v>
      </c>
      <c r="O136" s="177">
        <v>0</v>
      </c>
      <c r="P136" s="177">
        <v>0</v>
      </c>
      <c r="Q136" s="177">
        <v>0</v>
      </c>
      <c r="R136" s="177">
        <v>0</v>
      </c>
    </row>
    <row r="137" spans="1:18" ht="15.75" thickBot="1">
      <c r="A137" s="190" t="s">
        <v>86</v>
      </c>
      <c r="B137" s="178">
        <v>2869</v>
      </c>
      <c r="C137" s="178">
        <v>0</v>
      </c>
      <c r="D137" s="178">
        <v>0</v>
      </c>
      <c r="E137" s="178">
        <v>0</v>
      </c>
      <c r="F137" s="178">
        <v>0</v>
      </c>
      <c r="G137" s="178">
        <v>0</v>
      </c>
      <c r="H137" s="178">
        <v>486</v>
      </c>
      <c r="I137" s="178">
        <v>473</v>
      </c>
      <c r="J137" s="178">
        <v>463</v>
      </c>
      <c r="K137" s="178">
        <v>437</v>
      </c>
      <c r="L137" s="178">
        <v>497</v>
      </c>
      <c r="M137" s="178">
        <v>513</v>
      </c>
      <c r="N137" s="178">
        <v>0</v>
      </c>
      <c r="O137" s="178">
        <v>0</v>
      </c>
      <c r="P137" s="178">
        <v>0</v>
      </c>
      <c r="Q137" s="178">
        <v>0</v>
      </c>
      <c r="R137" s="178">
        <v>0</v>
      </c>
    </row>
    <row r="138" spans="1:18" ht="15.75" thickBot="1">
      <c r="A138" s="189" t="s">
        <v>87</v>
      </c>
      <c r="B138" s="177">
        <v>3045</v>
      </c>
      <c r="C138" s="177">
        <v>0</v>
      </c>
      <c r="D138" s="177">
        <v>0</v>
      </c>
      <c r="E138" s="177">
        <v>0</v>
      </c>
      <c r="F138" s="177">
        <v>0</v>
      </c>
      <c r="G138" s="177">
        <v>0</v>
      </c>
      <c r="H138" s="177">
        <v>379</v>
      </c>
      <c r="I138" s="177">
        <v>345</v>
      </c>
      <c r="J138" s="177">
        <v>341</v>
      </c>
      <c r="K138" s="177">
        <v>329</v>
      </c>
      <c r="L138" s="177">
        <v>312</v>
      </c>
      <c r="M138" s="177">
        <v>370</v>
      </c>
      <c r="N138" s="177">
        <v>0</v>
      </c>
      <c r="O138" s="177">
        <v>0</v>
      </c>
      <c r="P138" s="177">
        <v>348</v>
      </c>
      <c r="Q138" s="177">
        <v>322</v>
      </c>
      <c r="R138" s="177">
        <v>299</v>
      </c>
    </row>
    <row r="139" spans="1:18" ht="15.75" thickBot="1">
      <c r="A139" s="190" t="s">
        <v>88</v>
      </c>
      <c r="B139" s="178">
        <v>1297</v>
      </c>
      <c r="C139" s="178">
        <v>0</v>
      </c>
      <c r="D139" s="178">
        <v>0</v>
      </c>
      <c r="E139" s="178">
        <v>0</v>
      </c>
      <c r="F139" s="178">
        <v>0</v>
      </c>
      <c r="G139" s="178">
        <v>0</v>
      </c>
      <c r="H139" s="178">
        <v>148</v>
      </c>
      <c r="I139" s="178">
        <v>157</v>
      </c>
      <c r="J139" s="178">
        <v>144</v>
      </c>
      <c r="K139" s="178">
        <v>147</v>
      </c>
      <c r="L139" s="178">
        <v>139</v>
      </c>
      <c r="M139" s="178">
        <v>167</v>
      </c>
      <c r="N139" s="178">
        <v>0</v>
      </c>
      <c r="O139" s="178">
        <v>0</v>
      </c>
      <c r="P139" s="178">
        <v>142</v>
      </c>
      <c r="Q139" s="178">
        <v>140</v>
      </c>
      <c r="R139" s="178">
        <v>113</v>
      </c>
    </row>
    <row r="140" spans="1:18" ht="15.75" thickBot="1">
      <c r="A140" s="189" t="s">
        <v>89</v>
      </c>
      <c r="B140" s="177">
        <v>0</v>
      </c>
      <c r="C140" s="177">
        <v>0</v>
      </c>
      <c r="D140" s="177">
        <v>0</v>
      </c>
      <c r="E140" s="177">
        <v>0</v>
      </c>
      <c r="F140" s="177">
        <v>0</v>
      </c>
      <c r="G140" s="177">
        <v>0</v>
      </c>
      <c r="H140" s="177">
        <v>0</v>
      </c>
      <c r="I140" s="177">
        <v>0</v>
      </c>
      <c r="J140" s="177">
        <v>0</v>
      </c>
      <c r="K140" s="177">
        <v>0</v>
      </c>
      <c r="L140" s="177">
        <v>0</v>
      </c>
      <c r="M140" s="177">
        <v>0</v>
      </c>
      <c r="N140" s="177">
        <v>0</v>
      </c>
      <c r="O140" s="177">
        <v>0</v>
      </c>
      <c r="P140" s="177">
        <v>0</v>
      </c>
      <c r="Q140" s="177">
        <v>0</v>
      </c>
      <c r="R140" s="177">
        <v>0</v>
      </c>
    </row>
    <row r="141" spans="1:18" ht="15.75" thickBot="1">
      <c r="A141" s="190" t="s">
        <v>90</v>
      </c>
      <c r="B141" s="178">
        <v>2145</v>
      </c>
      <c r="C141" s="178">
        <v>0</v>
      </c>
      <c r="D141" s="178">
        <v>0</v>
      </c>
      <c r="E141" s="178">
        <v>0</v>
      </c>
      <c r="F141" s="178">
        <v>0</v>
      </c>
      <c r="G141" s="178">
        <v>0</v>
      </c>
      <c r="H141" s="178">
        <v>370</v>
      </c>
      <c r="I141" s="178">
        <v>372</v>
      </c>
      <c r="J141" s="178">
        <v>337</v>
      </c>
      <c r="K141" s="178">
        <v>180</v>
      </c>
      <c r="L141" s="178">
        <v>600</v>
      </c>
      <c r="M141" s="178">
        <v>286</v>
      </c>
      <c r="N141" s="178">
        <v>0</v>
      </c>
      <c r="O141" s="178">
        <v>0</v>
      </c>
      <c r="P141" s="178">
        <v>0</v>
      </c>
      <c r="Q141" s="178">
        <v>0</v>
      </c>
      <c r="R141" s="178">
        <v>0</v>
      </c>
    </row>
    <row r="142" spans="1:18" ht="15.75" thickBot="1">
      <c r="A142" s="189" t="s">
        <v>131</v>
      </c>
      <c r="B142" s="177">
        <v>3223</v>
      </c>
      <c r="C142" s="177">
        <v>0</v>
      </c>
      <c r="D142" s="177">
        <v>959</v>
      </c>
      <c r="E142" s="177">
        <v>0</v>
      </c>
      <c r="F142" s="177">
        <v>0</v>
      </c>
      <c r="G142" s="177">
        <v>0</v>
      </c>
      <c r="H142" s="177">
        <v>1475</v>
      </c>
      <c r="I142" s="177">
        <v>0</v>
      </c>
      <c r="J142" s="177">
        <v>0</v>
      </c>
      <c r="K142" s="177">
        <v>0</v>
      </c>
      <c r="L142" s="177">
        <v>0</v>
      </c>
      <c r="M142" s="177">
        <v>789</v>
      </c>
      <c r="N142" s="177">
        <v>0</v>
      </c>
      <c r="O142" s="177">
        <v>0</v>
      </c>
      <c r="P142" s="177">
        <v>0</v>
      </c>
      <c r="Q142" s="177">
        <v>0</v>
      </c>
      <c r="R142" s="177">
        <v>0</v>
      </c>
    </row>
    <row r="143" spans="1:18" ht="15.75" thickBot="1">
      <c r="A143" s="190" t="s">
        <v>92</v>
      </c>
      <c r="B143" s="178">
        <v>4263</v>
      </c>
      <c r="C143" s="178">
        <v>0</v>
      </c>
      <c r="D143" s="178">
        <v>564</v>
      </c>
      <c r="E143" s="178">
        <v>645</v>
      </c>
      <c r="F143" s="178">
        <v>513</v>
      </c>
      <c r="G143" s="178">
        <v>459</v>
      </c>
      <c r="H143" s="178">
        <v>354</v>
      </c>
      <c r="I143" s="178">
        <v>382</v>
      </c>
      <c r="J143" s="178">
        <v>420</v>
      </c>
      <c r="K143" s="178">
        <v>414</v>
      </c>
      <c r="L143" s="178">
        <v>391</v>
      </c>
      <c r="M143" s="178">
        <v>121</v>
      </c>
      <c r="N143" s="178">
        <v>0</v>
      </c>
      <c r="O143" s="178">
        <v>0</v>
      </c>
      <c r="P143" s="178">
        <v>0</v>
      </c>
      <c r="Q143" s="178">
        <v>0</v>
      </c>
      <c r="R143" s="178">
        <v>0</v>
      </c>
    </row>
    <row r="144" spans="1:18" ht="15.75" thickBot="1">
      <c r="A144" s="189" t="s">
        <v>93</v>
      </c>
      <c r="B144" s="177">
        <v>300</v>
      </c>
      <c r="C144" s="177">
        <v>0</v>
      </c>
      <c r="D144" s="177">
        <v>0</v>
      </c>
      <c r="E144" s="177">
        <v>0</v>
      </c>
      <c r="F144" s="177">
        <v>0</v>
      </c>
      <c r="G144" s="177">
        <v>0</v>
      </c>
      <c r="H144" s="177">
        <v>0</v>
      </c>
      <c r="I144" s="177">
        <v>0</v>
      </c>
      <c r="J144" s="177">
        <v>0</v>
      </c>
      <c r="K144" s="177">
        <v>0</v>
      </c>
      <c r="L144" s="177">
        <v>0</v>
      </c>
      <c r="M144" s="177">
        <v>0</v>
      </c>
      <c r="N144" s="177">
        <v>0</v>
      </c>
      <c r="O144" s="177">
        <v>0</v>
      </c>
      <c r="P144" s="177">
        <v>131</v>
      </c>
      <c r="Q144" s="177">
        <v>115</v>
      </c>
      <c r="R144" s="177">
        <v>54</v>
      </c>
    </row>
    <row r="145" spans="1:18" ht="15.75" thickBot="1">
      <c r="A145" s="191" t="s">
        <v>94</v>
      </c>
      <c r="B145" s="192">
        <v>210</v>
      </c>
      <c r="C145" s="192">
        <v>0</v>
      </c>
      <c r="D145" s="192">
        <v>0</v>
      </c>
      <c r="E145" s="192">
        <v>0</v>
      </c>
      <c r="F145" s="192">
        <v>0</v>
      </c>
      <c r="G145" s="192">
        <v>0</v>
      </c>
      <c r="H145" s="192">
        <v>0</v>
      </c>
      <c r="I145" s="192">
        <v>0</v>
      </c>
      <c r="J145" s="192">
        <v>0</v>
      </c>
      <c r="K145" s="192">
        <v>0</v>
      </c>
      <c r="L145" s="192">
        <v>0</v>
      </c>
      <c r="M145" s="192">
        <v>0</v>
      </c>
      <c r="N145" s="192">
        <v>0</v>
      </c>
      <c r="O145" s="192">
        <v>0</v>
      </c>
      <c r="P145" s="192">
        <v>107</v>
      </c>
      <c r="Q145" s="192">
        <v>65</v>
      </c>
      <c r="R145" s="192">
        <v>38</v>
      </c>
    </row>
    <row r="147" spans="1:18">
      <c r="A147" s="168" t="s">
        <v>52</v>
      </c>
    </row>
    <row r="148" spans="1:18">
      <c r="A148" s="168" t="s">
        <v>53</v>
      </c>
    </row>
    <row r="149" spans="1:18">
      <c r="A149" s="168" t="s">
        <v>122</v>
      </c>
    </row>
    <row r="150" spans="1:18">
      <c r="A150" s="166"/>
    </row>
    <row r="151" spans="1:18">
      <c r="A151" s="168" t="s">
        <v>96</v>
      </c>
    </row>
    <row r="152" spans="1:18">
      <c r="A152" s="168" t="s">
        <v>97</v>
      </c>
    </row>
    <row r="153" spans="1:18">
      <c r="A153" s="168" t="s">
        <v>98</v>
      </c>
    </row>
    <row r="154" spans="1:18">
      <c r="A154" s="168" t="s">
        <v>123</v>
      </c>
    </row>
    <row r="155" spans="1:18">
      <c r="A155" s="168" t="s">
        <v>100</v>
      </c>
    </row>
    <row r="156" spans="1:18">
      <c r="A156" s="168" t="s">
        <v>132</v>
      </c>
    </row>
    <row r="157" spans="1:18">
      <c r="A157" s="168" t="s">
        <v>133</v>
      </c>
    </row>
    <row r="158" spans="1:18">
      <c r="A158" s="168" t="s">
        <v>134</v>
      </c>
    </row>
  </sheetData>
  <hyperlinks>
    <hyperlink ref="A1" r:id="rId1" display="https://www1.nls.niedersachsen.de/Statistik/pool/K300151A/K300151A_000017C2FB3418F7E5A322ACC8DCA827A5D0CDC3ED5716C26294.zip"/>
  </hyperlinks>
  <pageMargins left="0.7" right="0.7" top="0.78740157499999996" bottom="0.78740157499999996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D315"/>
  <sheetViews>
    <sheetView workbookViewId="0"/>
  </sheetViews>
  <sheetFormatPr baseColWidth="10" defaultRowHeight="15"/>
  <cols>
    <col min="1" max="1" width="39.42578125" customWidth="1"/>
  </cols>
  <sheetData>
    <row r="1" spans="1:28">
      <c r="A1" s="53" t="s">
        <v>54</v>
      </c>
    </row>
    <row r="3" spans="1:28">
      <c r="A3" s="54" t="s">
        <v>126</v>
      </c>
    </row>
    <row r="4" spans="1:28">
      <c r="A4" s="54" t="s">
        <v>55</v>
      </c>
    </row>
    <row r="6" spans="1:28">
      <c r="A6" s="167" t="s">
        <v>56</v>
      </c>
    </row>
    <row r="7" spans="1:28">
      <c r="A7" s="166"/>
    </row>
    <row r="8" spans="1:28">
      <c r="A8" s="168" t="s">
        <v>42</v>
      </c>
    </row>
    <row r="9" spans="1:28">
      <c r="A9" s="168" t="s">
        <v>57</v>
      </c>
    </row>
    <row r="10" spans="1:28">
      <c r="A10" s="168" t="s">
        <v>128</v>
      </c>
    </row>
    <row r="11" spans="1:28">
      <c r="A11" s="166"/>
    </row>
    <row r="12" spans="1:28">
      <c r="A12" s="168" t="s">
        <v>58</v>
      </c>
    </row>
    <row r="13" spans="1:28">
      <c r="A13" s="168" t="s">
        <v>108</v>
      </c>
    </row>
    <row r="14" spans="1:28">
      <c r="A14" s="168" t="s">
        <v>127</v>
      </c>
    </row>
    <row r="15" spans="1:28" ht="15.75" thickBot="1"/>
    <row r="16" spans="1:28">
      <c r="A16" s="179" t="s">
        <v>34</v>
      </c>
      <c r="B16" s="180" t="s">
        <v>109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6"/>
      <c r="S16" s="181"/>
      <c r="T16" s="181"/>
      <c r="U16" s="181"/>
      <c r="V16" s="181"/>
      <c r="W16" s="181"/>
      <c r="X16" s="181"/>
      <c r="Y16" s="181"/>
      <c r="Z16" s="181"/>
      <c r="AA16" s="181"/>
      <c r="AB16" s="182"/>
    </row>
    <row r="17" spans="1:28">
      <c r="A17" s="183" t="s">
        <v>44</v>
      </c>
      <c r="B17" s="174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8"/>
      <c r="AB17" s="184"/>
    </row>
    <row r="18" spans="1:28" ht="15.75" thickBot="1">
      <c r="A18" s="183" t="s">
        <v>45</v>
      </c>
      <c r="B18" s="175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200"/>
      <c r="AB18" s="184"/>
    </row>
    <row r="19" spans="1:28">
      <c r="A19" s="183" t="s">
        <v>61</v>
      </c>
      <c r="B19" s="173"/>
      <c r="C19" s="172" t="s">
        <v>66</v>
      </c>
      <c r="D19" s="201"/>
      <c r="E19" s="201"/>
      <c r="F19" s="201"/>
      <c r="G19" s="201"/>
      <c r="H19" s="201"/>
      <c r="I19" s="201"/>
      <c r="J19" s="201"/>
      <c r="K19" s="201"/>
      <c r="L19" s="201"/>
      <c r="M19" s="202"/>
      <c r="N19" s="169" t="s">
        <v>68</v>
      </c>
      <c r="O19" s="172" t="s">
        <v>72</v>
      </c>
      <c r="P19" s="201"/>
      <c r="Q19" s="201"/>
      <c r="R19" s="202"/>
      <c r="AB19" s="184"/>
    </row>
    <row r="20" spans="1:28">
      <c r="A20" s="183" t="s">
        <v>46</v>
      </c>
      <c r="B20" s="170" t="s">
        <v>64</v>
      </c>
      <c r="C20" s="174" t="s">
        <v>67</v>
      </c>
      <c r="D20" s="197"/>
      <c r="E20" s="197"/>
      <c r="F20" s="197"/>
      <c r="G20" s="197"/>
      <c r="H20" s="197"/>
      <c r="I20" s="197"/>
      <c r="J20" s="197"/>
      <c r="K20" s="197"/>
      <c r="L20" s="197"/>
      <c r="M20" s="198"/>
      <c r="N20" s="170" t="s">
        <v>69</v>
      </c>
      <c r="O20" s="174" t="s">
        <v>67</v>
      </c>
      <c r="P20" s="197"/>
      <c r="Q20" s="197"/>
      <c r="R20" s="198"/>
      <c r="AB20" s="184"/>
    </row>
    <row r="21" spans="1:28" ht="15.75" thickBot="1">
      <c r="A21" s="183" t="s">
        <v>62</v>
      </c>
      <c r="B21" s="170" t="s">
        <v>65</v>
      </c>
      <c r="C21" s="175"/>
      <c r="D21" s="199"/>
      <c r="E21" s="199"/>
      <c r="F21" s="199"/>
      <c r="G21" s="199"/>
      <c r="H21" s="199"/>
      <c r="I21" s="199"/>
      <c r="J21" s="199"/>
      <c r="K21" s="199"/>
      <c r="L21" s="199"/>
      <c r="M21" s="200"/>
      <c r="N21" s="170" t="s">
        <v>70</v>
      </c>
      <c r="O21" s="175"/>
      <c r="P21" s="199"/>
      <c r="Q21" s="199"/>
      <c r="R21" s="200"/>
      <c r="AB21" s="184"/>
    </row>
    <row r="22" spans="1:28">
      <c r="A22" s="183"/>
      <c r="B22" s="170"/>
      <c r="C22" s="169">
        <v>0</v>
      </c>
      <c r="D22" s="169">
        <v>1</v>
      </c>
      <c r="E22" s="169">
        <v>2</v>
      </c>
      <c r="F22" s="169">
        <v>3</v>
      </c>
      <c r="G22" s="169">
        <v>4</v>
      </c>
      <c r="H22" s="169">
        <v>5</v>
      </c>
      <c r="I22" s="169">
        <v>6</v>
      </c>
      <c r="J22" s="169">
        <v>7</v>
      </c>
      <c r="K22" s="169">
        <v>8</v>
      </c>
      <c r="L22" s="169">
        <v>9</v>
      </c>
      <c r="M22" s="169">
        <v>10</v>
      </c>
      <c r="N22" s="170" t="s">
        <v>129</v>
      </c>
      <c r="O22" s="169" t="s">
        <v>73</v>
      </c>
      <c r="P22" s="169">
        <v>11</v>
      </c>
      <c r="Q22" s="169">
        <v>12</v>
      </c>
      <c r="R22" s="169">
        <v>13</v>
      </c>
      <c r="AB22" s="184"/>
    </row>
    <row r="23" spans="1:28" ht="15.75" thickBot="1">
      <c r="A23" s="183"/>
      <c r="B23" s="171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 t="s">
        <v>130</v>
      </c>
      <c r="P23" s="171"/>
      <c r="Q23" s="171"/>
      <c r="R23" s="171"/>
      <c r="AB23" s="184"/>
    </row>
    <row r="24" spans="1:28" ht="15.75" thickBot="1">
      <c r="A24" s="185"/>
      <c r="B24" s="176">
        <v>1</v>
      </c>
      <c r="C24" s="176">
        <v>2</v>
      </c>
      <c r="D24" s="176">
        <v>3</v>
      </c>
      <c r="E24" s="176">
        <v>4</v>
      </c>
      <c r="F24" s="176">
        <v>5</v>
      </c>
      <c r="G24" s="176">
        <v>6</v>
      </c>
      <c r="H24" s="176">
        <v>7</v>
      </c>
      <c r="I24" s="176">
        <v>8</v>
      </c>
      <c r="J24" s="176">
        <v>9</v>
      </c>
      <c r="K24" s="176">
        <v>10</v>
      </c>
      <c r="L24" s="176">
        <v>11</v>
      </c>
      <c r="M24" s="176">
        <v>12</v>
      </c>
      <c r="N24" s="176">
        <v>13</v>
      </c>
      <c r="O24" s="176">
        <v>14</v>
      </c>
      <c r="P24" s="176">
        <v>15</v>
      </c>
      <c r="Q24" s="176">
        <v>16</v>
      </c>
      <c r="R24" s="176">
        <v>17</v>
      </c>
      <c r="AB24" s="184"/>
    </row>
    <row r="25" spans="1:28" ht="15.75" thickBot="1">
      <c r="A25" s="186"/>
      <c r="AB25" s="184"/>
    </row>
    <row r="26" spans="1:28" ht="15.75" thickBot="1">
      <c r="A26" s="187" t="s">
        <v>47</v>
      </c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4"/>
    </row>
    <row r="27" spans="1:28" ht="15.75" thickBot="1">
      <c r="A27" s="188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6"/>
    </row>
    <row r="28" spans="1:28" ht="15.75" thickBot="1">
      <c r="A28" s="189" t="s">
        <v>40</v>
      </c>
      <c r="B28" s="177">
        <v>91239</v>
      </c>
      <c r="C28" s="177">
        <v>876</v>
      </c>
      <c r="D28" s="177">
        <v>10865</v>
      </c>
      <c r="E28" s="177">
        <v>9870</v>
      </c>
      <c r="F28" s="177">
        <v>9538</v>
      </c>
      <c r="G28" s="177">
        <v>9704</v>
      </c>
      <c r="H28" s="177">
        <v>8755</v>
      </c>
      <c r="I28" s="177">
        <v>8027</v>
      </c>
      <c r="J28" s="177">
        <v>7732</v>
      </c>
      <c r="K28" s="177">
        <v>7895</v>
      </c>
      <c r="L28" s="177">
        <v>7550</v>
      </c>
      <c r="M28" s="177">
        <v>5893</v>
      </c>
      <c r="N28" s="177">
        <v>1260</v>
      </c>
      <c r="O28" s="177">
        <v>0</v>
      </c>
      <c r="P28" s="177">
        <v>1433</v>
      </c>
      <c r="Q28" s="177">
        <v>1109</v>
      </c>
      <c r="R28" s="177">
        <v>732</v>
      </c>
      <c r="AB28" s="184"/>
    </row>
    <row r="29" spans="1:28" ht="15.75" thickBot="1">
      <c r="A29" s="188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206"/>
    </row>
    <row r="30" spans="1:28" ht="15.75" thickBot="1">
      <c r="A30" s="189" t="s">
        <v>75</v>
      </c>
      <c r="B30" s="177">
        <v>851</v>
      </c>
      <c r="C30" s="177">
        <v>851</v>
      </c>
      <c r="D30" s="177">
        <v>0</v>
      </c>
      <c r="E30" s="177">
        <v>0</v>
      </c>
      <c r="F30" s="177">
        <v>0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AB30" s="184"/>
    </row>
    <row r="31" spans="1:28" ht="15.75" thickBot="1">
      <c r="A31" s="190" t="s">
        <v>76</v>
      </c>
      <c r="B31" s="178">
        <v>38688</v>
      </c>
      <c r="C31" s="178">
        <v>0</v>
      </c>
      <c r="D31" s="178">
        <v>10150</v>
      </c>
      <c r="E31" s="178">
        <v>9570</v>
      </c>
      <c r="F31" s="178">
        <v>9340</v>
      </c>
      <c r="G31" s="178">
        <v>9506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122</v>
      </c>
      <c r="O31" s="178">
        <v>0</v>
      </c>
      <c r="P31" s="178">
        <v>0</v>
      </c>
      <c r="Q31" s="178">
        <v>0</v>
      </c>
      <c r="R31" s="178">
        <v>0</v>
      </c>
      <c r="AB31" s="184"/>
    </row>
    <row r="32" spans="1:28" ht="15.75" thickBot="1">
      <c r="A32" s="189" t="s">
        <v>77</v>
      </c>
      <c r="B32" s="177">
        <v>0</v>
      </c>
      <c r="C32" s="177">
        <v>0</v>
      </c>
      <c r="D32" s="177">
        <v>0</v>
      </c>
      <c r="E32" s="177">
        <v>0</v>
      </c>
      <c r="F32" s="177">
        <v>0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AB32" s="184"/>
    </row>
    <row r="33" spans="1:28" ht="15.75" thickBot="1">
      <c r="A33" s="190" t="s">
        <v>78</v>
      </c>
      <c r="B33" s="178">
        <v>4954</v>
      </c>
      <c r="C33" s="178">
        <v>0</v>
      </c>
      <c r="D33" s="178">
        <v>0</v>
      </c>
      <c r="E33" s="178">
        <v>0</v>
      </c>
      <c r="F33" s="178">
        <v>0</v>
      </c>
      <c r="G33" s="178">
        <v>0</v>
      </c>
      <c r="H33" s="178">
        <v>545</v>
      </c>
      <c r="I33" s="178">
        <v>664</v>
      </c>
      <c r="J33" s="178">
        <v>820</v>
      </c>
      <c r="K33" s="178">
        <v>969</v>
      </c>
      <c r="L33" s="178">
        <v>1084</v>
      </c>
      <c r="M33" s="178">
        <v>707</v>
      </c>
      <c r="N33" s="178">
        <v>165</v>
      </c>
      <c r="O33" s="178">
        <v>0</v>
      </c>
      <c r="P33" s="178">
        <v>0</v>
      </c>
      <c r="Q33" s="178">
        <v>0</v>
      </c>
      <c r="R33" s="178">
        <v>0</v>
      </c>
      <c r="AB33" s="184"/>
    </row>
    <row r="34" spans="1:28" ht="15.75" thickBot="1">
      <c r="A34" s="189" t="s">
        <v>79</v>
      </c>
      <c r="B34" s="177">
        <v>0</v>
      </c>
      <c r="C34" s="177">
        <v>0</v>
      </c>
      <c r="D34" s="177">
        <v>0</v>
      </c>
      <c r="E34" s="177">
        <v>0</v>
      </c>
      <c r="F34" s="177">
        <v>0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AB34" s="184"/>
    </row>
    <row r="35" spans="1:28" ht="15.75" thickBot="1">
      <c r="A35" s="190" t="s">
        <v>80</v>
      </c>
      <c r="B35" s="178">
        <v>6069</v>
      </c>
      <c r="C35" s="178">
        <v>0</v>
      </c>
      <c r="D35" s="178">
        <v>0</v>
      </c>
      <c r="E35" s="178">
        <v>0</v>
      </c>
      <c r="F35" s="178">
        <v>0</v>
      </c>
      <c r="G35" s="178">
        <v>0</v>
      </c>
      <c r="H35" s="178">
        <v>1121</v>
      </c>
      <c r="I35" s="178">
        <v>1046</v>
      </c>
      <c r="J35" s="178">
        <v>955</v>
      </c>
      <c r="K35" s="178">
        <v>964</v>
      </c>
      <c r="L35" s="178">
        <v>997</v>
      </c>
      <c r="M35" s="178">
        <v>900</v>
      </c>
      <c r="N35" s="178">
        <v>86</v>
      </c>
      <c r="O35" s="178">
        <v>0</v>
      </c>
      <c r="P35" s="178">
        <v>0</v>
      </c>
      <c r="Q35" s="178">
        <v>0</v>
      </c>
      <c r="R35" s="178">
        <v>0</v>
      </c>
      <c r="AB35" s="184"/>
    </row>
    <row r="36" spans="1:28" ht="15.75" thickBot="1">
      <c r="A36" s="189" t="s">
        <v>81</v>
      </c>
      <c r="B36" s="177">
        <v>14874</v>
      </c>
      <c r="C36" s="177">
        <v>0</v>
      </c>
      <c r="D36" s="177">
        <v>0</v>
      </c>
      <c r="E36" s="177">
        <v>0</v>
      </c>
      <c r="F36" s="177">
        <v>0</v>
      </c>
      <c r="G36" s="177">
        <v>0</v>
      </c>
      <c r="H36" s="177">
        <v>2416</v>
      </c>
      <c r="I36" s="177">
        <v>2447</v>
      </c>
      <c r="J36" s="177">
        <v>2581</v>
      </c>
      <c r="K36" s="177">
        <v>2784</v>
      </c>
      <c r="L36" s="177">
        <v>2622</v>
      </c>
      <c r="M36" s="177">
        <v>1565</v>
      </c>
      <c r="N36" s="177">
        <v>459</v>
      </c>
      <c r="O36" s="177">
        <v>0</v>
      </c>
      <c r="P36" s="177">
        <v>0</v>
      </c>
      <c r="Q36" s="177">
        <v>0</v>
      </c>
      <c r="R36" s="177">
        <v>0</v>
      </c>
      <c r="AB36" s="184"/>
    </row>
    <row r="37" spans="1:28" ht="15.75" thickBot="1">
      <c r="A37" s="190" t="s">
        <v>82</v>
      </c>
      <c r="B37" s="178">
        <v>10895</v>
      </c>
      <c r="C37" s="178">
        <v>0</v>
      </c>
      <c r="D37" s="178">
        <v>0</v>
      </c>
      <c r="E37" s="178">
        <v>0</v>
      </c>
      <c r="F37" s="178">
        <v>0</v>
      </c>
      <c r="G37" s="178">
        <v>0</v>
      </c>
      <c r="H37" s="178">
        <v>1873</v>
      </c>
      <c r="I37" s="178">
        <v>1724</v>
      </c>
      <c r="J37" s="178">
        <v>1419</v>
      </c>
      <c r="K37" s="178">
        <v>1316</v>
      </c>
      <c r="L37" s="178">
        <v>1119</v>
      </c>
      <c r="M37" s="178">
        <v>1022</v>
      </c>
      <c r="N37" s="178">
        <v>222</v>
      </c>
      <c r="O37" s="178">
        <v>0</v>
      </c>
      <c r="P37" s="178">
        <v>910</v>
      </c>
      <c r="Q37" s="178">
        <v>740</v>
      </c>
      <c r="R37" s="178">
        <v>550</v>
      </c>
      <c r="AB37" s="184"/>
    </row>
    <row r="38" spans="1:28" ht="15.75" thickBot="1">
      <c r="A38" s="189" t="s">
        <v>83</v>
      </c>
      <c r="B38" s="177">
        <v>9047</v>
      </c>
      <c r="C38" s="177">
        <v>16</v>
      </c>
      <c r="D38" s="177">
        <v>59</v>
      </c>
      <c r="E38" s="177">
        <v>54</v>
      </c>
      <c r="F38" s="177">
        <v>56</v>
      </c>
      <c r="G38" s="177">
        <v>65</v>
      </c>
      <c r="H38" s="177">
        <v>1592</v>
      </c>
      <c r="I38" s="177">
        <v>1564</v>
      </c>
      <c r="J38" s="177">
        <v>1316</v>
      </c>
      <c r="K38" s="177">
        <v>1286</v>
      </c>
      <c r="L38" s="177">
        <v>1160</v>
      </c>
      <c r="M38" s="177">
        <v>995</v>
      </c>
      <c r="N38" s="177">
        <v>136</v>
      </c>
      <c r="O38" s="177">
        <v>0</v>
      </c>
      <c r="P38" s="177">
        <v>361</v>
      </c>
      <c r="Q38" s="177">
        <v>266</v>
      </c>
      <c r="R38" s="177">
        <v>121</v>
      </c>
      <c r="AB38" s="184"/>
    </row>
    <row r="39" spans="1:28" ht="15.75" thickBot="1">
      <c r="A39" s="190" t="s">
        <v>84</v>
      </c>
      <c r="B39" s="178">
        <v>0</v>
      </c>
      <c r="C39" s="178">
        <v>0</v>
      </c>
      <c r="D39" s="178">
        <v>0</v>
      </c>
      <c r="E39" s="178">
        <v>0</v>
      </c>
      <c r="F39" s="178"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AB39" s="184"/>
    </row>
    <row r="40" spans="1:28" ht="15.75" thickBot="1">
      <c r="A40" s="189" t="s">
        <v>85</v>
      </c>
      <c r="B40" s="177">
        <v>999</v>
      </c>
      <c r="C40" s="177">
        <v>0</v>
      </c>
      <c r="D40" s="177">
        <v>0</v>
      </c>
      <c r="E40" s="177">
        <v>0</v>
      </c>
      <c r="F40" s="177">
        <v>0</v>
      </c>
      <c r="G40" s="177">
        <v>0</v>
      </c>
      <c r="H40" s="177">
        <v>111</v>
      </c>
      <c r="I40" s="177">
        <v>138</v>
      </c>
      <c r="J40" s="177">
        <v>184</v>
      </c>
      <c r="K40" s="177">
        <v>186</v>
      </c>
      <c r="L40" s="177">
        <v>189</v>
      </c>
      <c r="M40" s="177">
        <v>121</v>
      </c>
      <c r="N40" s="177">
        <v>70</v>
      </c>
      <c r="O40" s="177">
        <v>0</v>
      </c>
      <c r="P40" s="177">
        <v>0</v>
      </c>
      <c r="Q40" s="177">
        <v>0</v>
      </c>
      <c r="R40" s="177">
        <v>0</v>
      </c>
      <c r="AB40" s="184"/>
    </row>
    <row r="41" spans="1:28" ht="15.75" thickBot="1">
      <c r="A41" s="190" t="s">
        <v>86</v>
      </c>
      <c r="B41" s="178">
        <v>998</v>
      </c>
      <c r="C41" s="178">
        <v>0</v>
      </c>
      <c r="D41" s="178">
        <v>0</v>
      </c>
      <c r="E41" s="178">
        <v>0</v>
      </c>
      <c r="F41" s="178">
        <v>0</v>
      </c>
      <c r="G41" s="178">
        <v>0</v>
      </c>
      <c r="H41" s="178">
        <v>207</v>
      </c>
      <c r="I41" s="178">
        <v>175</v>
      </c>
      <c r="J41" s="178">
        <v>172</v>
      </c>
      <c r="K41" s="178">
        <v>154</v>
      </c>
      <c r="L41" s="178">
        <v>142</v>
      </c>
      <c r="M41" s="178">
        <v>148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AB41" s="184"/>
    </row>
    <row r="42" spans="1:28" ht="15.75" thickBot="1">
      <c r="A42" s="189" t="s">
        <v>87</v>
      </c>
      <c r="B42" s="177">
        <v>601</v>
      </c>
      <c r="C42" s="177">
        <v>0</v>
      </c>
      <c r="D42" s="177">
        <v>0</v>
      </c>
      <c r="E42" s="177">
        <v>0</v>
      </c>
      <c r="F42" s="177">
        <v>0</v>
      </c>
      <c r="G42" s="177">
        <v>0</v>
      </c>
      <c r="H42" s="177">
        <v>109</v>
      </c>
      <c r="I42" s="177">
        <v>83</v>
      </c>
      <c r="J42" s="177">
        <v>83</v>
      </c>
      <c r="K42" s="177">
        <v>69</v>
      </c>
      <c r="L42" s="177">
        <v>58</v>
      </c>
      <c r="M42" s="177">
        <v>58</v>
      </c>
      <c r="N42" s="177">
        <v>0</v>
      </c>
      <c r="O42" s="177">
        <v>0</v>
      </c>
      <c r="P42" s="177">
        <v>70</v>
      </c>
      <c r="Q42" s="177">
        <v>35</v>
      </c>
      <c r="R42" s="177">
        <v>36</v>
      </c>
      <c r="AB42" s="184"/>
    </row>
    <row r="43" spans="1:28" ht="15.75" thickBot="1">
      <c r="A43" s="190" t="s">
        <v>88</v>
      </c>
      <c r="B43" s="178">
        <v>158</v>
      </c>
      <c r="C43" s="178">
        <v>0</v>
      </c>
      <c r="D43" s="178">
        <v>0</v>
      </c>
      <c r="E43" s="178">
        <v>0</v>
      </c>
      <c r="F43" s="178">
        <v>0</v>
      </c>
      <c r="G43" s="178">
        <v>0</v>
      </c>
      <c r="H43" s="178">
        <v>22</v>
      </c>
      <c r="I43" s="178">
        <v>11</v>
      </c>
      <c r="J43" s="178">
        <v>18</v>
      </c>
      <c r="K43" s="178">
        <v>19</v>
      </c>
      <c r="L43" s="178">
        <v>18</v>
      </c>
      <c r="M43" s="178">
        <v>13</v>
      </c>
      <c r="N43" s="178">
        <v>0</v>
      </c>
      <c r="O43" s="178">
        <v>0</v>
      </c>
      <c r="P43" s="178">
        <v>22</v>
      </c>
      <c r="Q43" s="178">
        <v>24</v>
      </c>
      <c r="R43" s="178">
        <v>11</v>
      </c>
      <c r="AB43" s="184"/>
    </row>
    <row r="44" spans="1:28" ht="15.75" thickBot="1">
      <c r="A44" s="189" t="s">
        <v>89</v>
      </c>
      <c r="B44" s="177">
        <v>9</v>
      </c>
      <c r="C44" s="177">
        <v>9</v>
      </c>
      <c r="D44" s="177">
        <v>0</v>
      </c>
      <c r="E44" s="177">
        <v>0</v>
      </c>
      <c r="F44" s="177">
        <v>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AB44" s="184"/>
    </row>
    <row r="45" spans="1:28" ht="15.75" thickBot="1">
      <c r="A45" s="190" t="s">
        <v>90</v>
      </c>
      <c r="B45" s="178">
        <v>617</v>
      </c>
      <c r="C45" s="178">
        <v>0</v>
      </c>
      <c r="D45" s="178">
        <v>0</v>
      </c>
      <c r="E45" s="178">
        <v>0</v>
      </c>
      <c r="F45" s="178">
        <v>0</v>
      </c>
      <c r="G45" s="178">
        <v>0</v>
      </c>
      <c r="H45" s="178">
        <v>152</v>
      </c>
      <c r="I45" s="178">
        <v>119</v>
      </c>
      <c r="J45" s="178">
        <v>113</v>
      </c>
      <c r="K45" s="178">
        <v>66</v>
      </c>
      <c r="L45" s="178">
        <v>112</v>
      </c>
      <c r="M45" s="178">
        <v>55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AB45" s="184"/>
    </row>
    <row r="46" spans="1:28" ht="15.75" thickBot="1">
      <c r="A46" s="189" t="s">
        <v>131</v>
      </c>
      <c r="B46" s="177">
        <v>1239</v>
      </c>
      <c r="C46" s="177">
        <v>0</v>
      </c>
      <c r="D46" s="177">
        <v>428</v>
      </c>
      <c r="E46" s="177">
        <v>0</v>
      </c>
      <c r="F46" s="177">
        <v>0</v>
      </c>
      <c r="G46" s="177">
        <v>0</v>
      </c>
      <c r="H46" s="177">
        <v>536</v>
      </c>
      <c r="I46" s="177">
        <v>0</v>
      </c>
      <c r="J46" s="177">
        <v>0</v>
      </c>
      <c r="K46" s="177">
        <v>0</v>
      </c>
      <c r="L46" s="177">
        <v>0</v>
      </c>
      <c r="M46" s="177">
        <v>275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AB46" s="184"/>
    </row>
    <row r="47" spans="1:28" ht="15.75" thickBot="1">
      <c r="A47" s="190" t="s">
        <v>92</v>
      </c>
      <c r="B47" s="178">
        <v>1112</v>
      </c>
      <c r="C47" s="178">
        <v>0</v>
      </c>
      <c r="D47" s="178">
        <v>228</v>
      </c>
      <c r="E47" s="178">
        <v>246</v>
      </c>
      <c r="F47" s="178">
        <v>142</v>
      </c>
      <c r="G47" s="178">
        <v>133</v>
      </c>
      <c r="H47" s="178">
        <v>71</v>
      </c>
      <c r="I47" s="178">
        <v>56</v>
      </c>
      <c r="J47" s="178">
        <v>71</v>
      </c>
      <c r="K47" s="178">
        <v>82</v>
      </c>
      <c r="L47" s="178">
        <v>49</v>
      </c>
      <c r="M47" s="178">
        <v>34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AB47" s="184"/>
    </row>
    <row r="48" spans="1:28" ht="15.75" thickBot="1">
      <c r="A48" s="189" t="s">
        <v>93</v>
      </c>
      <c r="B48" s="177">
        <v>61</v>
      </c>
      <c r="C48" s="177">
        <v>0</v>
      </c>
      <c r="D48" s="177">
        <v>0</v>
      </c>
      <c r="E48" s="177">
        <v>0</v>
      </c>
      <c r="F48" s="177">
        <v>0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29</v>
      </c>
      <c r="Q48" s="177">
        <v>26</v>
      </c>
      <c r="R48" s="177">
        <v>6</v>
      </c>
      <c r="AB48" s="184"/>
    </row>
    <row r="49" spans="1:28" ht="15.75" thickBot="1">
      <c r="A49" s="190" t="s">
        <v>94</v>
      </c>
      <c r="B49" s="178">
        <v>67</v>
      </c>
      <c r="C49" s="178">
        <v>0</v>
      </c>
      <c r="D49" s="178">
        <v>0</v>
      </c>
      <c r="E49" s="178">
        <v>0</v>
      </c>
      <c r="F49" s="178"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41</v>
      </c>
      <c r="Q49" s="178">
        <v>18</v>
      </c>
      <c r="R49" s="178">
        <v>8</v>
      </c>
      <c r="AB49" s="184"/>
    </row>
    <row r="50" spans="1:28" ht="15.75" thickBot="1">
      <c r="A50" s="187" t="s">
        <v>48</v>
      </c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4"/>
    </row>
    <row r="51" spans="1:28" ht="15.75" thickBot="1">
      <c r="A51" s="188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  <c r="AB51" s="206"/>
    </row>
    <row r="52" spans="1:28" ht="15.75" thickBot="1">
      <c r="A52" s="189" t="s">
        <v>40</v>
      </c>
      <c r="B52" s="177">
        <v>17534</v>
      </c>
      <c r="C52" s="177">
        <v>174</v>
      </c>
      <c r="D52" s="177">
        <v>2025</v>
      </c>
      <c r="E52" s="177">
        <v>1824</v>
      </c>
      <c r="F52" s="177">
        <v>1801</v>
      </c>
      <c r="G52" s="177">
        <v>1818</v>
      </c>
      <c r="H52" s="177">
        <v>1689</v>
      </c>
      <c r="I52" s="177">
        <v>1520</v>
      </c>
      <c r="J52" s="177">
        <v>1479</v>
      </c>
      <c r="K52" s="177">
        <v>1466</v>
      </c>
      <c r="L52" s="177">
        <v>1428</v>
      </c>
      <c r="M52" s="177">
        <v>1245</v>
      </c>
      <c r="N52" s="177">
        <v>131</v>
      </c>
      <c r="O52" s="177">
        <v>0</v>
      </c>
      <c r="P52" s="177">
        <v>419</v>
      </c>
      <c r="Q52" s="177">
        <v>330</v>
      </c>
      <c r="R52" s="177">
        <v>185</v>
      </c>
      <c r="AB52" s="184"/>
    </row>
    <row r="53" spans="1:28" ht="15.75" thickBot="1">
      <c r="A53" s="188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6"/>
    </row>
    <row r="54" spans="1:28" ht="15.75" thickBot="1">
      <c r="A54" s="189" t="s">
        <v>75</v>
      </c>
      <c r="B54" s="177">
        <v>158</v>
      </c>
      <c r="C54" s="177">
        <v>158</v>
      </c>
      <c r="D54" s="177">
        <v>0</v>
      </c>
      <c r="E54" s="177">
        <v>0</v>
      </c>
      <c r="F54" s="177">
        <v>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AB54" s="184"/>
    </row>
    <row r="55" spans="1:28" ht="15.75" thickBot="1">
      <c r="A55" s="190" t="s">
        <v>76</v>
      </c>
      <c r="B55" s="178">
        <v>7226</v>
      </c>
      <c r="C55" s="178">
        <v>0</v>
      </c>
      <c r="D55" s="178">
        <v>1884</v>
      </c>
      <c r="E55" s="178">
        <v>1771</v>
      </c>
      <c r="F55" s="178">
        <v>1762</v>
      </c>
      <c r="G55" s="178">
        <v>1781</v>
      </c>
      <c r="H55" s="178">
        <v>0</v>
      </c>
      <c r="I55" s="178">
        <v>0</v>
      </c>
      <c r="J55" s="178">
        <v>0</v>
      </c>
      <c r="K55" s="178">
        <v>0</v>
      </c>
      <c r="L55" s="178">
        <v>0</v>
      </c>
      <c r="M55" s="178">
        <v>0</v>
      </c>
      <c r="N55" s="178">
        <v>28</v>
      </c>
      <c r="O55" s="178">
        <v>0</v>
      </c>
      <c r="P55" s="178">
        <v>0</v>
      </c>
      <c r="Q55" s="178">
        <v>0</v>
      </c>
      <c r="R55" s="178">
        <v>0</v>
      </c>
      <c r="AB55" s="184"/>
    </row>
    <row r="56" spans="1:28" ht="15.75" thickBot="1">
      <c r="A56" s="189" t="s">
        <v>77</v>
      </c>
      <c r="B56" s="177">
        <v>0</v>
      </c>
      <c r="C56" s="177">
        <v>0</v>
      </c>
      <c r="D56" s="177">
        <v>0</v>
      </c>
      <c r="E56" s="177">
        <v>0</v>
      </c>
      <c r="F56" s="177">
        <v>0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AB56" s="184"/>
    </row>
    <row r="57" spans="1:28" ht="15.75" thickBot="1">
      <c r="A57" s="190" t="s">
        <v>78</v>
      </c>
      <c r="B57" s="178">
        <v>1813</v>
      </c>
      <c r="C57" s="178">
        <v>0</v>
      </c>
      <c r="D57" s="178">
        <v>0</v>
      </c>
      <c r="E57" s="178">
        <v>0</v>
      </c>
      <c r="F57" s="178">
        <v>0</v>
      </c>
      <c r="G57" s="178">
        <v>0</v>
      </c>
      <c r="H57" s="178">
        <v>183</v>
      </c>
      <c r="I57" s="178">
        <v>230</v>
      </c>
      <c r="J57" s="178">
        <v>326</v>
      </c>
      <c r="K57" s="178">
        <v>340</v>
      </c>
      <c r="L57" s="178">
        <v>387</v>
      </c>
      <c r="M57" s="178">
        <v>282</v>
      </c>
      <c r="N57" s="178">
        <v>65</v>
      </c>
      <c r="O57" s="178">
        <v>0</v>
      </c>
      <c r="P57" s="178">
        <v>0</v>
      </c>
      <c r="Q57" s="178">
        <v>0</v>
      </c>
      <c r="R57" s="178">
        <v>0</v>
      </c>
      <c r="AB57" s="184"/>
    </row>
    <row r="58" spans="1:28" ht="15.75" thickBot="1">
      <c r="A58" s="189" t="s">
        <v>79</v>
      </c>
      <c r="B58" s="177">
        <v>0</v>
      </c>
      <c r="C58" s="177">
        <v>0</v>
      </c>
      <c r="D58" s="177">
        <v>0</v>
      </c>
      <c r="E58" s="177">
        <v>0</v>
      </c>
      <c r="F58" s="177">
        <v>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AB58" s="184"/>
    </row>
    <row r="59" spans="1:28" ht="15.75" thickBot="1">
      <c r="A59" s="190" t="s">
        <v>80</v>
      </c>
      <c r="B59" s="178">
        <v>1799</v>
      </c>
      <c r="C59" s="178">
        <v>0</v>
      </c>
      <c r="D59" s="178">
        <v>0</v>
      </c>
      <c r="E59" s="178">
        <v>0</v>
      </c>
      <c r="F59" s="178">
        <v>0</v>
      </c>
      <c r="G59" s="178">
        <v>0</v>
      </c>
      <c r="H59" s="178">
        <v>343</v>
      </c>
      <c r="I59" s="178">
        <v>331</v>
      </c>
      <c r="J59" s="178">
        <v>318</v>
      </c>
      <c r="K59" s="178">
        <v>277</v>
      </c>
      <c r="L59" s="178">
        <v>291</v>
      </c>
      <c r="M59" s="178">
        <v>239</v>
      </c>
      <c r="N59" s="178">
        <v>0</v>
      </c>
      <c r="O59" s="178">
        <v>0</v>
      </c>
      <c r="P59" s="178">
        <v>0</v>
      </c>
      <c r="Q59" s="178">
        <v>0</v>
      </c>
      <c r="R59" s="178">
        <v>0</v>
      </c>
      <c r="AB59" s="184"/>
    </row>
    <row r="60" spans="1:28" ht="15.75" thickBot="1">
      <c r="A60" s="189" t="s">
        <v>81</v>
      </c>
      <c r="B60" s="177">
        <v>1087</v>
      </c>
      <c r="C60" s="177">
        <v>0</v>
      </c>
      <c r="D60" s="177">
        <v>0</v>
      </c>
      <c r="E60" s="177">
        <v>0</v>
      </c>
      <c r="F60" s="177">
        <v>0</v>
      </c>
      <c r="G60" s="177">
        <v>0</v>
      </c>
      <c r="H60" s="177">
        <v>180</v>
      </c>
      <c r="I60" s="177">
        <v>162</v>
      </c>
      <c r="J60" s="177">
        <v>161</v>
      </c>
      <c r="K60" s="177">
        <v>208</v>
      </c>
      <c r="L60" s="177">
        <v>200</v>
      </c>
      <c r="M60" s="177">
        <v>161</v>
      </c>
      <c r="N60" s="177">
        <v>15</v>
      </c>
      <c r="O60" s="177">
        <v>0</v>
      </c>
      <c r="P60" s="177">
        <v>0</v>
      </c>
      <c r="Q60" s="177">
        <v>0</v>
      </c>
      <c r="R60" s="177">
        <v>0</v>
      </c>
      <c r="AB60" s="184"/>
    </row>
    <row r="61" spans="1:28" ht="15.75" thickBot="1">
      <c r="A61" s="190" t="s">
        <v>82</v>
      </c>
      <c r="B61" s="178">
        <v>2790</v>
      </c>
      <c r="C61" s="178">
        <v>0</v>
      </c>
      <c r="D61" s="178">
        <v>0</v>
      </c>
      <c r="E61" s="178">
        <v>0</v>
      </c>
      <c r="F61" s="178">
        <v>0</v>
      </c>
      <c r="G61" s="178">
        <v>0</v>
      </c>
      <c r="H61" s="178">
        <v>457</v>
      </c>
      <c r="I61" s="178">
        <v>418</v>
      </c>
      <c r="J61" s="178">
        <v>345</v>
      </c>
      <c r="K61" s="178">
        <v>333</v>
      </c>
      <c r="L61" s="178">
        <v>292</v>
      </c>
      <c r="M61" s="178">
        <v>267</v>
      </c>
      <c r="N61" s="178">
        <v>14</v>
      </c>
      <c r="O61" s="178">
        <v>0</v>
      </c>
      <c r="P61" s="178">
        <v>300</v>
      </c>
      <c r="Q61" s="178">
        <v>226</v>
      </c>
      <c r="R61" s="178">
        <v>138</v>
      </c>
      <c r="AB61" s="184"/>
    </row>
    <row r="62" spans="1:28" ht="15.75" thickBot="1">
      <c r="A62" s="189" t="s">
        <v>83</v>
      </c>
      <c r="B62" s="177">
        <v>1906</v>
      </c>
      <c r="C62" s="177">
        <v>16</v>
      </c>
      <c r="D62" s="177">
        <v>17</v>
      </c>
      <c r="E62" s="177">
        <v>13</v>
      </c>
      <c r="F62" s="177">
        <v>19</v>
      </c>
      <c r="G62" s="177">
        <v>20</v>
      </c>
      <c r="H62" s="177">
        <v>321</v>
      </c>
      <c r="I62" s="177">
        <v>324</v>
      </c>
      <c r="J62" s="177">
        <v>270</v>
      </c>
      <c r="K62" s="177">
        <v>263</v>
      </c>
      <c r="L62" s="177">
        <v>224</v>
      </c>
      <c r="M62" s="177">
        <v>198</v>
      </c>
      <c r="N62" s="177">
        <v>9</v>
      </c>
      <c r="O62" s="177">
        <v>0</v>
      </c>
      <c r="P62" s="177">
        <v>96</v>
      </c>
      <c r="Q62" s="177">
        <v>81</v>
      </c>
      <c r="R62" s="177">
        <v>35</v>
      </c>
      <c r="AB62" s="184"/>
    </row>
    <row r="63" spans="1:28" ht="15.75" thickBot="1">
      <c r="A63" s="190" t="s">
        <v>84</v>
      </c>
      <c r="B63" s="178">
        <v>0</v>
      </c>
      <c r="C63" s="178">
        <v>0</v>
      </c>
      <c r="D63" s="178">
        <v>0</v>
      </c>
      <c r="E63" s="178">
        <v>0</v>
      </c>
      <c r="F63" s="178">
        <v>0</v>
      </c>
      <c r="G63" s="178">
        <v>0</v>
      </c>
      <c r="H63" s="178">
        <v>0</v>
      </c>
      <c r="I63" s="178">
        <v>0</v>
      </c>
      <c r="J63" s="178">
        <v>0</v>
      </c>
      <c r="K63" s="178">
        <v>0</v>
      </c>
      <c r="L63" s="178">
        <v>0</v>
      </c>
      <c r="M63" s="178">
        <v>0</v>
      </c>
      <c r="N63" s="178">
        <v>0</v>
      </c>
      <c r="O63" s="178">
        <v>0</v>
      </c>
      <c r="P63" s="178">
        <v>0</v>
      </c>
      <c r="Q63" s="178">
        <v>0</v>
      </c>
      <c r="R63" s="178">
        <v>0</v>
      </c>
      <c r="AB63" s="184"/>
    </row>
    <row r="64" spans="1:28" ht="15.75" thickBot="1">
      <c r="A64" s="189" t="s">
        <v>85</v>
      </c>
      <c r="B64" s="177">
        <v>38</v>
      </c>
      <c r="C64" s="177">
        <v>0</v>
      </c>
      <c r="D64" s="177">
        <v>0</v>
      </c>
      <c r="E64" s="177">
        <v>0</v>
      </c>
      <c r="F64" s="177">
        <v>0</v>
      </c>
      <c r="G64" s="177">
        <v>0</v>
      </c>
      <c r="H64" s="177">
        <v>8</v>
      </c>
      <c r="I64" s="177">
        <v>9</v>
      </c>
      <c r="J64" s="177">
        <v>10</v>
      </c>
      <c r="K64" s="177">
        <v>6</v>
      </c>
      <c r="L64" s="177">
        <v>2</v>
      </c>
      <c r="M64" s="177">
        <v>3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AB64" s="184"/>
    </row>
    <row r="65" spans="1:28" ht="15.75" thickBot="1">
      <c r="A65" s="190" t="s">
        <v>86</v>
      </c>
      <c r="B65" s="178">
        <v>27</v>
      </c>
      <c r="C65" s="178">
        <v>0</v>
      </c>
      <c r="D65" s="178">
        <v>0</v>
      </c>
      <c r="E65" s="178">
        <v>0</v>
      </c>
      <c r="F65" s="178">
        <v>0</v>
      </c>
      <c r="G65" s="178">
        <v>0</v>
      </c>
      <c r="H65" s="178">
        <v>10</v>
      </c>
      <c r="I65" s="178">
        <v>4</v>
      </c>
      <c r="J65" s="178">
        <v>6</v>
      </c>
      <c r="K65" s="178">
        <v>5</v>
      </c>
      <c r="L65" s="178">
        <v>1</v>
      </c>
      <c r="M65" s="178">
        <v>1</v>
      </c>
      <c r="N65" s="178">
        <v>0</v>
      </c>
      <c r="O65" s="178">
        <v>0</v>
      </c>
      <c r="P65" s="178">
        <v>0</v>
      </c>
      <c r="Q65" s="178">
        <v>0</v>
      </c>
      <c r="R65" s="178">
        <v>0</v>
      </c>
      <c r="AB65" s="184"/>
    </row>
    <row r="66" spans="1:28" ht="15.75" thickBot="1">
      <c r="A66" s="189" t="s">
        <v>87</v>
      </c>
      <c r="B66" s="177">
        <v>20</v>
      </c>
      <c r="C66" s="177">
        <v>0</v>
      </c>
      <c r="D66" s="177">
        <v>0</v>
      </c>
      <c r="E66" s="177">
        <v>0</v>
      </c>
      <c r="F66" s="177">
        <v>0</v>
      </c>
      <c r="G66" s="177">
        <v>0</v>
      </c>
      <c r="H66" s="177">
        <v>6</v>
      </c>
      <c r="I66" s="177">
        <v>2</v>
      </c>
      <c r="J66" s="177">
        <v>7</v>
      </c>
      <c r="K66" s="177">
        <v>3</v>
      </c>
      <c r="L66" s="177">
        <v>1</v>
      </c>
      <c r="M66" s="177">
        <v>1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AB66" s="184"/>
    </row>
    <row r="67" spans="1:28" ht="15.75" thickBot="1">
      <c r="A67" s="190" t="s">
        <v>88</v>
      </c>
      <c r="B67" s="178">
        <v>22</v>
      </c>
      <c r="C67" s="178">
        <v>0</v>
      </c>
      <c r="D67" s="178">
        <v>0</v>
      </c>
      <c r="E67" s="178">
        <v>0</v>
      </c>
      <c r="F67" s="178">
        <v>0</v>
      </c>
      <c r="G67" s="178">
        <v>0</v>
      </c>
      <c r="H67" s="178">
        <v>4</v>
      </c>
      <c r="I67" s="178">
        <v>1</v>
      </c>
      <c r="J67" s="178">
        <v>0</v>
      </c>
      <c r="K67" s="178">
        <v>0</v>
      </c>
      <c r="L67" s="178">
        <v>0</v>
      </c>
      <c r="M67" s="178">
        <v>0</v>
      </c>
      <c r="N67" s="178">
        <v>0</v>
      </c>
      <c r="O67" s="178">
        <v>0</v>
      </c>
      <c r="P67" s="178">
        <v>2</v>
      </c>
      <c r="Q67" s="178">
        <v>10</v>
      </c>
      <c r="R67" s="178">
        <v>5</v>
      </c>
      <c r="AB67" s="184"/>
    </row>
    <row r="68" spans="1:28" ht="15.75" thickBot="1">
      <c r="A68" s="189" t="s">
        <v>89</v>
      </c>
      <c r="B68" s="177">
        <v>0</v>
      </c>
      <c r="C68" s="177">
        <v>0</v>
      </c>
      <c r="D68" s="177">
        <v>0</v>
      </c>
      <c r="E68" s="177">
        <v>0</v>
      </c>
      <c r="F68" s="177">
        <v>0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AB68" s="184"/>
    </row>
    <row r="69" spans="1:28" ht="15.75" thickBot="1">
      <c r="A69" s="190" t="s">
        <v>90</v>
      </c>
      <c r="B69" s="178">
        <v>149</v>
      </c>
      <c r="C69" s="178">
        <v>0</v>
      </c>
      <c r="D69" s="178">
        <v>0</v>
      </c>
      <c r="E69" s="178">
        <v>0</v>
      </c>
      <c r="F69" s="178">
        <v>0</v>
      </c>
      <c r="G69" s="178">
        <v>0</v>
      </c>
      <c r="H69" s="178">
        <v>35</v>
      </c>
      <c r="I69" s="178">
        <v>31</v>
      </c>
      <c r="J69" s="178">
        <v>31</v>
      </c>
      <c r="K69" s="178">
        <v>17</v>
      </c>
      <c r="L69" s="178">
        <v>23</v>
      </c>
      <c r="M69" s="178">
        <v>12</v>
      </c>
      <c r="N69" s="178">
        <v>0</v>
      </c>
      <c r="O69" s="178">
        <v>0</v>
      </c>
      <c r="P69" s="178">
        <v>0</v>
      </c>
      <c r="Q69" s="178">
        <v>0</v>
      </c>
      <c r="R69" s="178">
        <v>0</v>
      </c>
      <c r="AB69" s="184"/>
    </row>
    <row r="70" spans="1:28" ht="15.75" thickBot="1">
      <c r="A70" s="189" t="s">
        <v>131</v>
      </c>
      <c r="B70" s="177">
        <v>292</v>
      </c>
      <c r="C70" s="177">
        <v>0</v>
      </c>
      <c r="D70" s="177">
        <v>86</v>
      </c>
      <c r="E70" s="177">
        <v>0</v>
      </c>
      <c r="F70" s="177">
        <v>0</v>
      </c>
      <c r="G70" s="177">
        <v>0</v>
      </c>
      <c r="H70" s="177">
        <v>132</v>
      </c>
      <c r="I70" s="177">
        <v>0</v>
      </c>
      <c r="J70" s="177">
        <v>0</v>
      </c>
      <c r="K70" s="177">
        <v>0</v>
      </c>
      <c r="L70" s="177">
        <v>0</v>
      </c>
      <c r="M70" s="177">
        <v>74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AB70" s="184"/>
    </row>
    <row r="71" spans="1:28" ht="15.75" thickBot="1">
      <c r="A71" s="190" t="s">
        <v>92</v>
      </c>
      <c r="B71" s="178">
        <v>166</v>
      </c>
      <c r="C71" s="178">
        <v>0</v>
      </c>
      <c r="D71" s="178">
        <v>38</v>
      </c>
      <c r="E71" s="178">
        <v>40</v>
      </c>
      <c r="F71" s="178">
        <v>20</v>
      </c>
      <c r="G71" s="178">
        <v>17</v>
      </c>
      <c r="H71" s="178">
        <v>10</v>
      </c>
      <c r="I71" s="178">
        <v>8</v>
      </c>
      <c r="J71" s="178">
        <v>5</v>
      </c>
      <c r="K71" s="178">
        <v>14</v>
      </c>
      <c r="L71" s="178">
        <v>7</v>
      </c>
      <c r="M71" s="178">
        <v>7</v>
      </c>
      <c r="N71" s="178">
        <v>0</v>
      </c>
      <c r="O71" s="178">
        <v>0</v>
      </c>
      <c r="P71" s="178">
        <v>0</v>
      </c>
      <c r="Q71" s="178">
        <v>0</v>
      </c>
      <c r="R71" s="178">
        <v>0</v>
      </c>
      <c r="AB71" s="184"/>
    </row>
    <row r="72" spans="1:28" ht="15.75" thickBot="1">
      <c r="A72" s="189" t="s">
        <v>93</v>
      </c>
      <c r="B72" s="177">
        <v>11</v>
      </c>
      <c r="C72" s="177">
        <v>0</v>
      </c>
      <c r="D72" s="177">
        <v>0</v>
      </c>
      <c r="E72" s="177">
        <v>0</v>
      </c>
      <c r="F72" s="177">
        <v>0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4</v>
      </c>
      <c r="Q72" s="177">
        <v>4</v>
      </c>
      <c r="R72" s="177">
        <v>3</v>
      </c>
      <c r="AB72" s="184"/>
    </row>
    <row r="73" spans="1:28" ht="15.75" thickBot="1">
      <c r="A73" s="190" t="s">
        <v>94</v>
      </c>
      <c r="B73" s="178">
        <v>30</v>
      </c>
      <c r="C73" s="178">
        <v>0</v>
      </c>
      <c r="D73" s="178">
        <v>0</v>
      </c>
      <c r="E73" s="178">
        <v>0</v>
      </c>
      <c r="F73" s="178">
        <v>0</v>
      </c>
      <c r="G73" s="178">
        <v>0</v>
      </c>
      <c r="H73" s="178">
        <v>0</v>
      </c>
      <c r="I73" s="178">
        <v>0</v>
      </c>
      <c r="J73" s="178">
        <v>0</v>
      </c>
      <c r="K73" s="178">
        <v>0</v>
      </c>
      <c r="L73" s="178">
        <v>0</v>
      </c>
      <c r="M73" s="178">
        <v>0</v>
      </c>
      <c r="N73" s="178">
        <v>0</v>
      </c>
      <c r="O73" s="178">
        <v>0</v>
      </c>
      <c r="P73" s="178">
        <v>17</v>
      </c>
      <c r="Q73" s="178">
        <v>9</v>
      </c>
      <c r="R73" s="178">
        <v>4</v>
      </c>
      <c r="AB73" s="184"/>
    </row>
    <row r="74" spans="1:28" ht="15.75" thickBot="1">
      <c r="A74" s="187" t="s">
        <v>49</v>
      </c>
      <c r="B74" s="203"/>
      <c r="C74" s="203"/>
      <c r="D74" s="203"/>
      <c r="E74" s="203"/>
      <c r="F74" s="203"/>
      <c r="G74" s="203"/>
      <c r="H74" s="203"/>
      <c r="I74" s="203"/>
      <c r="J74" s="203"/>
      <c r="K74" s="203"/>
      <c r="L74" s="203"/>
      <c r="M74" s="203"/>
      <c r="N74" s="203"/>
      <c r="O74" s="203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4"/>
    </row>
    <row r="75" spans="1:28" ht="15.75" thickBot="1">
      <c r="A75" s="188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  <c r="X75" s="205"/>
      <c r="Y75" s="205"/>
      <c r="Z75" s="205"/>
      <c r="AA75" s="205"/>
      <c r="AB75" s="206"/>
    </row>
    <row r="76" spans="1:28" ht="15.75" thickBot="1">
      <c r="A76" s="189" t="s">
        <v>40</v>
      </c>
      <c r="B76" s="177">
        <v>28507</v>
      </c>
      <c r="C76" s="177">
        <v>223</v>
      </c>
      <c r="D76" s="177">
        <v>3392</v>
      </c>
      <c r="E76" s="177">
        <v>2969</v>
      </c>
      <c r="F76" s="177">
        <v>2922</v>
      </c>
      <c r="G76" s="177">
        <v>3019</v>
      </c>
      <c r="H76" s="177">
        <v>2612</v>
      </c>
      <c r="I76" s="177">
        <v>2467</v>
      </c>
      <c r="J76" s="177">
        <v>2314</v>
      </c>
      <c r="K76" s="177">
        <v>2395</v>
      </c>
      <c r="L76" s="177">
        <v>2398</v>
      </c>
      <c r="M76" s="177">
        <v>2021</v>
      </c>
      <c r="N76" s="177">
        <v>506</v>
      </c>
      <c r="O76" s="177">
        <v>0</v>
      </c>
      <c r="P76" s="177">
        <v>565</v>
      </c>
      <c r="Q76" s="177">
        <v>409</v>
      </c>
      <c r="R76" s="177">
        <v>295</v>
      </c>
      <c r="AB76" s="184"/>
    </row>
    <row r="77" spans="1:28" ht="15.75" thickBot="1">
      <c r="A77" s="188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  <c r="AB77" s="206"/>
    </row>
    <row r="78" spans="1:28" ht="15.75" thickBot="1">
      <c r="A78" s="189" t="s">
        <v>75</v>
      </c>
      <c r="B78" s="177">
        <v>214</v>
      </c>
      <c r="C78" s="177">
        <v>214</v>
      </c>
      <c r="D78" s="177">
        <v>0</v>
      </c>
      <c r="E78" s="177">
        <v>0</v>
      </c>
      <c r="F78" s="177"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AB78" s="184"/>
    </row>
    <row r="79" spans="1:28" ht="15.75" thickBot="1">
      <c r="A79" s="190" t="s">
        <v>76</v>
      </c>
      <c r="B79" s="178">
        <v>11785</v>
      </c>
      <c r="C79" s="178">
        <v>0</v>
      </c>
      <c r="D79" s="178">
        <v>3155</v>
      </c>
      <c r="E79" s="178">
        <v>2845</v>
      </c>
      <c r="F79" s="178">
        <v>2846</v>
      </c>
      <c r="G79" s="178">
        <v>2923</v>
      </c>
      <c r="H79" s="178">
        <v>0</v>
      </c>
      <c r="I79" s="178">
        <v>0</v>
      </c>
      <c r="J79" s="178">
        <v>0</v>
      </c>
      <c r="K79" s="178">
        <v>0</v>
      </c>
      <c r="L79" s="178">
        <v>0</v>
      </c>
      <c r="M79" s="178">
        <v>0</v>
      </c>
      <c r="N79" s="178">
        <v>16</v>
      </c>
      <c r="O79" s="178">
        <v>0</v>
      </c>
      <c r="P79" s="178">
        <v>0</v>
      </c>
      <c r="Q79" s="178">
        <v>0</v>
      </c>
      <c r="R79" s="178">
        <v>0</v>
      </c>
      <c r="AB79" s="184"/>
    </row>
    <row r="80" spans="1:28" ht="15.75" thickBot="1">
      <c r="A80" s="189" t="s">
        <v>77</v>
      </c>
      <c r="B80" s="177">
        <v>0</v>
      </c>
      <c r="C80" s="177">
        <v>0</v>
      </c>
      <c r="D80" s="177">
        <v>0</v>
      </c>
      <c r="E80" s="177">
        <v>0</v>
      </c>
      <c r="F80" s="177"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AB80" s="184"/>
    </row>
    <row r="81" spans="1:28" ht="15.75" thickBot="1">
      <c r="A81" s="190" t="s">
        <v>78</v>
      </c>
      <c r="B81" s="178">
        <v>1007</v>
      </c>
      <c r="C81" s="178">
        <v>0</v>
      </c>
      <c r="D81" s="178">
        <v>0</v>
      </c>
      <c r="E81" s="178">
        <v>0</v>
      </c>
      <c r="F81" s="178">
        <v>0</v>
      </c>
      <c r="G81" s="178">
        <v>0</v>
      </c>
      <c r="H81" s="178">
        <v>75</v>
      </c>
      <c r="I81" s="178">
        <v>110</v>
      </c>
      <c r="J81" s="178">
        <v>102</v>
      </c>
      <c r="K81" s="178">
        <v>192</v>
      </c>
      <c r="L81" s="178">
        <v>258</v>
      </c>
      <c r="M81" s="178">
        <v>219</v>
      </c>
      <c r="N81" s="178">
        <v>51</v>
      </c>
      <c r="O81" s="178">
        <v>0</v>
      </c>
      <c r="P81" s="178">
        <v>0</v>
      </c>
      <c r="Q81" s="178">
        <v>0</v>
      </c>
      <c r="R81" s="178">
        <v>0</v>
      </c>
      <c r="AB81" s="184"/>
    </row>
    <row r="82" spans="1:28" ht="15.75" thickBot="1">
      <c r="A82" s="189" t="s">
        <v>79</v>
      </c>
      <c r="B82" s="177">
        <v>0</v>
      </c>
      <c r="C82" s="177">
        <v>0</v>
      </c>
      <c r="D82" s="177">
        <v>0</v>
      </c>
      <c r="E82" s="177">
        <v>0</v>
      </c>
      <c r="F82" s="177"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AB82" s="184"/>
    </row>
    <row r="83" spans="1:28" ht="15.75" thickBot="1">
      <c r="A83" s="190" t="s">
        <v>80</v>
      </c>
      <c r="B83" s="178">
        <v>1859</v>
      </c>
      <c r="C83" s="178">
        <v>0</v>
      </c>
      <c r="D83" s="178">
        <v>0</v>
      </c>
      <c r="E83" s="178">
        <v>0</v>
      </c>
      <c r="F83" s="178">
        <v>0</v>
      </c>
      <c r="G83" s="178">
        <v>0</v>
      </c>
      <c r="H83" s="178">
        <v>275</v>
      </c>
      <c r="I83" s="178">
        <v>307</v>
      </c>
      <c r="J83" s="178">
        <v>277</v>
      </c>
      <c r="K83" s="178">
        <v>300</v>
      </c>
      <c r="L83" s="178">
        <v>334</v>
      </c>
      <c r="M83" s="178">
        <v>341</v>
      </c>
      <c r="N83" s="178">
        <v>25</v>
      </c>
      <c r="O83" s="178">
        <v>0</v>
      </c>
      <c r="P83" s="178">
        <v>0</v>
      </c>
      <c r="Q83" s="178">
        <v>0</v>
      </c>
      <c r="R83" s="178">
        <v>0</v>
      </c>
      <c r="AB83" s="184"/>
    </row>
    <row r="84" spans="1:28" ht="15.75" thickBot="1">
      <c r="A84" s="189" t="s">
        <v>81</v>
      </c>
      <c r="B84" s="177">
        <v>3169</v>
      </c>
      <c r="C84" s="177">
        <v>0</v>
      </c>
      <c r="D84" s="177">
        <v>0</v>
      </c>
      <c r="E84" s="177">
        <v>0</v>
      </c>
      <c r="F84" s="177">
        <v>0</v>
      </c>
      <c r="G84" s="177">
        <v>0</v>
      </c>
      <c r="H84" s="177">
        <v>527</v>
      </c>
      <c r="I84" s="177">
        <v>503</v>
      </c>
      <c r="J84" s="177">
        <v>547</v>
      </c>
      <c r="K84" s="177">
        <v>589</v>
      </c>
      <c r="L84" s="177">
        <v>579</v>
      </c>
      <c r="M84" s="177">
        <v>323</v>
      </c>
      <c r="N84" s="177">
        <v>101</v>
      </c>
      <c r="O84" s="177">
        <v>0</v>
      </c>
      <c r="P84" s="177">
        <v>0</v>
      </c>
      <c r="Q84" s="177">
        <v>0</v>
      </c>
      <c r="R84" s="177">
        <v>0</v>
      </c>
      <c r="AB84" s="184"/>
    </row>
    <row r="85" spans="1:28" ht="15.75" thickBot="1">
      <c r="A85" s="190" t="s">
        <v>82</v>
      </c>
      <c r="B85" s="178">
        <v>3473</v>
      </c>
      <c r="C85" s="178">
        <v>0</v>
      </c>
      <c r="D85" s="178">
        <v>0</v>
      </c>
      <c r="E85" s="178">
        <v>0</v>
      </c>
      <c r="F85" s="178">
        <v>0</v>
      </c>
      <c r="G85" s="178">
        <v>0</v>
      </c>
      <c r="H85" s="178">
        <v>539</v>
      </c>
      <c r="I85" s="178">
        <v>490</v>
      </c>
      <c r="J85" s="178">
        <v>455</v>
      </c>
      <c r="K85" s="178">
        <v>388</v>
      </c>
      <c r="L85" s="178">
        <v>370</v>
      </c>
      <c r="M85" s="178">
        <v>331</v>
      </c>
      <c r="N85" s="178">
        <v>162</v>
      </c>
      <c r="O85" s="178">
        <v>0</v>
      </c>
      <c r="P85" s="178">
        <v>300</v>
      </c>
      <c r="Q85" s="178">
        <v>235</v>
      </c>
      <c r="R85" s="178">
        <v>203</v>
      </c>
      <c r="AB85" s="184"/>
    </row>
    <row r="86" spans="1:28" ht="15.75" thickBot="1">
      <c r="A86" s="189" t="s">
        <v>83</v>
      </c>
      <c r="B86" s="177">
        <v>4569</v>
      </c>
      <c r="C86" s="177">
        <v>0</v>
      </c>
      <c r="D86" s="177">
        <v>37</v>
      </c>
      <c r="E86" s="177">
        <v>37</v>
      </c>
      <c r="F86" s="177">
        <v>33</v>
      </c>
      <c r="G86" s="177">
        <v>40</v>
      </c>
      <c r="H86" s="177">
        <v>776</v>
      </c>
      <c r="I86" s="177">
        <v>785</v>
      </c>
      <c r="J86" s="177">
        <v>646</v>
      </c>
      <c r="K86" s="177">
        <v>636</v>
      </c>
      <c r="L86" s="177">
        <v>601</v>
      </c>
      <c r="M86" s="177">
        <v>499</v>
      </c>
      <c r="N86" s="177">
        <v>95</v>
      </c>
      <c r="O86" s="177">
        <v>0</v>
      </c>
      <c r="P86" s="177">
        <v>187</v>
      </c>
      <c r="Q86" s="177">
        <v>136</v>
      </c>
      <c r="R86" s="177">
        <v>61</v>
      </c>
      <c r="AB86" s="184"/>
    </row>
    <row r="87" spans="1:28" ht="15.75" thickBot="1">
      <c r="A87" s="190" t="s">
        <v>84</v>
      </c>
      <c r="B87" s="178">
        <v>0</v>
      </c>
      <c r="C87" s="178">
        <v>0</v>
      </c>
      <c r="D87" s="178">
        <v>0</v>
      </c>
      <c r="E87" s="178">
        <v>0</v>
      </c>
      <c r="F87" s="178">
        <v>0</v>
      </c>
      <c r="G87" s="178">
        <v>0</v>
      </c>
      <c r="H87" s="178">
        <v>0</v>
      </c>
      <c r="I87" s="178">
        <v>0</v>
      </c>
      <c r="J87" s="178">
        <v>0</v>
      </c>
      <c r="K87" s="178">
        <v>0</v>
      </c>
      <c r="L87" s="178">
        <v>0</v>
      </c>
      <c r="M87" s="178">
        <v>0</v>
      </c>
      <c r="N87" s="178">
        <v>0</v>
      </c>
      <c r="O87" s="178">
        <v>0</v>
      </c>
      <c r="P87" s="178">
        <v>0</v>
      </c>
      <c r="Q87" s="178">
        <v>0</v>
      </c>
      <c r="R87" s="178">
        <v>0</v>
      </c>
      <c r="AB87" s="184"/>
    </row>
    <row r="88" spans="1:28" ht="15.75" thickBot="1">
      <c r="A88" s="189" t="s">
        <v>85</v>
      </c>
      <c r="B88" s="177">
        <v>563</v>
      </c>
      <c r="C88" s="177">
        <v>0</v>
      </c>
      <c r="D88" s="177">
        <v>0</v>
      </c>
      <c r="E88" s="177">
        <v>0</v>
      </c>
      <c r="F88" s="177">
        <v>0</v>
      </c>
      <c r="G88" s="177">
        <v>0</v>
      </c>
      <c r="H88" s="177">
        <v>55</v>
      </c>
      <c r="I88" s="177">
        <v>73</v>
      </c>
      <c r="J88" s="177">
        <v>93</v>
      </c>
      <c r="K88" s="177">
        <v>111</v>
      </c>
      <c r="L88" s="177">
        <v>108</v>
      </c>
      <c r="M88" s="177">
        <v>67</v>
      </c>
      <c r="N88" s="177">
        <v>56</v>
      </c>
      <c r="O88" s="177">
        <v>0</v>
      </c>
      <c r="P88" s="177">
        <v>0</v>
      </c>
      <c r="Q88" s="177">
        <v>0</v>
      </c>
      <c r="R88" s="177">
        <v>0</v>
      </c>
      <c r="AB88" s="184"/>
    </row>
    <row r="89" spans="1:28" ht="15.75" thickBot="1">
      <c r="A89" s="190" t="s">
        <v>86</v>
      </c>
      <c r="B89" s="178">
        <v>591</v>
      </c>
      <c r="C89" s="178">
        <v>0</v>
      </c>
      <c r="D89" s="178">
        <v>0</v>
      </c>
      <c r="E89" s="178">
        <v>0</v>
      </c>
      <c r="F89" s="178">
        <v>0</v>
      </c>
      <c r="G89" s="178">
        <v>0</v>
      </c>
      <c r="H89" s="178">
        <v>113</v>
      </c>
      <c r="I89" s="178">
        <v>112</v>
      </c>
      <c r="J89" s="178">
        <v>106</v>
      </c>
      <c r="K89" s="178">
        <v>91</v>
      </c>
      <c r="L89" s="178">
        <v>79</v>
      </c>
      <c r="M89" s="178">
        <v>90</v>
      </c>
      <c r="N89" s="178">
        <v>0</v>
      </c>
      <c r="O89" s="178">
        <v>0</v>
      </c>
      <c r="P89" s="178">
        <v>0</v>
      </c>
      <c r="Q89" s="178">
        <v>0</v>
      </c>
      <c r="R89" s="178">
        <v>0</v>
      </c>
      <c r="AB89" s="184"/>
    </row>
    <row r="90" spans="1:28" ht="15.75" thickBot="1">
      <c r="A90" s="189" t="s">
        <v>87</v>
      </c>
      <c r="B90" s="177">
        <v>342</v>
      </c>
      <c r="C90" s="177">
        <v>0</v>
      </c>
      <c r="D90" s="177">
        <v>0</v>
      </c>
      <c r="E90" s="177">
        <v>0</v>
      </c>
      <c r="F90" s="177">
        <v>0</v>
      </c>
      <c r="G90" s="177">
        <v>0</v>
      </c>
      <c r="H90" s="177">
        <v>70</v>
      </c>
      <c r="I90" s="177">
        <v>50</v>
      </c>
      <c r="J90" s="177">
        <v>37</v>
      </c>
      <c r="K90" s="177">
        <v>35</v>
      </c>
      <c r="L90" s="177">
        <v>26</v>
      </c>
      <c r="M90" s="177">
        <v>31</v>
      </c>
      <c r="N90" s="177">
        <v>0</v>
      </c>
      <c r="O90" s="177">
        <v>0</v>
      </c>
      <c r="P90" s="177">
        <v>52</v>
      </c>
      <c r="Q90" s="177">
        <v>19</v>
      </c>
      <c r="R90" s="177">
        <v>22</v>
      </c>
      <c r="AB90" s="184"/>
    </row>
    <row r="91" spans="1:28" ht="15.75" thickBot="1">
      <c r="A91" s="190" t="s">
        <v>88</v>
      </c>
      <c r="B91" s="178">
        <v>52</v>
      </c>
      <c r="C91" s="178">
        <v>0</v>
      </c>
      <c r="D91" s="178">
        <v>0</v>
      </c>
      <c r="E91" s="178">
        <v>0</v>
      </c>
      <c r="F91" s="178">
        <v>0</v>
      </c>
      <c r="G91" s="178">
        <v>0</v>
      </c>
      <c r="H91" s="178">
        <v>4</v>
      </c>
      <c r="I91" s="178">
        <v>4</v>
      </c>
      <c r="J91" s="178">
        <v>7</v>
      </c>
      <c r="K91" s="178">
        <v>8</v>
      </c>
      <c r="L91" s="178">
        <v>6</v>
      </c>
      <c r="M91" s="178">
        <v>4</v>
      </c>
      <c r="N91" s="178">
        <v>0</v>
      </c>
      <c r="O91" s="178">
        <v>0</v>
      </c>
      <c r="P91" s="178">
        <v>8</v>
      </c>
      <c r="Q91" s="178">
        <v>5</v>
      </c>
      <c r="R91" s="178">
        <v>6</v>
      </c>
      <c r="AB91" s="184"/>
    </row>
    <row r="92" spans="1:28" ht="15.75" thickBot="1">
      <c r="A92" s="189" t="s">
        <v>89</v>
      </c>
      <c r="B92" s="177">
        <v>9</v>
      </c>
      <c r="C92" s="177">
        <v>9</v>
      </c>
      <c r="D92" s="177">
        <v>0</v>
      </c>
      <c r="E92" s="177">
        <v>0</v>
      </c>
      <c r="F92" s="177"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AB92" s="184"/>
    </row>
    <row r="93" spans="1:28" ht="15.75" thickBot="1">
      <c r="A93" s="190" t="s">
        <v>90</v>
      </c>
      <c r="B93" s="178">
        <v>73</v>
      </c>
      <c r="C93" s="178">
        <v>0</v>
      </c>
      <c r="D93" s="178">
        <v>0</v>
      </c>
      <c r="E93" s="178">
        <v>0</v>
      </c>
      <c r="F93" s="178">
        <v>0</v>
      </c>
      <c r="G93" s="178">
        <v>0</v>
      </c>
      <c r="H93" s="178">
        <v>15</v>
      </c>
      <c r="I93" s="178">
        <v>6</v>
      </c>
      <c r="J93" s="178">
        <v>13</v>
      </c>
      <c r="K93" s="178">
        <v>7</v>
      </c>
      <c r="L93" s="178">
        <v>16</v>
      </c>
      <c r="M93" s="178">
        <v>16</v>
      </c>
      <c r="N93" s="178">
        <v>0</v>
      </c>
      <c r="O93" s="178">
        <v>0</v>
      </c>
      <c r="P93" s="178">
        <v>0</v>
      </c>
      <c r="Q93" s="178">
        <v>0</v>
      </c>
      <c r="R93" s="178">
        <v>0</v>
      </c>
      <c r="AB93" s="184"/>
    </row>
    <row r="94" spans="1:28" ht="15.75" thickBot="1">
      <c r="A94" s="189" t="s">
        <v>131</v>
      </c>
      <c r="B94" s="177">
        <v>322</v>
      </c>
      <c r="C94" s="177">
        <v>0</v>
      </c>
      <c r="D94" s="177">
        <v>114</v>
      </c>
      <c r="E94" s="177">
        <v>0</v>
      </c>
      <c r="F94" s="177">
        <v>0</v>
      </c>
      <c r="G94" s="177">
        <v>0</v>
      </c>
      <c r="H94" s="177">
        <v>131</v>
      </c>
      <c r="I94" s="177">
        <v>0</v>
      </c>
      <c r="J94" s="177">
        <v>0</v>
      </c>
      <c r="K94" s="177">
        <v>0</v>
      </c>
      <c r="L94" s="177">
        <v>0</v>
      </c>
      <c r="M94" s="177">
        <v>77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AB94" s="184"/>
    </row>
    <row r="95" spans="1:28" ht="15.75" thickBot="1">
      <c r="A95" s="190" t="s">
        <v>92</v>
      </c>
      <c r="B95" s="178">
        <v>444</v>
      </c>
      <c r="C95" s="178">
        <v>0</v>
      </c>
      <c r="D95" s="178">
        <v>86</v>
      </c>
      <c r="E95" s="178">
        <v>87</v>
      </c>
      <c r="F95" s="178">
        <v>43</v>
      </c>
      <c r="G95" s="178">
        <v>56</v>
      </c>
      <c r="H95" s="178">
        <v>32</v>
      </c>
      <c r="I95" s="178">
        <v>27</v>
      </c>
      <c r="J95" s="178">
        <v>31</v>
      </c>
      <c r="K95" s="178">
        <v>38</v>
      </c>
      <c r="L95" s="178">
        <v>21</v>
      </c>
      <c r="M95" s="178">
        <v>23</v>
      </c>
      <c r="N95" s="178">
        <v>0</v>
      </c>
      <c r="O95" s="178">
        <v>0</v>
      </c>
      <c r="P95" s="178">
        <v>0</v>
      </c>
      <c r="Q95" s="178">
        <v>0</v>
      </c>
      <c r="R95" s="178">
        <v>0</v>
      </c>
      <c r="AB95" s="184"/>
    </row>
    <row r="96" spans="1:28" ht="15.75" thickBot="1">
      <c r="A96" s="189" t="s">
        <v>93</v>
      </c>
      <c r="B96" s="177">
        <v>14</v>
      </c>
      <c r="C96" s="177">
        <v>0</v>
      </c>
      <c r="D96" s="177">
        <v>0</v>
      </c>
      <c r="E96" s="177">
        <v>0</v>
      </c>
      <c r="F96" s="177"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6</v>
      </c>
      <c r="Q96" s="177">
        <v>6</v>
      </c>
      <c r="R96" s="177">
        <v>2</v>
      </c>
      <c r="AB96" s="184"/>
    </row>
    <row r="97" spans="1:28" ht="15.75" thickBot="1">
      <c r="A97" s="190" t="s">
        <v>94</v>
      </c>
      <c r="B97" s="178">
        <v>21</v>
      </c>
      <c r="C97" s="178">
        <v>0</v>
      </c>
      <c r="D97" s="178">
        <v>0</v>
      </c>
      <c r="E97" s="178">
        <v>0</v>
      </c>
      <c r="F97" s="178">
        <v>0</v>
      </c>
      <c r="G97" s="178">
        <v>0</v>
      </c>
      <c r="H97" s="178">
        <v>0</v>
      </c>
      <c r="I97" s="178">
        <v>0</v>
      </c>
      <c r="J97" s="178">
        <v>0</v>
      </c>
      <c r="K97" s="178">
        <v>0</v>
      </c>
      <c r="L97" s="178">
        <v>0</v>
      </c>
      <c r="M97" s="178">
        <v>0</v>
      </c>
      <c r="N97" s="178">
        <v>0</v>
      </c>
      <c r="O97" s="178">
        <v>0</v>
      </c>
      <c r="P97" s="178">
        <v>12</v>
      </c>
      <c r="Q97" s="178">
        <v>8</v>
      </c>
      <c r="R97" s="178">
        <v>1</v>
      </c>
      <c r="AB97" s="184"/>
    </row>
    <row r="98" spans="1:28" ht="15.75" thickBot="1">
      <c r="A98" s="187" t="s">
        <v>50</v>
      </c>
      <c r="B98" s="203"/>
      <c r="C98" s="203"/>
      <c r="D98" s="203"/>
      <c r="E98" s="203"/>
      <c r="F98" s="203"/>
      <c r="G98" s="203"/>
      <c r="H98" s="203"/>
      <c r="I98" s="203"/>
      <c r="J98" s="203"/>
      <c r="K98" s="203"/>
      <c r="L98" s="203"/>
      <c r="M98" s="203"/>
      <c r="N98" s="203"/>
      <c r="O98" s="203"/>
      <c r="P98" s="203"/>
      <c r="Q98" s="203"/>
      <c r="R98" s="203"/>
      <c r="S98" s="203"/>
      <c r="T98" s="203"/>
      <c r="U98" s="203"/>
      <c r="V98" s="203"/>
      <c r="W98" s="203"/>
      <c r="X98" s="203"/>
      <c r="Y98" s="203"/>
      <c r="Z98" s="203"/>
      <c r="AA98" s="203"/>
      <c r="AB98" s="204"/>
    </row>
    <row r="99" spans="1:28" ht="15.75" thickBot="1">
      <c r="A99" s="188"/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  <c r="S99" s="205"/>
      <c r="T99" s="205"/>
      <c r="U99" s="205"/>
      <c r="V99" s="205"/>
      <c r="W99" s="205"/>
      <c r="X99" s="205"/>
      <c r="Y99" s="205"/>
      <c r="Z99" s="205"/>
      <c r="AA99" s="205"/>
      <c r="AB99" s="206"/>
    </row>
    <row r="100" spans="1:28" ht="15.75" thickBot="1">
      <c r="A100" s="189" t="s">
        <v>40</v>
      </c>
      <c r="B100" s="177">
        <v>15421</v>
      </c>
      <c r="C100" s="177">
        <v>157</v>
      </c>
      <c r="D100" s="177">
        <v>1895</v>
      </c>
      <c r="E100" s="177">
        <v>1766</v>
      </c>
      <c r="F100" s="177">
        <v>1675</v>
      </c>
      <c r="G100" s="177">
        <v>1698</v>
      </c>
      <c r="H100" s="177">
        <v>1416</v>
      </c>
      <c r="I100" s="177">
        <v>1379</v>
      </c>
      <c r="J100" s="177">
        <v>1267</v>
      </c>
      <c r="K100" s="177">
        <v>1387</v>
      </c>
      <c r="L100" s="177">
        <v>1276</v>
      </c>
      <c r="M100" s="177">
        <v>880</v>
      </c>
      <c r="N100" s="177">
        <v>217</v>
      </c>
      <c r="O100" s="177">
        <v>0</v>
      </c>
      <c r="P100" s="177">
        <v>177</v>
      </c>
      <c r="Q100" s="177">
        <v>131</v>
      </c>
      <c r="R100" s="177">
        <v>100</v>
      </c>
      <c r="AB100" s="184"/>
    </row>
    <row r="101" spans="1:28" ht="15.75" thickBot="1">
      <c r="A101" s="188"/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  <c r="S101" s="205"/>
      <c r="T101" s="205"/>
      <c r="U101" s="205"/>
      <c r="V101" s="205"/>
      <c r="W101" s="205"/>
      <c r="X101" s="205"/>
      <c r="Y101" s="205"/>
      <c r="Z101" s="205"/>
      <c r="AA101" s="205"/>
      <c r="AB101" s="206"/>
    </row>
    <row r="102" spans="1:28" ht="15.75" thickBot="1">
      <c r="A102" s="189" t="s">
        <v>75</v>
      </c>
      <c r="B102" s="177">
        <v>157</v>
      </c>
      <c r="C102" s="177">
        <v>157</v>
      </c>
      <c r="D102" s="177">
        <v>0</v>
      </c>
      <c r="E102" s="177">
        <v>0</v>
      </c>
      <c r="F102" s="177"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AB102" s="184"/>
    </row>
    <row r="103" spans="1:28" ht="15.75" thickBot="1">
      <c r="A103" s="190" t="s">
        <v>76</v>
      </c>
      <c r="B103" s="178">
        <v>6974</v>
      </c>
      <c r="C103" s="178">
        <v>0</v>
      </c>
      <c r="D103" s="178">
        <v>1820</v>
      </c>
      <c r="E103" s="178">
        <v>1740</v>
      </c>
      <c r="F103" s="178">
        <v>1664</v>
      </c>
      <c r="G103" s="178">
        <v>1690</v>
      </c>
      <c r="H103" s="178">
        <v>0</v>
      </c>
      <c r="I103" s="178">
        <v>0</v>
      </c>
      <c r="J103" s="178">
        <v>0</v>
      </c>
      <c r="K103" s="178">
        <v>0</v>
      </c>
      <c r="L103" s="178">
        <v>0</v>
      </c>
      <c r="M103" s="178">
        <v>0</v>
      </c>
      <c r="N103" s="178">
        <v>60</v>
      </c>
      <c r="O103" s="178">
        <v>0</v>
      </c>
      <c r="P103" s="178">
        <v>0</v>
      </c>
      <c r="Q103" s="178">
        <v>0</v>
      </c>
      <c r="R103" s="178">
        <v>0</v>
      </c>
      <c r="AB103" s="184"/>
    </row>
    <row r="104" spans="1:28" ht="15.75" thickBot="1">
      <c r="A104" s="189" t="s">
        <v>77</v>
      </c>
      <c r="B104" s="177">
        <v>0</v>
      </c>
      <c r="C104" s="177">
        <v>0</v>
      </c>
      <c r="D104" s="177">
        <v>0</v>
      </c>
      <c r="E104" s="177">
        <v>0</v>
      </c>
      <c r="F104" s="177"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AB104" s="184"/>
    </row>
    <row r="105" spans="1:28" ht="15.75" thickBot="1">
      <c r="A105" s="190" t="s">
        <v>78</v>
      </c>
      <c r="B105" s="178">
        <v>674</v>
      </c>
      <c r="C105" s="178">
        <v>0</v>
      </c>
      <c r="D105" s="178">
        <v>0</v>
      </c>
      <c r="E105" s="178">
        <v>0</v>
      </c>
      <c r="F105" s="178">
        <v>0</v>
      </c>
      <c r="G105" s="178">
        <v>0</v>
      </c>
      <c r="H105" s="178">
        <v>83</v>
      </c>
      <c r="I105" s="178">
        <v>112</v>
      </c>
      <c r="J105" s="178">
        <v>128</v>
      </c>
      <c r="K105" s="178">
        <v>141</v>
      </c>
      <c r="L105" s="178">
        <v>144</v>
      </c>
      <c r="M105" s="178">
        <v>54</v>
      </c>
      <c r="N105" s="178">
        <v>12</v>
      </c>
      <c r="O105" s="178">
        <v>0</v>
      </c>
      <c r="P105" s="178">
        <v>0</v>
      </c>
      <c r="Q105" s="178">
        <v>0</v>
      </c>
      <c r="R105" s="178">
        <v>0</v>
      </c>
      <c r="AB105" s="184"/>
    </row>
    <row r="106" spans="1:28" ht="15.75" thickBot="1">
      <c r="A106" s="189" t="s">
        <v>79</v>
      </c>
      <c r="B106" s="177">
        <v>0</v>
      </c>
      <c r="C106" s="177">
        <v>0</v>
      </c>
      <c r="D106" s="177">
        <v>0</v>
      </c>
      <c r="E106" s="177">
        <v>0</v>
      </c>
      <c r="F106" s="177">
        <v>0</v>
      </c>
      <c r="G106" s="177">
        <v>0</v>
      </c>
      <c r="H106" s="177">
        <v>0</v>
      </c>
      <c r="I106" s="177">
        <v>0</v>
      </c>
      <c r="J106" s="177">
        <v>0</v>
      </c>
      <c r="K106" s="177">
        <v>0</v>
      </c>
      <c r="L106" s="177">
        <v>0</v>
      </c>
      <c r="M106" s="177">
        <v>0</v>
      </c>
      <c r="N106" s="177">
        <v>0</v>
      </c>
      <c r="O106" s="177">
        <v>0</v>
      </c>
      <c r="P106" s="177">
        <v>0</v>
      </c>
      <c r="Q106" s="177">
        <v>0</v>
      </c>
      <c r="R106" s="177">
        <v>0</v>
      </c>
      <c r="AB106" s="184"/>
    </row>
    <row r="107" spans="1:28" ht="15.75" thickBot="1">
      <c r="A107" s="190" t="s">
        <v>80</v>
      </c>
      <c r="B107" s="178">
        <v>748</v>
      </c>
      <c r="C107" s="178">
        <v>0</v>
      </c>
      <c r="D107" s="178">
        <v>0</v>
      </c>
      <c r="E107" s="178">
        <v>0</v>
      </c>
      <c r="F107" s="178">
        <v>0</v>
      </c>
      <c r="G107" s="178">
        <v>0</v>
      </c>
      <c r="H107" s="178">
        <v>143</v>
      </c>
      <c r="I107" s="178">
        <v>140</v>
      </c>
      <c r="J107" s="178">
        <v>101</v>
      </c>
      <c r="K107" s="178">
        <v>145</v>
      </c>
      <c r="L107" s="178">
        <v>126</v>
      </c>
      <c r="M107" s="178">
        <v>93</v>
      </c>
      <c r="N107" s="178">
        <v>0</v>
      </c>
      <c r="O107" s="178">
        <v>0</v>
      </c>
      <c r="P107" s="178">
        <v>0</v>
      </c>
      <c r="Q107" s="178">
        <v>0</v>
      </c>
      <c r="R107" s="178">
        <v>0</v>
      </c>
      <c r="AB107" s="184"/>
    </row>
    <row r="108" spans="1:28" ht="15.75" thickBot="1">
      <c r="A108" s="189" t="s">
        <v>81</v>
      </c>
      <c r="B108" s="177">
        <v>3251</v>
      </c>
      <c r="C108" s="177">
        <v>0</v>
      </c>
      <c r="D108" s="177">
        <v>0</v>
      </c>
      <c r="E108" s="177">
        <v>0</v>
      </c>
      <c r="F108" s="177">
        <v>0</v>
      </c>
      <c r="G108" s="177">
        <v>0</v>
      </c>
      <c r="H108" s="177">
        <v>504</v>
      </c>
      <c r="I108" s="177">
        <v>526</v>
      </c>
      <c r="J108" s="177">
        <v>544</v>
      </c>
      <c r="K108" s="177">
        <v>619</v>
      </c>
      <c r="L108" s="177">
        <v>559</v>
      </c>
      <c r="M108" s="177">
        <v>354</v>
      </c>
      <c r="N108" s="177">
        <v>145</v>
      </c>
      <c r="O108" s="177">
        <v>0</v>
      </c>
      <c r="P108" s="177">
        <v>0</v>
      </c>
      <c r="Q108" s="177">
        <v>0</v>
      </c>
      <c r="R108" s="177">
        <v>0</v>
      </c>
      <c r="AB108" s="184"/>
    </row>
    <row r="109" spans="1:28" ht="15.75" thickBot="1">
      <c r="A109" s="190" t="s">
        <v>82</v>
      </c>
      <c r="B109" s="178">
        <v>1762</v>
      </c>
      <c r="C109" s="178">
        <v>0</v>
      </c>
      <c r="D109" s="178">
        <v>0</v>
      </c>
      <c r="E109" s="178">
        <v>0</v>
      </c>
      <c r="F109" s="178">
        <v>0</v>
      </c>
      <c r="G109" s="178">
        <v>0</v>
      </c>
      <c r="H109" s="178">
        <v>333</v>
      </c>
      <c r="I109" s="178">
        <v>331</v>
      </c>
      <c r="J109" s="178">
        <v>229</v>
      </c>
      <c r="K109" s="178">
        <v>213</v>
      </c>
      <c r="L109" s="178">
        <v>178</v>
      </c>
      <c r="M109" s="178">
        <v>161</v>
      </c>
      <c r="N109" s="178">
        <v>0</v>
      </c>
      <c r="O109" s="178">
        <v>0</v>
      </c>
      <c r="P109" s="178">
        <v>133</v>
      </c>
      <c r="Q109" s="178">
        <v>104</v>
      </c>
      <c r="R109" s="178">
        <v>80</v>
      </c>
      <c r="AB109" s="184"/>
    </row>
    <row r="110" spans="1:28" ht="15.75" thickBot="1">
      <c r="A110" s="189" t="s">
        <v>83</v>
      </c>
      <c r="B110" s="177">
        <v>984</v>
      </c>
      <c r="C110" s="177">
        <v>0</v>
      </c>
      <c r="D110" s="177">
        <v>1</v>
      </c>
      <c r="E110" s="177">
        <v>1</v>
      </c>
      <c r="F110" s="177">
        <v>0</v>
      </c>
      <c r="G110" s="177">
        <v>2</v>
      </c>
      <c r="H110" s="177">
        <v>178</v>
      </c>
      <c r="I110" s="177">
        <v>159</v>
      </c>
      <c r="J110" s="177">
        <v>153</v>
      </c>
      <c r="K110" s="177">
        <v>167</v>
      </c>
      <c r="L110" s="177">
        <v>139</v>
      </c>
      <c r="M110" s="177">
        <v>123</v>
      </c>
      <c r="N110" s="177">
        <v>0</v>
      </c>
      <c r="O110" s="177">
        <v>0</v>
      </c>
      <c r="P110" s="177">
        <v>34</v>
      </c>
      <c r="Q110" s="177">
        <v>17</v>
      </c>
      <c r="R110" s="177">
        <v>10</v>
      </c>
      <c r="AB110" s="184"/>
    </row>
    <row r="111" spans="1:28" ht="15.75" thickBot="1">
      <c r="A111" s="190" t="s">
        <v>84</v>
      </c>
      <c r="B111" s="178">
        <v>0</v>
      </c>
      <c r="C111" s="178">
        <v>0</v>
      </c>
      <c r="D111" s="178">
        <v>0</v>
      </c>
      <c r="E111" s="178">
        <v>0</v>
      </c>
      <c r="F111" s="178">
        <v>0</v>
      </c>
      <c r="G111" s="178">
        <v>0</v>
      </c>
      <c r="H111" s="178">
        <v>0</v>
      </c>
      <c r="I111" s="178">
        <v>0</v>
      </c>
      <c r="J111" s="178">
        <v>0</v>
      </c>
      <c r="K111" s="178">
        <v>0</v>
      </c>
      <c r="L111" s="178">
        <v>0</v>
      </c>
      <c r="M111" s="178">
        <v>0</v>
      </c>
      <c r="N111" s="178">
        <v>0</v>
      </c>
      <c r="O111" s="178">
        <v>0</v>
      </c>
      <c r="P111" s="178">
        <v>0</v>
      </c>
      <c r="Q111" s="178">
        <v>0</v>
      </c>
      <c r="R111" s="178">
        <v>0</v>
      </c>
      <c r="AB111" s="184"/>
    </row>
    <row r="112" spans="1:28" ht="15.75" thickBot="1">
      <c r="A112" s="189" t="s">
        <v>85</v>
      </c>
      <c r="B112" s="177">
        <v>214</v>
      </c>
      <c r="C112" s="177">
        <v>0</v>
      </c>
      <c r="D112" s="177">
        <v>0</v>
      </c>
      <c r="E112" s="177">
        <v>0</v>
      </c>
      <c r="F112" s="177">
        <v>0</v>
      </c>
      <c r="G112" s="177">
        <v>0</v>
      </c>
      <c r="H112" s="177">
        <v>32</v>
      </c>
      <c r="I112" s="177">
        <v>36</v>
      </c>
      <c r="J112" s="177">
        <v>35</v>
      </c>
      <c r="K112" s="177">
        <v>40</v>
      </c>
      <c r="L112" s="177">
        <v>49</v>
      </c>
      <c r="M112" s="177">
        <v>22</v>
      </c>
      <c r="N112" s="177">
        <v>0</v>
      </c>
      <c r="O112" s="177">
        <v>0</v>
      </c>
      <c r="P112" s="177">
        <v>0</v>
      </c>
      <c r="Q112" s="177">
        <v>0</v>
      </c>
      <c r="R112" s="177">
        <v>0</v>
      </c>
      <c r="AB112" s="184"/>
    </row>
    <row r="113" spans="1:28" ht="15.75" thickBot="1">
      <c r="A113" s="190" t="s">
        <v>86</v>
      </c>
      <c r="B113" s="178">
        <v>224</v>
      </c>
      <c r="C113" s="178">
        <v>0</v>
      </c>
      <c r="D113" s="178">
        <v>0</v>
      </c>
      <c r="E113" s="178">
        <v>0</v>
      </c>
      <c r="F113" s="178">
        <v>0</v>
      </c>
      <c r="G113" s="178">
        <v>0</v>
      </c>
      <c r="H113" s="178">
        <v>47</v>
      </c>
      <c r="I113" s="178">
        <v>39</v>
      </c>
      <c r="J113" s="178">
        <v>38</v>
      </c>
      <c r="K113" s="178">
        <v>31</v>
      </c>
      <c r="L113" s="178">
        <v>33</v>
      </c>
      <c r="M113" s="178">
        <v>36</v>
      </c>
      <c r="N113" s="178">
        <v>0</v>
      </c>
      <c r="O113" s="178">
        <v>0</v>
      </c>
      <c r="P113" s="178">
        <v>0</v>
      </c>
      <c r="Q113" s="178">
        <v>0</v>
      </c>
      <c r="R113" s="178">
        <v>0</v>
      </c>
      <c r="AB113" s="184"/>
    </row>
    <row r="114" spans="1:28" ht="15.75" thickBot="1">
      <c r="A114" s="189" t="s">
        <v>87</v>
      </c>
      <c r="B114" s="177">
        <v>148</v>
      </c>
      <c r="C114" s="177">
        <v>0</v>
      </c>
      <c r="D114" s="177">
        <v>0</v>
      </c>
      <c r="E114" s="177">
        <v>0</v>
      </c>
      <c r="F114" s="177">
        <v>0</v>
      </c>
      <c r="G114" s="177">
        <v>0</v>
      </c>
      <c r="H114" s="177">
        <v>20</v>
      </c>
      <c r="I114" s="177">
        <v>22</v>
      </c>
      <c r="J114" s="177">
        <v>22</v>
      </c>
      <c r="K114" s="177">
        <v>22</v>
      </c>
      <c r="L114" s="177">
        <v>19</v>
      </c>
      <c r="M114" s="177">
        <v>13</v>
      </c>
      <c r="N114" s="177">
        <v>0</v>
      </c>
      <c r="O114" s="177">
        <v>0</v>
      </c>
      <c r="P114" s="177">
        <v>10</v>
      </c>
      <c r="Q114" s="177">
        <v>10</v>
      </c>
      <c r="R114" s="177">
        <v>10</v>
      </c>
      <c r="AB114" s="184"/>
    </row>
    <row r="115" spans="1:28" ht="15.75" thickBot="1">
      <c r="A115" s="190" t="s">
        <v>88</v>
      </c>
      <c r="B115" s="178">
        <v>6</v>
      </c>
      <c r="C115" s="178">
        <v>0</v>
      </c>
      <c r="D115" s="178">
        <v>0</v>
      </c>
      <c r="E115" s="178">
        <v>0</v>
      </c>
      <c r="F115" s="178">
        <v>0</v>
      </c>
      <c r="G115" s="178">
        <v>0</v>
      </c>
      <c r="H115" s="178">
        <v>1</v>
      </c>
      <c r="I115" s="178">
        <v>0</v>
      </c>
      <c r="J115" s="178">
        <v>1</v>
      </c>
      <c r="K115" s="178">
        <v>3</v>
      </c>
      <c r="L115" s="178">
        <v>1</v>
      </c>
      <c r="M115" s="178">
        <v>0</v>
      </c>
      <c r="N115" s="178">
        <v>0</v>
      </c>
      <c r="O115" s="178">
        <v>0</v>
      </c>
      <c r="P115" s="178">
        <v>0</v>
      </c>
      <c r="Q115" s="178">
        <v>0</v>
      </c>
      <c r="R115" s="178">
        <v>0</v>
      </c>
      <c r="AB115" s="184"/>
    </row>
    <row r="116" spans="1:28" ht="15.75" thickBot="1">
      <c r="A116" s="189" t="s">
        <v>89</v>
      </c>
      <c r="B116" s="177">
        <v>0</v>
      </c>
      <c r="C116" s="177">
        <v>0</v>
      </c>
      <c r="D116" s="177">
        <v>0</v>
      </c>
      <c r="E116" s="177">
        <v>0</v>
      </c>
      <c r="F116" s="177">
        <v>0</v>
      </c>
      <c r="G116" s="177">
        <v>0</v>
      </c>
      <c r="H116" s="177">
        <v>0</v>
      </c>
      <c r="I116" s="177">
        <v>0</v>
      </c>
      <c r="J116" s="177">
        <v>0</v>
      </c>
      <c r="K116" s="177">
        <v>0</v>
      </c>
      <c r="L116" s="177">
        <v>0</v>
      </c>
      <c r="M116" s="177">
        <v>0</v>
      </c>
      <c r="N116" s="177">
        <v>0</v>
      </c>
      <c r="O116" s="177">
        <v>0</v>
      </c>
      <c r="P116" s="177">
        <v>0</v>
      </c>
      <c r="Q116" s="177">
        <v>0</v>
      </c>
      <c r="R116" s="177">
        <v>0</v>
      </c>
      <c r="AB116" s="184"/>
    </row>
    <row r="117" spans="1:28" ht="15.75" thickBot="1">
      <c r="A117" s="190" t="s">
        <v>90</v>
      </c>
      <c r="B117" s="178">
        <v>76</v>
      </c>
      <c r="C117" s="178">
        <v>0</v>
      </c>
      <c r="D117" s="178">
        <v>0</v>
      </c>
      <c r="E117" s="178">
        <v>0</v>
      </c>
      <c r="F117" s="178">
        <v>0</v>
      </c>
      <c r="G117" s="178">
        <v>0</v>
      </c>
      <c r="H117" s="178">
        <v>23</v>
      </c>
      <c r="I117" s="178">
        <v>14</v>
      </c>
      <c r="J117" s="178">
        <v>14</v>
      </c>
      <c r="K117" s="178">
        <v>4</v>
      </c>
      <c r="L117" s="178">
        <v>20</v>
      </c>
      <c r="M117" s="178">
        <v>1</v>
      </c>
      <c r="N117" s="178">
        <v>0</v>
      </c>
      <c r="O117" s="178">
        <v>0</v>
      </c>
      <c r="P117" s="178">
        <v>0</v>
      </c>
      <c r="Q117" s="178">
        <v>0</v>
      </c>
      <c r="R117" s="178">
        <v>0</v>
      </c>
      <c r="AB117" s="184"/>
    </row>
    <row r="118" spans="1:28" ht="15.75" thickBot="1">
      <c r="A118" s="189" t="s">
        <v>131</v>
      </c>
      <c r="B118" s="177">
        <v>121</v>
      </c>
      <c r="C118" s="177">
        <v>0</v>
      </c>
      <c r="D118" s="177">
        <v>49</v>
      </c>
      <c r="E118" s="177">
        <v>0</v>
      </c>
      <c r="F118" s="177">
        <v>0</v>
      </c>
      <c r="G118" s="177">
        <v>0</v>
      </c>
      <c r="H118" s="177">
        <v>49</v>
      </c>
      <c r="I118" s="177">
        <v>0</v>
      </c>
      <c r="J118" s="177">
        <v>0</v>
      </c>
      <c r="K118" s="177">
        <v>0</v>
      </c>
      <c r="L118" s="177">
        <v>0</v>
      </c>
      <c r="M118" s="177">
        <v>23</v>
      </c>
      <c r="N118" s="177">
        <v>0</v>
      </c>
      <c r="O118" s="177">
        <v>0</v>
      </c>
      <c r="P118" s="177">
        <v>0</v>
      </c>
      <c r="Q118" s="177">
        <v>0</v>
      </c>
      <c r="R118" s="177">
        <v>0</v>
      </c>
      <c r="AB118" s="184"/>
    </row>
    <row r="119" spans="1:28" ht="15.75" thickBot="1">
      <c r="A119" s="190" t="s">
        <v>92</v>
      </c>
      <c r="B119" s="178">
        <v>82</v>
      </c>
      <c r="C119" s="178">
        <v>0</v>
      </c>
      <c r="D119" s="178">
        <v>25</v>
      </c>
      <c r="E119" s="178">
        <v>25</v>
      </c>
      <c r="F119" s="178">
        <v>11</v>
      </c>
      <c r="G119" s="178">
        <v>6</v>
      </c>
      <c r="H119" s="178">
        <v>3</v>
      </c>
      <c r="I119" s="178">
        <v>0</v>
      </c>
      <c r="J119" s="178">
        <v>2</v>
      </c>
      <c r="K119" s="178">
        <v>2</v>
      </c>
      <c r="L119" s="178">
        <v>8</v>
      </c>
      <c r="M119" s="178">
        <v>0</v>
      </c>
      <c r="N119" s="178">
        <v>0</v>
      </c>
      <c r="O119" s="178">
        <v>0</v>
      </c>
      <c r="P119" s="178">
        <v>0</v>
      </c>
      <c r="Q119" s="178">
        <v>0</v>
      </c>
      <c r="R119" s="178">
        <v>0</v>
      </c>
      <c r="AB119" s="184"/>
    </row>
    <row r="120" spans="1:28" ht="15.75" thickBot="1">
      <c r="A120" s="189" t="s">
        <v>93</v>
      </c>
      <c r="B120" s="177">
        <v>0</v>
      </c>
      <c r="C120" s="177">
        <v>0</v>
      </c>
      <c r="D120" s="177">
        <v>0</v>
      </c>
      <c r="E120" s="177">
        <v>0</v>
      </c>
      <c r="F120" s="177">
        <v>0</v>
      </c>
      <c r="G120" s="177">
        <v>0</v>
      </c>
      <c r="H120" s="177">
        <v>0</v>
      </c>
      <c r="I120" s="177">
        <v>0</v>
      </c>
      <c r="J120" s="177">
        <v>0</v>
      </c>
      <c r="K120" s="177">
        <v>0</v>
      </c>
      <c r="L120" s="177">
        <v>0</v>
      </c>
      <c r="M120" s="177">
        <v>0</v>
      </c>
      <c r="N120" s="177">
        <v>0</v>
      </c>
      <c r="O120" s="177">
        <v>0</v>
      </c>
      <c r="P120" s="177">
        <v>0</v>
      </c>
      <c r="Q120" s="177">
        <v>0</v>
      </c>
      <c r="R120" s="177">
        <v>0</v>
      </c>
      <c r="AB120" s="184"/>
    </row>
    <row r="121" spans="1:28" ht="15.75" thickBot="1">
      <c r="A121" s="190" t="s">
        <v>94</v>
      </c>
      <c r="B121" s="178">
        <v>0</v>
      </c>
      <c r="C121" s="178">
        <v>0</v>
      </c>
      <c r="D121" s="178">
        <v>0</v>
      </c>
      <c r="E121" s="178">
        <v>0</v>
      </c>
      <c r="F121" s="178">
        <v>0</v>
      </c>
      <c r="G121" s="178">
        <v>0</v>
      </c>
      <c r="H121" s="178">
        <v>0</v>
      </c>
      <c r="I121" s="178">
        <v>0</v>
      </c>
      <c r="J121" s="178">
        <v>0</v>
      </c>
      <c r="K121" s="178">
        <v>0</v>
      </c>
      <c r="L121" s="178">
        <v>0</v>
      </c>
      <c r="M121" s="178">
        <v>0</v>
      </c>
      <c r="N121" s="178">
        <v>0</v>
      </c>
      <c r="O121" s="178">
        <v>0</v>
      </c>
      <c r="P121" s="178">
        <v>0</v>
      </c>
      <c r="Q121" s="178">
        <v>0</v>
      </c>
      <c r="R121" s="178">
        <v>0</v>
      </c>
      <c r="AB121" s="184"/>
    </row>
    <row r="122" spans="1:28" ht="15.75" thickBot="1">
      <c r="A122" s="187" t="s">
        <v>51</v>
      </c>
      <c r="B122" s="203"/>
      <c r="C122" s="203"/>
      <c r="D122" s="203"/>
      <c r="E122" s="203"/>
      <c r="F122" s="203"/>
      <c r="G122" s="203"/>
      <c r="H122" s="203"/>
      <c r="I122" s="203"/>
      <c r="J122" s="203"/>
      <c r="K122" s="203"/>
      <c r="L122" s="203"/>
      <c r="M122" s="203"/>
      <c r="N122" s="203"/>
      <c r="O122" s="203"/>
      <c r="P122" s="203"/>
      <c r="Q122" s="203"/>
      <c r="R122" s="203"/>
      <c r="S122" s="203"/>
      <c r="T122" s="203"/>
      <c r="U122" s="203"/>
      <c r="V122" s="203"/>
      <c r="W122" s="203"/>
      <c r="X122" s="203"/>
      <c r="Y122" s="203"/>
      <c r="Z122" s="203"/>
      <c r="AA122" s="203"/>
      <c r="AB122" s="204"/>
    </row>
    <row r="123" spans="1:28" ht="15.75" thickBot="1">
      <c r="A123" s="188"/>
      <c r="B123" s="205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  <c r="AB123" s="206"/>
    </row>
    <row r="124" spans="1:28" ht="15.75" thickBot="1">
      <c r="A124" s="189" t="s">
        <v>40</v>
      </c>
      <c r="B124" s="177">
        <v>29777</v>
      </c>
      <c r="C124" s="177">
        <v>322</v>
      </c>
      <c r="D124" s="177">
        <v>3553</v>
      </c>
      <c r="E124" s="177">
        <v>3311</v>
      </c>
      <c r="F124" s="177">
        <v>3140</v>
      </c>
      <c r="G124" s="177">
        <v>3169</v>
      </c>
      <c r="H124" s="177">
        <v>3038</v>
      </c>
      <c r="I124" s="177">
        <v>2661</v>
      </c>
      <c r="J124" s="177">
        <v>2672</v>
      </c>
      <c r="K124" s="177">
        <v>2647</v>
      </c>
      <c r="L124" s="177">
        <v>2448</v>
      </c>
      <c r="M124" s="177">
        <v>1747</v>
      </c>
      <c r="N124" s="177">
        <v>406</v>
      </c>
      <c r="O124" s="177">
        <v>0</v>
      </c>
      <c r="P124" s="177">
        <v>272</v>
      </c>
      <c r="Q124" s="177">
        <v>239</v>
      </c>
      <c r="R124" s="177">
        <v>152</v>
      </c>
      <c r="AB124" s="184"/>
    </row>
    <row r="125" spans="1:28" ht="15.75" thickBot="1">
      <c r="A125" s="188"/>
      <c r="B125" s="205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  <c r="AB125" s="206"/>
    </row>
    <row r="126" spans="1:28" ht="15.75" thickBot="1">
      <c r="A126" s="189" t="s">
        <v>75</v>
      </c>
      <c r="B126" s="177">
        <v>322</v>
      </c>
      <c r="C126" s="177">
        <v>322</v>
      </c>
      <c r="D126" s="177">
        <v>0</v>
      </c>
      <c r="E126" s="177">
        <v>0</v>
      </c>
      <c r="F126" s="177">
        <v>0</v>
      </c>
      <c r="G126" s="177">
        <v>0</v>
      </c>
      <c r="H126" s="177">
        <v>0</v>
      </c>
      <c r="I126" s="177">
        <v>0</v>
      </c>
      <c r="J126" s="177">
        <v>0</v>
      </c>
      <c r="K126" s="177">
        <v>0</v>
      </c>
      <c r="L126" s="177">
        <v>0</v>
      </c>
      <c r="M126" s="177">
        <v>0</v>
      </c>
      <c r="N126" s="177">
        <v>0</v>
      </c>
      <c r="O126" s="177">
        <v>0</v>
      </c>
      <c r="P126" s="177">
        <v>0</v>
      </c>
      <c r="Q126" s="177">
        <v>0</v>
      </c>
      <c r="R126" s="177">
        <v>0</v>
      </c>
      <c r="AB126" s="184"/>
    </row>
    <row r="127" spans="1:28" ht="15.75" thickBot="1">
      <c r="A127" s="190" t="s">
        <v>76</v>
      </c>
      <c r="B127" s="178">
        <v>12703</v>
      </c>
      <c r="C127" s="178">
        <v>0</v>
      </c>
      <c r="D127" s="178">
        <v>3291</v>
      </c>
      <c r="E127" s="178">
        <v>3214</v>
      </c>
      <c r="F127" s="178">
        <v>3068</v>
      </c>
      <c r="G127" s="178">
        <v>3112</v>
      </c>
      <c r="H127" s="178">
        <v>0</v>
      </c>
      <c r="I127" s="178">
        <v>0</v>
      </c>
      <c r="J127" s="178">
        <v>0</v>
      </c>
      <c r="K127" s="178">
        <v>0</v>
      </c>
      <c r="L127" s="178">
        <v>0</v>
      </c>
      <c r="M127" s="178">
        <v>0</v>
      </c>
      <c r="N127" s="178">
        <v>18</v>
      </c>
      <c r="O127" s="178">
        <v>0</v>
      </c>
      <c r="P127" s="178">
        <v>0</v>
      </c>
      <c r="Q127" s="178">
        <v>0</v>
      </c>
      <c r="R127" s="178">
        <v>0</v>
      </c>
      <c r="AB127" s="184"/>
    </row>
    <row r="128" spans="1:28" ht="15.75" thickBot="1">
      <c r="A128" s="189" t="s">
        <v>77</v>
      </c>
      <c r="B128" s="177">
        <v>0</v>
      </c>
      <c r="C128" s="177">
        <v>0</v>
      </c>
      <c r="D128" s="177">
        <v>0</v>
      </c>
      <c r="E128" s="177">
        <v>0</v>
      </c>
      <c r="F128" s="177">
        <v>0</v>
      </c>
      <c r="G128" s="177">
        <v>0</v>
      </c>
      <c r="H128" s="177">
        <v>0</v>
      </c>
      <c r="I128" s="177">
        <v>0</v>
      </c>
      <c r="J128" s="177">
        <v>0</v>
      </c>
      <c r="K128" s="177">
        <v>0</v>
      </c>
      <c r="L128" s="177">
        <v>0</v>
      </c>
      <c r="M128" s="177">
        <v>0</v>
      </c>
      <c r="N128" s="177">
        <v>0</v>
      </c>
      <c r="O128" s="177">
        <v>0</v>
      </c>
      <c r="P128" s="177">
        <v>0</v>
      </c>
      <c r="Q128" s="177">
        <v>0</v>
      </c>
      <c r="R128" s="177">
        <v>0</v>
      </c>
      <c r="AB128" s="184"/>
    </row>
    <row r="129" spans="1:28" ht="15.75" thickBot="1">
      <c r="A129" s="190" t="s">
        <v>78</v>
      </c>
      <c r="B129" s="178">
        <v>1460</v>
      </c>
      <c r="C129" s="178">
        <v>0</v>
      </c>
      <c r="D129" s="178">
        <v>0</v>
      </c>
      <c r="E129" s="178">
        <v>0</v>
      </c>
      <c r="F129" s="178">
        <v>0</v>
      </c>
      <c r="G129" s="178">
        <v>0</v>
      </c>
      <c r="H129" s="178">
        <v>204</v>
      </c>
      <c r="I129" s="178">
        <v>212</v>
      </c>
      <c r="J129" s="178">
        <v>264</v>
      </c>
      <c r="K129" s="178">
        <v>296</v>
      </c>
      <c r="L129" s="178">
        <v>295</v>
      </c>
      <c r="M129" s="178">
        <v>152</v>
      </c>
      <c r="N129" s="178">
        <v>37</v>
      </c>
      <c r="O129" s="178">
        <v>0</v>
      </c>
      <c r="P129" s="178">
        <v>0</v>
      </c>
      <c r="Q129" s="178">
        <v>0</v>
      </c>
      <c r="R129" s="178">
        <v>0</v>
      </c>
      <c r="AB129" s="184"/>
    </row>
    <row r="130" spans="1:28" ht="15.75" thickBot="1">
      <c r="A130" s="189" t="s">
        <v>79</v>
      </c>
      <c r="B130" s="177">
        <v>0</v>
      </c>
      <c r="C130" s="177">
        <v>0</v>
      </c>
      <c r="D130" s="177">
        <v>0</v>
      </c>
      <c r="E130" s="177">
        <v>0</v>
      </c>
      <c r="F130" s="177">
        <v>0</v>
      </c>
      <c r="G130" s="177">
        <v>0</v>
      </c>
      <c r="H130" s="177">
        <v>0</v>
      </c>
      <c r="I130" s="177">
        <v>0</v>
      </c>
      <c r="J130" s="177">
        <v>0</v>
      </c>
      <c r="K130" s="177">
        <v>0</v>
      </c>
      <c r="L130" s="177">
        <v>0</v>
      </c>
      <c r="M130" s="177">
        <v>0</v>
      </c>
      <c r="N130" s="177">
        <v>0</v>
      </c>
      <c r="O130" s="177">
        <v>0</v>
      </c>
      <c r="P130" s="177">
        <v>0</v>
      </c>
      <c r="Q130" s="177">
        <v>0</v>
      </c>
      <c r="R130" s="177">
        <v>0</v>
      </c>
      <c r="AB130" s="184"/>
    </row>
    <row r="131" spans="1:28" ht="15.75" thickBot="1">
      <c r="A131" s="190" t="s">
        <v>80</v>
      </c>
      <c r="B131" s="178">
        <v>1663</v>
      </c>
      <c r="C131" s="178">
        <v>0</v>
      </c>
      <c r="D131" s="178">
        <v>0</v>
      </c>
      <c r="E131" s="178">
        <v>0</v>
      </c>
      <c r="F131" s="178">
        <v>0</v>
      </c>
      <c r="G131" s="178">
        <v>0</v>
      </c>
      <c r="H131" s="178">
        <v>360</v>
      </c>
      <c r="I131" s="178">
        <v>268</v>
      </c>
      <c r="J131" s="178">
        <v>259</v>
      </c>
      <c r="K131" s="178">
        <v>242</v>
      </c>
      <c r="L131" s="178">
        <v>246</v>
      </c>
      <c r="M131" s="178">
        <v>227</v>
      </c>
      <c r="N131" s="178">
        <v>61</v>
      </c>
      <c r="O131" s="178">
        <v>0</v>
      </c>
      <c r="P131" s="178">
        <v>0</v>
      </c>
      <c r="Q131" s="178">
        <v>0</v>
      </c>
      <c r="R131" s="178">
        <v>0</v>
      </c>
      <c r="AB131" s="184"/>
    </row>
    <row r="132" spans="1:28" ht="15.75" thickBot="1">
      <c r="A132" s="189" t="s">
        <v>81</v>
      </c>
      <c r="B132" s="177">
        <v>7367</v>
      </c>
      <c r="C132" s="177">
        <v>0</v>
      </c>
      <c r="D132" s="177">
        <v>0</v>
      </c>
      <c r="E132" s="177">
        <v>0</v>
      </c>
      <c r="F132" s="177">
        <v>0</v>
      </c>
      <c r="G132" s="177">
        <v>0</v>
      </c>
      <c r="H132" s="177">
        <v>1205</v>
      </c>
      <c r="I132" s="177">
        <v>1256</v>
      </c>
      <c r="J132" s="177">
        <v>1329</v>
      </c>
      <c r="K132" s="177">
        <v>1368</v>
      </c>
      <c r="L132" s="177">
        <v>1284</v>
      </c>
      <c r="M132" s="177">
        <v>727</v>
      </c>
      <c r="N132" s="177">
        <v>198</v>
      </c>
      <c r="O132" s="177">
        <v>0</v>
      </c>
      <c r="P132" s="177">
        <v>0</v>
      </c>
      <c r="Q132" s="177">
        <v>0</v>
      </c>
      <c r="R132" s="177">
        <v>0</v>
      </c>
      <c r="AB132" s="184"/>
    </row>
    <row r="133" spans="1:28" ht="15.75" thickBot="1">
      <c r="A133" s="190" t="s">
        <v>82</v>
      </c>
      <c r="B133" s="178">
        <v>2870</v>
      </c>
      <c r="C133" s="178">
        <v>0</v>
      </c>
      <c r="D133" s="178">
        <v>0</v>
      </c>
      <c r="E133" s="178">
        <v>0</v>
      </c>
      <c r="F133" s="178">
        <v>0</v>
      </c>
      <c r="G133" s="178">
        <v>0</v>
      </c>
      <c r="H133" s="178">
        <v>544</v>
      </c>
      <c r="I133" s="178">
        <v>485</v>
      </c>
      <c r="J133" s="178">
        <v>390</v>
      </c>
      <c r="K133" s="178">
        <v>382</v>
      </c>
      <c r="L133" s="178">
        <v>279</v>
      </c>
      <c r="M133" s="178">
        <v>263</v>
      </c>
      <c r="N133" s="178">
        <v>46</v>
      </c>
      <c r="O133" s="178">
        <v>0</v>
      </c>
      <c r="P133" s="178">
        <v>177</v>
      </c>
      <c r="Q133" s="178">
        <v>175</v>
      </c>
      <c r="R133" s="178">
        <v>129</v>
      </c>
      <c r="AB133" s="184"/>
    </row>
    <row r="134" spans="1:28" ht="15.75" thickBot="1">
      <c r="A134" s="189" t="s">
        <v>83</v>
      </c>
      <c r="B134" s="177">
        <v>1588</v>
      </c>
      <c r="C134" s="177">
        <v>0</v>
      </c>
      <c r="D134" s="177">
        <v>4</v>
      </c>
      <c r="E134" s="177">
        <v>3</v>
      </c>
      <c r="F134" s="177">
        <v>4</v>
      </c>
      <c r="G134" s="177">
        <v>3</v>
      </c>
      <c r="H134" s="177">
        <v>317</v>
      </c>
      <c r="I134" s="177">
        <v>296</v>
      </c>
      <c r="J134" s="177">
        <v>247</v>
      </c>
      <c r="K134" s="177">
        <v>220</v>
      </c>
      <c r="L134" s="177">
        <v>196</v>
      </c>
      <c r="M134" s="177">
        <v>175</v>
      </c>
      <c r="N134" s="177">
        <v>32</v>
      </c>
      <c r="O134" s="177">
        <v>0</v>
      </c>
      <c r="P134" s="177">
        <v>44</v>
      </c>
      <c r="Q134" s="177">
        <v>32</v>
      </c>
      <c r="R134" s="177">
        <v>15</v>
      </c>
      <c r="AB134" s="184"/>
    </row>
    <row r="135" spans="1:28" ht="15.75" thickBot="1">
      <c r="A135" s="190" t="s">
        <v>84</v>
      </c>
      <c r="B135" s="178">
        <v>0</v>
      </c>
      <c r="C135" s="178">
        <v>0</v>
      </c>
      <c r="D135" s="178">
        <v>0</v>
      </c>
      <c r="E135" s="178">
        <v>0</v>
      </c>
      <c r="F135" s="178">
        <v>0</v>
      </c>
      <c r="G135" s="178">
        <v>0</v>
      </c>
      <c r="H135" s="178">
        <v>0</v>
      </c>
      <c r="I135" s="178">
        <v>0</v>
      </c>
      <c r="J135" s="178">
        <v>0</v>
      </c>
      <c r="K135" s="178">
        <v>0</v>
      </c>
      <c r="L135" s="178">
        <v>0</v>
      </c>
      <c r="M135" s="178">
        <v>0</v>
      </c>
      <c r="N135" s="178">
        <v>0</v>
      </c>
      <c r="O135" s="178">
        <v>0</v>
      </c>
      <c r="P135" s="178">
        <v>0</v>
      </c>
      <c r="Q135" s="178">
        <v>0</v>
      </c>
      <c r="R135" s="178">
        <v>0</v>
      </c>
      <c r="AB135" s="184"/>
    </row>
    <row r="136" spans="1:28" ht="15.75" thickBot="1">
      <c r="A136" s="189" t="s">
        <v>85</v>
      </c>
      <c r="B136" s="177">
        <v>184</v>
      </c>
      <c r="C136" s="177">
        <v>0</v>
      </c>
      <c r="D136" s="177">
        <v>0</v>
      </c>
      <c r="E136" s="177">
        <v>0</v>
      </c>
      <c r="F136" s="177">
        <v>0</v>
      </c>
      <c r="G136" s="177">
        <v>0</v>
      </c>
      <c r="H136" s="177">
        <v>16</v>
      </c>
      <c r="I136" s="177">
        <v>20</v>
      </c>
      <c r="J136" s="177">
        <v>46</v>
      </c>
      <c r="K136" s="177">
        <v>29</v>
      </c>
      <c r="L136" s="177">
        <v>30</v>
      </c>
      <c r="M136" s="177">
        <v>29</v>
      </c>
      <c r="N136" s="177">
        <v>14</v>
      </c>
      <c r="O136" s="177">
        <v>0</v>
      </c>
      <c r="P136" s="177">
        <v>0</v>
      </c>
      <c r="Q136" s="177">
        <v>0</v>
      </c>
      <c r="R136" s="177">
        <v>0</v>
      </c>
      <c r="AB136" s="184"/>
    </row>
    <row r="137" spans="1:28" ht="15.75" thickBot="1">
      <c r="A137" s="190" t="s">
        <v>86</v>
      </c>
      <c r="B137" s="178">
        <v>156</v>
      </c>
      <c r="C137" s="178">
        <v>0</v>
      </c>
      <c r="D137" s="178">
        <v>0</v>
      </c>
      <c r="E137" s="178">
        <v>0</v>
      </c>
      <c r="F137" s="178">
        <v>0</v>
      </c>
      <c r="G137" s="178">
        <v>0</v>
      </c>
      <c r="H137" s="178">
        <v>37</v>
      </c>
      <c r="I137" s="178">
        <v>20</v>
      </c>
      <c r="J137" s="178">
        <v>22</v>
      </c>
      <c r="K137" s="178">
        <v>27</v>
      </c>
      <c r="L137" s="178">
        <v>29</v>
      </c>
      <c r="M137" s="178">
        <v>21</v>
      </c>
      <c r="N137" s="178">
        <v>0</v>
      </c>
      <c r="O137" s="178">
        <v>0</v>
      </c>
      <c r="P137" s="178">
        <v>0</v>
      </c>
      <c r="Q137" s="178">
        <v>0</v>
      </c>
      <c r="R137" s="178">
        <v>0</v>
      </c>
      <c r="AB137" s="184"/>
    </row>
    <row r="138" spans="1:28" ht="15.75" thickBot="1">
      <c r="A138" s="189" t="s">
        <v>87</v>
      </c>
      <c r="B138" s="177">
        <v>91</v>
      </c>
      <c r="C138" s="177">
        <v>0</v>
      </c>
      <c r="D138" s="177">
        <v>0</v>
      </c>
      <c r="E138" s="177">
        <v>0</v>
      </c>
      <c r="F138" s="177">
        <v>0</v>
      </c>
      <c r="G138" s="177">
        <v>0</v>
      </c>
      <c r="H138" s="177">
        <v>13</v>
      </c>
      <c r="I138" s="177">
        <v>9</v>
      </c>
      <c r="J138" s="177">
        <v>17</v>
      </c>
      <c r="K138" s="177">
        <v>9</v>
      </c>
      <c r="L138" s="177">
        <v>12</v>
      </c>
      <c r="M138" s="177">
        <v>13</v>
      </c>
      <c r="N138" s="177">
        <v>0</v>
      </c>
      <c r="O138" s="177">
        <v>0</v>
      </c>
      <c r="P138" s="177">
        <v>8</v>
      </c>
      <c r="Q138" s="177">
        <v>6</v>
      </c>
      <c r="R138" s="177">
        <v>4</v>
      </c>
      <c r="AB138" s="184"/>
    </row>
    <row r="139" spans="1:28" ht="15.75" thickBot="1">
      <c r="A139" s="190" t="s">
        <v>88</v>
      </c>
      <c r="B139" s="178">
        <v>78</v>
      </c>
      <c r="C139" s="178">
        <v>0</v>
      </c>
      <c r="D139" s="178">
        <v>0</v>
      </c>
      <c r="E139" s="178">
        <v>0</v>
      </c>
      <c r="F139" s="178">
        <v>0</v>
      </c>
      <c r="G139" s="178">
        <v>0</v>
      </c>
      <c r="H139" s="178">
        <v>13</v>
      </c>
      <c r="I139" s="178">
        <v>6</v>
      </c>
      <c r="J139" s="178">
        <v>10</v>
      </c>
      <c r="K139" s="178">
        <v>8</v>
      </c>
      <c r="L139" s="178">
        <v>11</v>
      </c>
      <c r="M139" s="178">
        <v>9</v>
      </c>
      <c r="N139" s="178">
        <v>0</v>
      </c>
      <c r="O139" s="178">
        <v>0</v>
      </c>
      <c r="P139" s="178">
        <v>12</v>
      </c>
      <c r="Q139" s="178">
        <v>9</v>
      </c>
      <c r="R139" s="178">
        <v>0</v>
      </c>
      <c r="AB139" s="184"/>
    </row>
    <row r="140" spans="1:28" ht="15.75" thickBot="1">
      <c r="A140" s="189" t="s">
        <v>89</v>
      </c>
      <c r="B140" s="177">
        <v>0</v>
      </c>
      <c r="C140" s="177">
        <v>0</v>
      </c>
      <c r="D140" s="177">
        <v>0</v>
      </c>
      <c r="E140" s="177">
        <v>0</v>
      </c>
      <c r="F140" s="177">
        <v>0</v>
      </c>
      <c r="G140" s="177">
        <v>0</v>
      </c>
      <c r="H140" s="177">
        <v>0</v>
      </c>
      <c r="I140" s="177">
        <v>0</v>
      </c>
      <c r="J140" s="177">
        <v>0</v>
      </c>
      <c r="K140" s="177">
        <v>0</v>
      </c>
      <c r="L140" s="177">
        <v>0</v>
      </c>
      <c r="M140" s="177">
        <v>0</v>
      </c>
      <c r="N140" s="177">
        <v>0</v>
      </c>
      <c r="O140" s="177">
        <v>0</v>
      </c>
      <c r="P140" s="177">
        <v>0</v>
      </c>
      <c r="Q140" s="177">
        <v>0</v>
      </c>
      <c r="R140" s="177">
        <v>0</v>
      </c>
      <c r="AB140" s="184"/>
    </row>
    <row r="141" spans="1:28" ht="15.75" thickBot="1">
      <c r="A141" s="190" t="s">
        <v>90</v>
      </c>
      <c r="B141" s="178">
        <v>319</v>
      </c>
      <c r="C141" s="178">
        <v>0</v>
      </c>
      <c r="D141" s="178">
        <v>0</v>
      </c>
      <c r="E141" s="178">
        <v>0</v>
      </c>
      <c r="F141" s="178">
        <v>0</v>
      </c>
      <c r="G141" s="178">
        <v>0</v>
      </c>
      <c r="H141" s="178">
        <v>79</v>
      </c>
      <c r="I141" s="178">
        <v>68</v>
      </c>
      <c r="J141" s="178">
        <v>55</v>
      </c>
      <c r="K141" s="178">
        <v>38</v>
      </c>
      <c r="L141" s="178">
        <v>53</v>
      </c>
      <c r="M141" s="178">
        <v>26</v>
      </c>
      <c r="N141" s="178">
        <v>0</v>
      </c>
      <c r="O141" s="178">
        <v>0</v>
      </c>
      <c r="P141" s="178">
        <v>0</v>
      </c>
      <c r="Q141" s="178">
        <v>0</v>
      </c>
      <c r="R141" s="178">
        <v>0</v>
      </c>
      <c r="AB141" s="184"/>
    </row>
    <row r="142" spans="1:28" ht="15.75" thickBot="1">
      <c r="A142" s="189" t="s">
        <v>131</v>
      </c>
      <c r="B142" s="177">
        <v>504</v>
      </c>
      <c r="C142" s="177">
        <v>0</v>
      </c>
      <c r="D142" s="177">
        <v>179</v>
      </c>
      <c r="E142" s="177">
        <v>0</v>
      </c>
      <c r="F142" s="177">
        <v>0</v>
      </c>
      <c r="G142" s="177">
        <v>0</v>
      </c>
      <c r="H142" s="177">
        <v>224</v>
      </c>
      <c r="I142" s="177">
        <v>0</v>
      </c>
      <c r="J142" s="177">
        <v>0</v>
      </c>
      <c r="K142" s="177">
        <v>0</v>
      </c>
      <c r="L142" s="177">
        <v>0</v>
      </c>
      <c r="M142" s="177">
        <v>101</v>
      </c>
      <c r="N142" s="177">
        <v>0</v>
      </c>
      <c r="O142" s="177">
        <v>0</v>
      </c>
      <c r="P142" s="177">
        <v>0</v>
      </c>
      <c r="Q142" s="177">
        <v>0</v>
      </c>
      <c r="R142" s="177">
        <v>0</v>
      </c>
      <c r="AB142" s="184"/>
    </row>
    <row r="143" spans="1:28" ht="15.75" thickBot="1">
      <c r="A143" s="190" t="s">
        <v>92</v>
      </c>
      <c r="B143" s="178">
        <v>420</v>
      </c>
      <c r="C143" s="178">
        <v>0</v>
      </c>
      <c r="D143" s="178">
        <v>79</v>
      </c>
      <c r="E143" s="178">
        <v>94</v>
      </c>
      <c r="F143" s="178">
        <v>68</v>
      </c>
      <c r="G143" s="178">
        <v>54</v>
      </c>
      <c r="H143" s="178">
        <v>26</v>
      </c>
      <c r="I143" s="178">
        <v>21</v>
      </c>
      <c r="J143" s="178">
        <v>33</v>
      </c>
      <c r="K143" s="178">
        <v>28</v>
      </c>
      <c r="L143" s="178">
        <v>13</v>
      </c>
      <c r="M143" s="178">
        <v>4</v>
      </c>
      <c r="N143" s="178">
        <v>0</v>
      </c>
      <c r="O143" s="178">
        <v>0</v>
      </c>
      <c r="P143" s="178">
        <v>0</v>
      </c>
      <c r="Q143" s="178">
        <v>0</v>
      </c>
      <c r="R143" s="178">
        <v>0</v>
      </c>
      <c r="AB143" s="184"/>
    </row>
    <row r="144" spans="1:28" ht="15.75" thickBot="1">
      <c r="A144" s="189" t="s">
        <v>93</v>
      </c>
      <c r="B144" s="177">
        <v>36</v>
      </c>
      <c r="C144" s="177">
        <v>0</v>
      </c>
      <c r="D144" s="177">
        <v>0</v>
      </c>
      <c r="E144" s="177">
        <v>0</v>
      </c>
      <c r="F144" s="177">
        <v>0</v>
      </c>
      <c r="G144" s="177">
        <v>0</v>
      </c>
      <c r="H144" s="177">
        <v>0</v>
      </c>
      <c r="I144" s="177">
        <v>0</v>
      </c>
      <c r="J144" s="177">
        <v>0</v>
      </c>
      <c r="K144" s="177">
        <v>0</v>
      </c>
      <c r="L144" s="177">
        <v>0</v>
      </c>
      <c r="M144" s="177">
        <v>0</v>
      </c>
      <c r="N144" s="177">
        <v>0</v>
      </c>
      <c r="O144" s="177">
        <v>0</v>
      </c>
      <c r="P144" s="177">
        <v>19</v>
      </c>
      <c r="Q144" s="177">
        <v>16</v>
      </c>
      <c r="R144" s="177">
        <v>1</v>
      </c>
      <c r="AB144" s="184"/>
    </row>
    <row r="145" spans="1:28" ht="15.75" thickBot="1">
      <c r="A145" s="191" t="s">
        <v>94</v>
      </c>
      <c r="B145" s="192">
        <v>16</v>
      </c>
      <c r="C145" s="192">
        <v>0</v>
      </c>
      <c r="D145" s="192">
        <v>0</v>
      </c>
      <c r="E145" s="192">
        <v>0</v>
      </c>
      <c r="F145" s="192">
        <v>0</v>
      </c>
      <c r="G145" s="192">
        <v>0</v>
      </c>
      <c r="H145" s="192">
        <v>0</v>
      </c>
      <c r="I145" s="192">
        <v>0</v>
      </c>
      <c r="J145" s="192">
        <v>0</v>
      </c>
      <c r="K145" s="192">
        <v>0</v>
      </c>
      <c r="L145" s="192">
        <v>0</v>
      </c>
      <c r="M145" s="192">
        <v>0</v>
      </c>
      <c r="N145" s="192">
        <v>0</v>
      </c>
      <c r="O145" s="192">
        <v>0</v>
      </c>
      <c r="P145" s="192">
        <v>12</v>
      </c>
      <c r="Q145" s="192">
        <v>1</v>
      </c>
      <c r="R145" s="192">
        <v>3</v>
      </c>
      <c r="S145" s="193"/>
      <c r="T145" s="193"/>
      <c r="U145" s="193"/>
      <c r="V145" s="193"/>
      <c r="W145" s="193"/>
      <c r="X145" s="193"/>
      <c r="Y145" s="193"/>
      <c r="Z145" s="193"/>
      <c r="AA145" s="193"/>
      <c r="AB145" s="194"/>
    </row>
    <row r="147" spans="1:28">
      <c r="A147" s="168" t="s">
        <v>52</v>
      </c>
    </row>
    <row r="148" spans="1:28">
      <c r="A148" s="168" t="s">
        <v>53</v>
      </c>
    </row>
    <row r="149" spans="1:28">
      <c r="A149" s="168" t="s">
        <v>122</v>
      </c>
    </row>
    <row r="150" spans="1:28">
      <c r="A150" s="166"/>
    </row>
    <row r="151" spans="1:28">
      <c r="A151" s="168" t="s">
        <v>96</v>
      </c>
    </row>
    <row r="152" spans="1:28">
      <c r="A152" s="168" t="s">
        <v>97</v>
      </c>
    </row>
    <row r="153" spans="1:28">
      <c r="A153" s="168" t="s">
        <v>98</v>
      </c>
    </row>
    <row r="154" spans="1:28">
      <c r="A154" s="168" t="s">
        <v>123</v>
      </c>
    </row>
    <row r="155" spans="1:28">
      <c r="A155" s="168" t="s">
        <v>100</v>
      </c>
    </row>
    <row r="156" spans="1:28">
      <c r="A156" s="168" t="s">
        <v>132</v>
      </c>
    </row>
    <row r="157" spans="1:28">
      <c r="A157" s="168" t="s">
        <v>133</v>
      </c>
    </row>
    <row r="158" spans="1:28">
      <c r="A158" s="168" t="s">
        <v>134</v>
      </c>
    </row>
    <row r="185" spans="21:30" ht="15.75" thickBot="1"/>
    <row r="186" spans="21:30">
      <c r="U186" s="181"/>
      <c r="V186" s="181"/>
      <c r="W186" s="181"/>
      <c r="X186" s="181"/>
      <c r="Y186" s="181"/>
      <c r="Z186" s="181"/>
      <c r="AA186" s="181"/>
      <c r="AB186" s="181"/>
      <c r="AC186" s="181"/>
      <c r="AD186" s="182"/>
    </row>
    <row r="187" spans="21:30">
      <c r="AD187" s="184"/>
    </row>
    <row r="188" spans="21:30">
      <c r="AD188" s="184"/>
    </row>
    <row r="189" spans="21:30">
      <c r="AD189" s="184"/>
    </row>
    <row r="190" spans="21:30">
      <c r="AD190" s="184"/>
    </row>
    <row r="191" spans="21:30">
      <c r="AD191" s="184"/>
    </row>
    <row r="192" spans="21:30">
      <c r="AD192" s="184"/>
    </row>
    <row r="193" spans="21:30">
      <c r="AD193" s="184"/>
    </row>
    <row r="194" spans="21:30">
      <c r="AD194" s="184"/>
    </row>
    <row r="195" spans="21:30" ht="15.75" thickBot="1">
      <c r="AD195" s="184"/>
    </row>
    <row r="196" spans="21:30" ht="15.75" thickBot="1">
      <c r="U196" s="203"/>
      <c r="V196" s="203"/>
      <c r="W196" s="203"/>
      <c r="X196" s="203"/>
      <c r="Y196" s="203"/>
      <c r="Z196" s="203"/>
      <c r="AA196" s="203"/>
      <c r="AB196" s="203"/>
      <c r="AC196" s="203"/>
      <c r="AD196" s="204"/>
    </row>
    <row r="197" spans="21:30" ht="15.75" thickBot="1">
      <c r="U197" s="205"/>
      <c r="V197" s="205"/>
      <c r="W197" s="205"/>
      <c r="X197" s="205"/>
      <c r="Y197" s="205"/>
      <c r="Z197" s="205"/>
      <c r="AA197" s="205"/>
      <c r="AB197" s="205"/>
      <c r="AC197" s="205"/>
      <c r="AD197" s="206"/>
    </row>
    <row r="198" spans="21:30" ht="15.75" thickBot="1">
      <c r="AD198" s="184"/>
    </row>
    <row r="199" spans="21:30" ht="15.75" thickBot="1">
      <c r="U199" s="205"/>
      <c r="V199" s="205"/>
      <c r="W199" s="205"/>
      <c r="X199" s="205"/>
      <c r="Y199" s="205"/>
      <c r="Z199" s="205"/>
      <c r="AA199" s="205"/>
      <c r="AB199" s="205"/>
      <c r="AC199" s="205"/>
      <c r="AD199" s="206"/>
    </row>
    <row r="200" spans="21:30">
      <c r="AD200" s="184"/>
    </row>
    <row r="201" spans="21:30">
      <c r="AD201" s="184"/>
    </row>
    <row r="202" spans="21:30">
      <c r="AD202" s="184"/>
    </row>
    <row r="203" spans="21:30">
      <c r="AD203" s="184"/>
    </row>
    <row r="204" spans="21:30">
      <c r="AD204" s="184"/>
    </row>
    <row r="205" spans="21:30">
      <c r="AD205" s="184"/>
    </row>
    <row r="206" spans="21:30">
      <c r="AD206" s="184"/>
    </row>
    <row r="207" spans="21:30">
      <c r="AD207" s="184"/>
    </row>
    <row r="208" spans="21:30">
      <c r="AD208" s="184"/>
    </row>
    <row r="209" spans="21:30">
      <c r="AD209" s="184"/>
    </row>
    <row r="210" spans="21:30">
      <c r="AD210" s="184"/>
    </row>
    <row r="211" spans="21:30">
      <c r="AD211" s="184"/>
    </row>
    <row r="212" spans="21:30">
      <c r="AD212" s="184"/>
    </row>
    <row r="213" spans="21:30">
      <c r="AD213" s="184"/>
    </row>
    <row r="214" spans="21:30">
      <c r="AD214" s="184"/>
    </row>
    <row r="215" spans="21:30">
      <c r="AD215" s="184"/>
    </row>
    <row r="216" spans="21:30">
      <c r="AD216" s="184"/>
    </row>
    <row r="217" spans="21:30">
      <c r="AD217" s="184"/>
    </row>
    <row r="218" spans="21:30">
      <c r="AD218" s="184"/>
    </row>
    <row r="219" spans="21:30" ht="15.75" thickBot="1">
      <c r="AD219" s="184"/>
    </row>
    <row r="220" spans="21:30" ht="15.75" thickBot="1">
      <c r="U220" s="203"/>
      <c r="V220" s="203"/>
      <c r="W220" s="203"/>
      <c r="X220" s="203"/>
      <c r="Y220" s="203"/>
      <c r="Z220" s="203"/>
      <c r="AA220" s="203"/>
      <c r="AB220" s="203"/>
      <c r="AC220" s="203"/>
      <c r="AD220" s="204"/>
    </row>
    <row r="221" spans="21:30" ht="15.75" thickBot="1">
      <c r="U221" s="205"/>
      <c r="V221" s="205"/>
      <c r="W221" s="205"/>
      <c r="X221" s="205"/>
      <c r="Y221" s="205"/>
      <c r="Z221" s="205"/>
      <c r="AA221" s="205"/>
      <c r="AB221" s="205"/>
      <c r="AC221" s="205"/>
      <c r="AD221" s="206"/>
    </row>
    <row r="222" spans="21:30" ht="15.75" thickBot="1">
      <c r="AD222" s="184"/>
    </row>
    <row r="223" spans="21:30" ht="15.75" thickBot="1">
      <c r="U223" s="205"/>
      <c r="V223" s="205"/>
      <c r="W223" s="205"/>
      <c r="X223" s="205"/>
      <c r="Y223" s="205"/>
      <c r="Z223" s="205"/>
      <c r="AA223" s="205"/>
      <c r="AB223" s="205"/>
      <c r="AC223" s="205"/>
      <c r="AD223" s="206"/>
    </row>
    <row r="224" spans="21:30">
      <c r="AD224" s="184"/>
    </row>
    <row r="225" spans="30:30">
      <c r="AD225" s="184"/>
    </row>
    <row r="226" spans="30:30">
      <c r="AD226" s="184"/>
    </row>
    <row r="227" spans="30:30">
      <c r="AD227" s="184"/>
    </row>
    <row r="228" spans="30:30">
      <c r="AD228" s="184"/>
    </row>
    <row r="229" spans="30:30">
      <c r="AD229" s="184"/>
    </row>
    <row r="230" spans="30:30">
      <c r="AD230" s="184"/>
    </row>
    <row r="231" spans="30:30">
      <c r="AD231" s="184"/>
    </row>
    <row r="232" spans="30:30">
      <c r="AD232" s="184"/>
    </row>
    <row r="233" spans="30:30">
      <c r="AD233" s="184"/>
    </row>
    <row r="234" spans="30:30">
      <c r="AD234" s="184"/>
    </row>
    <row r="235" spans="30:30">
      <c r="AD235" s="184"/>
    </row>
    <row r="236" spans="30:30">
      <c r="AD236" s="184"/>
    </row>
    <row r="237" spans="30:30">
      <c r="AD237" s="184"/>
    </row>
    <row r="238" spans="30:30">
      <c r="AD238" s="184"/>
    </row>
    <row r="239" spans="30:30">
      <c r="AD239" s="184"/>
    </row>
    <row r="240" spans="30:30">
      <c r="AD240" s="184"/>
    </row>
    <row r="241" spans="21:30">
      <c r="AD241" s="184"/>
    </row>
    <row r="242" spans="21:30">
      <c r="AD242" s="184"/>
    </row>
    <row r="243" spans="21:30" ht="15.75" thickBot="1">
      <c r="AD243" s="184"/>
    </row>
    <row r="244" spans="21:30" ht="15.75" thickBot="1">
      <c r="U244" s="203"/>
      <c r="V244" s="203"/>
      <c r="W244" s="203"/>
      <c r="X244" s="203"/>
      <c r="Y244" s="203"/>
      <c r="Z244" s="203"/>
      <c r="AA244" s="203"/>
      <c r="AB244" s="203"/>
      <c r="AC244" s="203"/>
      <c r="AD244" s="204"/>
    </row>
    <row r="245" spans="21:30" ht="15.75" thickBot="1">
      <c r="U245" s="205"/>
      <c r="V245" s="205"/>
      <c r="W245" s="205"/>
      <c r="X245" s="205"/>
      <c r="Y245" s="205"/>
      <c r="Z245" s="205"/>
      <c r="AA245" s="205"/>
      <c r="AB245" s="205"/>
      <c r="AC245" s="205"/>
      <c r="AD245" s="206"/>
    </row>
    <row r="246" spans="21:30" ht="15.75" thickBot="1">
      <c r="AD246" s="184"/>
    </row>
    <row r="247" spans="21:30" ht="15.75" thickBot="1">
      <c r="U247" s="205"/>
      <c r="V247" s="205"/>
      <c r="W247" s="205"/>
      <c r="X247" s="205"/>
      <c r="Y247" s="205"/>
      <c r="Z247" s="205"/>
      <c r="AA247" s="205"/>
      <c r="AB247" s="205"/>
      <c r="AC247" s="205"/>
      <c r="AD247" s="206"/>
    </row>
    <row r="248" spans="21:30">
      <c r="AD248" s="184"/>
    </row>
    <row r="249" spans="21:30">
      <c r="AD249" s="184"/>
    </row>
    <row r="250" spans="21:30">
      <c r="AD250" s="184"/>
    </row>
    <row r="251" spans="21:30">
      <c r="AD251" s="184"/>
    </row>
    <row r="252" spans="21:30">
      <c r="AD252" s="184"/>
    </row>
    <row r="253" spans="21:30">
      <c r="AD253" s="184"/>
    </row>
    <row r="254" spans="21:30">
      <c r="AD254" s="184"/>
    </row>
    <row r="255" spans="21:30">
      <c r="AD255" s="184"/>
    </row>
    <row r="256" spans="21:30">
      <c r="AD256" s="184"/>
    </row>
    <row r="257" spans="21:30">
      <c r="AD257" s="184"/>
    </row>
    <row r="258" spans="21:30">
      <c r="AD258" s="184"/>
    </row>
    <row r="259" spans="21:30">
      <c r="AD259" s="184"/>
    </row>
    <row r="260" spans="21:30">
      <c r="AD260" s="184"/>
    </row>
    <row r="261" spans="21:30">
      <c r="AD261" s="184"/>
    </row>
    <row r="262" spans="21:30">
      <c r="AD262" s="184"/>
    </row>
    <row r="263" spans="21:30">
      <c r="AD263" s="184"/>
    </row>
    <row r="264" spans="21:30">
      <c r="AD264" s="184"/>
    </row>
    <row r="265" spans="21:30">
      <c r="AD265" s="184"/>
    </row>
    <row r="266" spans="21:30">
      <c r="AD266" s="184"/>
    </row>
    <row r="267" spans="21:30" ht="15.75" thickBot="1">
      <c r="AD267" s="184"/>
    </row>
    <row r="268" spans="21:30" ht="15.75" thickBot="1">
      <c r="U268" s="203"/>
      <c r="V268" s="203"/>
      <c r="W268" s="203"/>
      <c r="X268" s="203"/>
      <c r="Y268" s="203"/>
      <c r="Z268" s="203"/>
      <c r="AA268" s="203"/>
      <c r="AB268" s="203"/>
      <c r="AC268" s="203"/>
      <c r="AD268" s="204"/>
    </row>
    <row r="269" spans="21:30" ht="15.75" thickBot="1">
      <c r="U269" s="205"/>
      <c r="V269" s="205"/>
      <c r="W269" s="205"/>
      <c r="X269" s="205"/>
      <c r="Y269" s="205"/>
      <c r="Z269" s="205"/>
      <c r="AA269" s="205"/>
      <c r="AB269" s="205"/>
      <c r="AC269" s="205"/>
      <c r="AD269" s="206"/>
    </row>
    <row r="270" spans="21:30" ht="15.75" thickBot="1">
      <c r="AD270" s="184"/>
    </row>
    <row r="271" spans="21:30" ht="15.75" thickBot="1">
      <c r="U271" s="205"/>
      <c r="V271" s="205"/>
      <c r="W271" s="205"/>
      <c r="X271" s="205"/>
      <c r="Y271" s="205"/>
      <c r="Z271" s="205"/>
      <c r="AA271" s="205"/>
      <c r="AB271" s="205"/>
      <c r="AC271" s="205"/>
      <c r="AD271" s="206"/>
    </row>
    <row r="272" spans="21:30">
      <c r="AD272" s="184"/>
    </row>
    <row r="273" spans="30:30">
      <c r="AD273" s="184"/>
    </row>
    <row r="274" spans="30:30">
      <c r="AD274" s="184"/>
    </row>
    <row r="275" spans="30:30">
      <c r="AD275" s="184"/>
    </row>
    <row r="276" spans="30:30">
      <c r="AD276" s="184"/>
    </row>
    <row r="277" spans="30:30">
      <c r="AD277" s="184"/>
    </row>
    <row r="278" spans="30:30">
      <c r="AD278" s="184"/>
    </row>
    <row r="279" spans="30:30">
      <c r="AD279" s="184"/>
    </row>
    <row r="280" spans="30:30">
      <c r="AD280" s="184"/>
    </row>
    <row r="281" spans="30:30">
      <c r="AD281" s="184"/>
    </row>
    <row r="282" spans="30:30">
      <c r="AD282" s="184"/>
    </row>
    <row r="283" spans="30:30">
      <c r="AD283" s="184"/>
    </row>
    <row r="284" spans="30:30">
      <c r="AD284" s="184"/>
    </row>
    <row r="285" spans="30:30">
      <c r="AD285" s="184"/>
    </row>
    <row r="286" spans="30:30">
      <c r="AD286" s="184"/>
    </row>
    <row r="287" spans="30:30">
      <c r="AD287" s="184"/>
    </row>
    <row r="288" spans="30:30">
      <c r="AD288" s="184"/>
    </row>
    <row r="289" spans="21:30">
      <c r="AD289" s="184"/>
    </row>
    <row r="290" spans="21:30">
      <c r="AD290" s="184"/>
    </row>
    <row r="291" spans="21:30" ht="15.75" thickBot="1">
      <c r="AD291" s="184"/>
    </row>
    <row r="292" spans="21:30" ht="15.75" thickBot="1">
      <c r="U292" s="203"/>
      <c r="V292" s="203"/>
      <c r="W292" s="203"/>
      <c r="X292" s="203"/>
      <c r="Y292" s="203"/>
      <c r="Z292" s="203"/>
      <c r="AA292" s="203"/>
      <c r="AB292" s="203"/>
      <c r="AC292" s="203"/>
      <c r="AD292" s="204"/>
    </row>
    <row r="293" spans="21:30" ht="15.75" thickBot="1">
      <c r="U293" s="205"/>
      <c r="V293" s="205"/>
      <c r="W293" s="205"/>
      <c r="X293" s="205"/>
      <c r="Y293" s="205"/>
      <c r="Z293" s="205"/>
      <c r="AA293" s="205"/>
      <c r="AB293" s="205"/>
      <c r="AC293" s="205"/>
      <c r="AD293" s="206"/>
    </row>
    <row r="294" spans="21:30" ht="15.75" thickBot="1">
      <c r="AD294" s="184"/>
    </row>
    <row r="295" spans="21:30" ht="15.75" thickBot="1">
      <c r="U295" s="205"/>
      <c r="V295" s="205"/>
      <c r="W295" s="205"/>
      <c r="X295" s="205"/>
      <c r="Y295" s="205"/>
      <c r="Z295" s="205"/>
      <c r="AA295" s="205"/>
      <c r="AB295" s="205"/>
      <c r="AC295" s="205"/>
      <c r="AD295" s="206"/>
    </row>
    <row r="296" spans="21:30">
      <c r="AD296" s="184"/>
    </row>
    <row r="297" spans="21:30">
      <c r="AD297" s="184"/>
    </row>
    <row r="298" spans="21:30">
      <c r="AD298" s="184"/>
    </row>
    <row r="299" spans="21:30">
      <c r="AD299" s="184"/>
    </row>
    <row r="300" spans="21:30">
      <c r="AD300" s="184"/>
    </row>
    <row r="301" spans="21:30">
      <c r="AD301" s="184"/>
    </row>
    <row r="302" spans="21:30">
      <c r="AD302" s="184"/>
    </row>
    <row r="303" spans="21:30">
      <c r="AD303" s="184"/>
    </row>
    <row r="304" spans="21:30">
      <c r="AD304" s="184"/>
    </row>
    <row r="305" spans="21:30">
      <c r="AD305" s="184"/>
    </row>
    <row r="306" spans="21:30">
      <c r="AD306" s="184"/>
    </row>
    <row r="307" spans="21:30">
      <c r="AD307" s="184"/>
    </row>
    <row r="308" spans="21:30">
      <c r="AD308" s="184"/>
    </row>
    <row r="309" spans="21:30">
      <c r="AD309" s="184"/>
    </row>
    <row r="310" spans="21:30">
      <c r="AD310" s="184"/>
    </row>
    <row r="311" spans="21:30">
      <c r="AD311" s="184"/>
    </row>
    <row r="312" spans="21:30">
      <c r="AD312" s="184"/>
    </row>
    <row r="313" spans="21:30">
      <c r="AD313" s="184"/>
    </row>
    <row r="314" spans="21:30">
      <c r="AD314" s="184"/>
    </row>
    <row r="315" spans="21:30" ht="15.75" thickBot="1">
      <c r="U315" s="193"/>
      <c r="V315" s="193"/>
      <c r="W315" s="193"/>
      <c r="X315" s="193"/>
      <c r="Y315" s="193"/>
      <c r="Z315" s="193"/>
      <c r="AA315" s="193"/>
      <c r="AB315" s="193"/>
      <c r="AC315" s="193"/>
      <c r="AD315" s="194"/>
    </row>
  </sheetData>
  <hyperlinks>
    <hyperlink ref="A1" r:id="rId1" display="https://www1.nls.niedersachsen.de/Statistik/pool/K300151A/K300151A_000017C2FB3441EBCC6DB23FEC52490772C7DE94911E2E929839.zip"/>
  </hyperlinks>
  <pageMargins left="0.7" right="0.7" top="0.78740157499999996" bottom="0.78740157499999996" header="0.3" footer="0.3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Q125"/>
  <sheetViews>
    <sheetView workbookViewId="0">
      <selection sqref="A1:H1"/>
    </sheetView>
  </sheetViews>
  <sheetFormatPr baseColWidth="10" defaultRowHeight="15"/>
  <cols>
    <col min="2" max="2" width="20.85546875" customWidth="1"/>
  </cols>
  <sheetData>
    <row r="1" spans="1:17" ht="30" customHeight="1">
      <c r="A1" s="243" t="s">
        <v>0</v>
      </c>
      <c r="B1" s="243"/>
      <c r="C1" s="243"/>
      <c r="D1" s="243"/>
      <c r="E1" s="243"/>
      <c r="F1" s="243"/>
      <c r="G1" s="243"/>
      <c r="H1" s="243"/>
      <c r="I1" s="1"/>
      <c r="M1" s="2"/>
    </row>
    <row r="2" spans="1:17" ht="30" customHeight="1">
      <c r="A2" s="244" t="s">
        <v>1</v>
      </c>
      <c r="B2" s="244"/>
      <c r="C2" s="244"/>
      <c r="D2" s="244"/>
      <c r="E2" s="244"/>
      <c r="F2" s="244"/>
      <c r="G2" s="244"/>
      <c r="H2" s="244"/>
      <c r="I2" s="3"/>
      <c r="M2" s="2"/>
    </row>
    <row r="3" spans="1:17">
      <c r="A3" s="4"/>
      <c r="B3" s="4"/>
      <c r="C3" s="4"/>
      <c r="D3" s="4"/>
      <c r="E3" s="4"/>
      <c r="F3" s="4"/>
      <c r="G3" s="4"/>
      <c r="H3" s="4"/>
      <c r="I3" s="3"/>
      <c r="M3" s="2"/>
    </row>
    <row r="4" spans="1:17" ht="8.25" customHeight="1">
      <c r="A4" s="227" t="s">
        <v>117</v>
      </c>
      <c r="B4" s="237" t="s">
        <v>2</v>
      </c>
      <c r="C4" s="233" t="s">
        <v>3</v>
      </c>
      <c r="D4" s="236" t="s">
        <v>4</v>
      </c>
      <c r="E4" s="236"/>
      <c r="F4" s="236" t="s">
        <v>5</v>
      </c>
      <c r="G4" s="236"/>
      <c r="H4" s="242" t="s">
        <v>6</v>
      </c>
      <c r="I4" s="242"/>
      <c r="J4" s="236" t="s">
        <v>7</v>
      </c>
      <c r="K4" s="236"/>
      <c r="L4" s="236" t="s">
        <v>8</v>
      </c>
      <c r="M4" s="236"/>
      <c r="N4" s="236" t="s">
        <v>9</v>
      </c>
      <c r="O4" s="236"/>
      <c r="P4" s="236" t="s">
        <v>10</v>
      </c>
      <c r="Q4" s="240"/>
    </row>
    <row r="5" spans="1:17" ht="8.25" customHeight="1">
      <c r="A5" s="228"/>
      <c r="B5" s="238"/>
      <c r="C5" s="234"/>
      <c r="D5" s="6" t="s">
        <v>11</v>
      </c>
      <c r="E5" s="7" t="s">
        <v>12</v>
      </c>
      <c r="F5" s="6" t="s">
        <v>11</v>
      </c>
      <c r="G5" s="7" t="s">
        <v>12</v>
      </c>
      <c r="H5" s="6" t="s">
        <v>11</v>
      </c>
      <c r="I5" s="7" t="s">
        <v>12</v>
      </c>
      <c r="J5" s="6" t="s">
        <v>11</v>
      </c>
      <c r="K5" s="7" t="s">
        <v>12</v>
      </c>
      <c r="L5" s="6" t="s">
        <v>11</v>
      </c>
      <c r="M5" s="7" t="s">
        <v>12</v>
      </c>
      <c r="N5" s="6" t="s">
        <v>11</v>
      </c>
      <c r="O5" s="7" t="s">
        <v>12</v>
      </c>
      <c r="P5" s="6" t="s">
        <v>11</v>
      </c>
      <c r="Q5" s="82" t="s">
        <v>12</v>
      </c>
    </row>
    <row r="6" spans="1:17" ht="8.25" customHeight="1">
      <c r="A6" s="229"/>
      <c r="B6" s="239"/>
      <c r="C6" s="235"/>
      <c r="D6" s="240" t="s">
        <v>13</v>
      </c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</row>
    <row r="7" spans="1:17" ht="8.25" customHeight="1">
      <c r="A7" s="9" t="s">
        <v>14</v>
      </c>
      <c r="B7" s="10" t="s">
        <v>15</v>
      </c>
      <c r="C7" s="10">
        <v>3</v>
      </c>
      <c r="D7" s="10">
        <v>4</v>
      </c>
      <c r="E7" s="10">
        <v>5</v>
      </c>
      <c r="F7" s="10">
        <v>6</v>
      </c>
      <c r="G7" s="10">
        <v>7</v>
      </c>
      <c r="H7" s="10">
        <v>8</v>
      </c>
      <c r="I7" s="10">
        <v>9</v>
      </c>
      <c r="J7" s="10">
        <v>10</v>
      </c>
      <c r="K7" s="10">
        <v>11</v>
      </c>
      <c r="L7" s="10">
        <v>12</v>
      </c>
      <c r="M7" s="10">
        <v>13</v>
      </c>
      <c r="N7" s="10">
        <v>14</v>
      </c>
      <c r="O7" s="10">
        <v>15</v>
      </c>
      <c r="P7" s="10">
        <v>16</v>
      </c>
      <c r="Q7" s="118">
        <v>17</v>
      </c>
    </row>
    <row r="8" spans="1:17" ht="8.25" customHeight="1">
      <c r="A8" s="2">
        <v>1</v>
      </c>
      <c r="B8" s="11" t="s">
        <v>30</v>
      </c>
      <c r="C8" s="138">
        <v>2018</v>
      </c>
      <c r="D8" s="130">
        <v>73.902633679169995</v>
      </c>
      <c r="E8" s="130">
        <v>26.097366320830005</v>
      </c>
      <c r="F8" s="130">
        <v>90.558103975535161</v>
      </c>
      <c r="G8" s="130">
        <v>9.4418960244648318</v>
      </c>
      <c r="H8" s="130">
        <v>87.625</v>
      </c>
      <c r="I8" s="130">
        <v>12.375</v>
      </c>
      <c r="J8" s="140">
        <v>96</v>
      </c>
      <c r="K8" s="140">
        <v>4</v>
      </c>
      <c r="L8" s="130">
        <v>92.991563919532766</v>
      </c>
      <c r="M8" s="130">
        <v>7.008436080467229</v>
      </c>
      <c r="N8" s="130">
        <v>88.603988603988597</v>
      </c>
      <c r="O8" s="130">
        <v>11.396011396011396</v>
      </c>
      <c r="P8" s="130">
        <v>91.40630341149928</v>
      </c>
      <c r="Q8" s="130">
        <v>8.5936965885007179</v>
      </c>
    </row>
    <row r="9" spans="1:17" ht="8.25" customHeight="1">
      <c r="A9" s="2">
        <v>2</v>
      </c>
      <c r="B9" s="11" t="s">
        <v>31</v>
      </c>
      <c r="C9" s="138">
        <v>2018</v>
      </c>
      <c r="D9" s="130">
        <v>69.328063241106719</v>
      </c>
      <c r="E9" s="130">
        <v>30.671936758893281</v>
      </c>
      <c r="F9" s="130">
        <v>86.256200758681061</v>
      </c>
      <c r="G9" s="130">
        <v>13.743799241318937</v>
      </c>
      <c r="H9" s="130">
        <v>85.719310587407676</v>
      </c>
      <c r="I9" s="130">
        <v>14.280689412592332</v>
      </c>
      <c r="J9" s="130">
        <v>95.817720294935327</v>
      </c>
      <c r="K9" s="130">
        <v>4.1822797050646683</v>
      </c>
      <c r="L9" s="130">
        <v>89.930555555555557</v>
      </c>
      <c r="M9" s="130">
        <v>10.069444444444445</v>
      </c>
      <c r="N9" s="130">
        <v>92.05175600739372</v>
      </c>
      <c r="O9" s="130">
        <v>7.9482439926062849</v>
      </c>
      <c r="P9" s="130">
        <v>89.893076588127158</v>
      </c>
      <c r="Q9" s="130">
        <v>10.106923411872854</v>
      </c>
    </row>
    <row r="10" spans="1:17" ht="8.25" customHeight="1">
      <c r="A10" s="2">
        <v>3</v>
      </c>
      <c r="B10" s="11" t="s">
        <v>32</v>
      </c>
      <c r="C10" s="138">
        <v>2018</v>
      </c>
      <c r="D10" s="130">
        <v>83.549351944167498</v>
      </c>
      <c r="E10" s="130">
        <v>16.450648055832502</v>
      </c>
      <c r="F10" s="130">
        <v>93.519751442521084</v>
      </c>
      <c r="G10" s="130">
        <v>6.4802485574789168</v>
      </c>
      <c r="H10" s="130">
        <v>90.149738408803898</v>
      </c>
      <c r="I10" s="130">
        <v>9.8502615911961033</v>
      </c>
      <c r="J10" s="140">
        <v>97.3</v>
      </c>
      <c r="K10" s="140">
        <v>2.7</v>
      </c>
      <c r="L10" s="130">
        <v>93.895781637717121</v>
      </c>
      <c r="M10" s="130">
        <v>6.1042183622828778</v>
      </c>
      <c r="N10" s="130">
        <v>90.965732087227408</v>
      </c>
      <c r="O10" s="130">
        <v>9.0342679127725845</v>
      </c>
      <c r="P10" s="130">
        <v>93.327342170298806</v>
      </c>
      <c r="Q10" s="130">
        <v>6.6726578297011914</v>
      </c>
    </row>
    <row r="11" spans="1:17" ht="8.25" customHeight="1">
      <c r="A11" s="2">
        <v>4</v>
      </c>
      <c r="B11" s="11" t="s">
        <v>33</v>
      </c>
      <c r="C11" s="138">
        <v>2018</v>
      </c>
      <c r="D11" s="130">
        <v>79.099678456591633</v>
      </c>
      <c r="E11" s="130">
        <v>20.90032154340836</v>
      </c>
      <c r="F11" s="130">
        <v>91.854636591478695</v>
      </c>
      <c r="G11" s="130">
        <v>8.1453634085213036</v>
      </c>
      <c r="H11" s="130">
        <v>87.821906833009038</v>
      </c>
      <c r="I11" s="130">
        <v>12.178093166990958</v>
      </c>
      <c r="J11" s="130">
        <v>96.823159492572913</v>
      </c>
      <c r="K11" s="130">
        <v>3.1768405074270847</v>
      </c>
      <c r="L11" s="130">
        <v>94.44629198536748</v>
      </c>
      <c r="M11" s="130">
        <v>5.5537080146325239</v>
      </c>
      <c r="N11" s="130">
        <v>91.062801932367151</v>
      </c>
      <c r="O11" s="130">
        <v>8.9371980676328491</v>
      </c>
      <c r="P11" s="130">
        <v>91.775299525280687</v>
      </c>
      <c r="Q11" s="130">
        <v>8.2247004747193131</v>
      </c>
    </row>
    <row r="12" spans="1:17" s="116" customFormat="1" ht="16.5" customHeight="1">
      <c r="A12" s="117">
        <v>0</v>
      </c>
      <c r="B12" s="14" t="s">
        <v>34</v>
      </c>
      <c r="C12" s="139">
        <v>2018</v>
      </c>
      <c r="D12" s="137">
        <v>76.26083530338849</v>
      </c>
      <c r="E12" s="137">
        <v>23.739164696611507</v>
      </c>
      <c r="F12" s="137">
        <v>90.215877437325915</v>
      </c>
      <c r="G12" s="137">
        <v>9.784122562674094</v>
      </c>
      <c r="H12" s="137">
        <v>88.174971959621857</v>
      </c>
      <c r="I12" s="137">
        <v>11.825028040378145</v>
      </c>
      <c r="J12" s="137">
        <v>96.497156239545006</v>
      </c>
      <c r="K12" s="137">
        <v>3.5028437604550016</v>
      </c>
      <c r="L12" s="137">
        <v>92.425949774629743</v>
      </c>
      <c r="M12" s="137">
        <v>7.5740502253702502</v>
      </c>
      <c r="N12" s="137">
        <v>90.886820186183243</v>
      </c>
      <c r="O12" s="137">
        <v>9.1131798138167568</v>
      </c>
      <c r="P12" s="137">
        <v>91.566007885286666</v>
      </c>
      <c r="Q12" s="137">
        <v>8.4339921147133428</v>
      </c>
    </row>
    <row r="13" spans="1:17" ht="8.25" customHeight="1">
      <c r="A13" s="2">
        <v>1</v>
      </c>
      <c r="B13" s="11" t="s">
        <v>30</v>
      </c>
      <c r="C13" s="138">
        <v>2017</v>
      </c>
      <c r="D13" s="130">
        <v>77.272727272727266</v>
      </c>
      <c r="E13" s="130">
        <v>22.727272727272727</v>
      </c>
      <c r="F13" s="130">
        <v>90.634110787172006</v>
      </c>
      <c r="G13" s="130">
        <v>9.3658892128279874</v>
      </c>
      <c r="H13" s="130">
        <v>90.058479532163744</v>
      </c>
      <c r="I13" s="130">
        <v>9.9415204678362574</v>
      </c>
      <c r="J13" s="130">
        <v>95.570517363571938</v>
      </c>
      <c r="K13" s="130">
        <v>4.4294826364280651</v>
      </c>
      <c r="L13" s="130">
        <v>94.806483625537538</v>
      </c>
      <c r="M13" s="130">
        <v>5.1935163744624546</v>
      </c>
      <c r="N13" s="130">
        <v>89.075630252100851</v>
      </c>
      <c r="O13" s="130">
        <v>10.92436974789916</v>
      </c>
      <c r="P13" s="130">
        <v>92.095289658906339</v>
      </c>
      <c r="Q13" s="130">
        <v>7.904710341093665</v>
      </c>
    </row>
    <row r="14" spans="1:17" ht="8.25" customHeight="1">
      <c r="A14" s="2">
        <v>2</v>
      </c>
      <c r="B14" s="11" t="s">
        <v>31</v>
      </c>
      <c r="C14" s="138">
        <v>2017</v>
      </c>
      <c r="D14" s="130">
        <v>72.385620915032675</v>
      </c>
      <c r="E14" s="130">
        <v>27.614379084967322</v>
      </c>
      <c r="F14" s="130">
        <v>88.401775804661483</v>
      </c>
      <c r="G14" s="130">
        <v>11.598224195338513</v>
      </c>
      <c r="H14" s="130">
        <v>85.622154779969648</v>
      </c>
      <c r="I14" s="130">
        <v>14.37784522003035</v>
      </c>
      <c r="J14" s="130">
        <v>95.411297121522338</v>
      </c>
      <c r="K14" s="130">
        <v>4.5887028784776591</v>
      </c>
      <c r="L14" s="130">
        <v>91.013071895424829</v>
      </c>
      <c r="M14" s="130">
        <v>8.9869281045751634</v>
      </c>
      <c r="N14" s="130">
        <v>91.187739463601531</v>
      </c>
      <c r="O14" s="130">
        <v>8.8122605363984672</v>
      </c>
      <c r="P14" s="130">
        <v>90.536139600447186</v>
      </c>
      <c r="Q14" s="130">
        <v>9.4638603995528126</v>
      </c>
    </row>
    <row r="15" spans="1:17" ht="8.25" customHeight="1">
      <c r="A15" s="2">
        <v>3</v>
      </c>
      <c r="B15" s="11" t="s">
        <v>32</v>
      </c>
      <c r="C15" s="138">
        <v>2017</v>
      </c>
      <c r="D15" s="130">
        <v>83.748753738783648</v>
      </c>
      <c r="E15" s="130">
        <v>16.251246261216352</v>
      </c>
      <c r="F15" s="130">
        <v>94.031141868512108</v>
      </c>
      <c r="G15" s="130">
        <v>5.968858131487889</v>
      </c>
      <c r="H15" s="130">
        <v>91.663599558336401</v>
      </c>
      <c r="I15" s="130">
        <v>8.3364004416635993</v>
      </c>
      <c r="J15" s="130">
        <v>97.563098346388159</v>
      </c>
      <c r="K15" s="130">
        <v>2.4369016536118364</v>
      </c>
      <c r="L15" s="130">
        <v>95.328083989501309</v>
      </c>
      <c r="M15" s="130">
        <v>4.6719160104986877</v>
      </c>
      <c r="N15" s="130">
        <v>93.527508090614887</v>
      </c>
      <c r="O15" s="130">
        <v>6.4724919093851128</v>
      </c>
      <c r="P15" s="130">
        <v>94.226353810830489</v>
      </c>
      <c r="Q15" s="130">
        <v>5.7736461891695132</v>
      </c>
    </row>
    <row r="16" spans="1:17" ht="8.25" customHeight="1">
      <c r="A16" s="2">
        <v>4</v>
      </c>
      <c r="B16" s="11" t="s">
        <v>33</v>
      </c>
      <c r="C16" s="138">
        <v>2017</v>
      </c>
      <c r="D16" s="130">
        <v>83.601669648181272</v>
      </c>
      <c r="E16" s="130">
        <v>16.398330351818725</v>
      </c>
      <c r="F16" s="130">
        <v>92.655217965653904</v>
      </c>
      <c r="G16" s="130">
        <v>7.3447820343461032</v>
      </c>
      <c r="H16" s="130">
        <v>88.612269207861829</v>
      </c>
      <c r="I16" s="130">
        <v>11.387730792138177</v>
      </c>
      <c r="J16" s="130">
        <v>97.005464480874309</v>
      </c>
      <c r="K16" s="130">
        <v>2.9945355191256828</v>
      </c>
      <c r="L16" s="130">
        <v>95.584599081596608</v>
      </c>
      <c r="M16" s="130">
        <v>4.4154009184033907</v>
      </c>
      <c r="N16" s="130">
        <v>92.167381974248926</v>
      </c>
      <c r="O16" s="130">
        <v>7.8326180257510734</v>
      </c>
      <c r="P16" s="130">
        <v>92.599925289503176</v>
      </c>
      <c r="Q16" s="130">
        <v>7.400074710496825</v>
      </c>
    </row>
    <row r="17" spans="1:17" s="116" customFormat="1" ht="16.5" customHeight="1">
      <c r="A17" s="117">
        <v>0</v>
      </c>
      <c r="B17" s="14" t="s">
        <v>34</v>
      </c>
      <c r="C17" s="139">
        <v>2017</v>
      </c>
      <c r="D17" s="137">
        <v>79.411764705882348</v>
      </c>
      <c r="E17" s="137">
        <v>20.588235294117645</v>
      </c>
      <c r="F17" s="137">
        <v>91.233427079148257</v>
      </c>
      <c r="G17" s="137">
        <v>8.7665729208517487</v>
      </c>
      <c r="H17" s="137">
        <v>89.226960110041261</v>
      </c>
      <c r="I17" s="137">
        <v>10.773039889958733</v>
      </c>
      <c r="J17" s="137">
        <v>96.422260011336732</v>
      </c>
      <c r="K17" s="137">
        <v>3.5777399886632657</v>
      </c>
      <c r="L17" s="137">
        <v>93.722494395084283</v>
      </c>
      <c r="M17" s="137">
        <v>6.277505604915719</v>
      </c>
      <c r="N17" s="137">
        <v>91.603773584905653</v>
      </c>
      <c r="O17" s="137">
        <v>8.3962264150943398</v>
      </c>
      <c r="P17" s="137">
        <v>92.338951685505648</v>
      </c>
      <c r="Q17" s="137">
        <v>7.661048314494348</v>
      </c>
    </row>
    <row r="18" spans="1:17" ht="8.25" customHeight="1">
      <c r="A18" s="2">
        <v>1</v>
      </c>
      <c r="B18" s="11" t="s">
        <v>30</v>
      </c>
      <c r="C18" s="87">
        <v>2016</v>
      </c>
      <c r="D18" s="23">
        <v>81.403508771929822</v>
      </c>
      <c r="E18" s="23">
        <v>18.596491228070175</v>
      </c>
      <c r="F18" s="23">
        <v>90.344337948171813</v>
      </c>
      <c r="G18" s="23">
        <v>9.6556620518281857</v>
      </c>
      <c r="H18" s="23">
        <v>91.682661548304552</v>
      </c>
      <c r="I18" s="23">
        <v>8.3173384516954574</v>
      </c>
      <c r="J18" s="23">
        <v>94.2</v>
      </c>
      <c r="K18" s="23">
        <v>2.8</v>
      </c>
      <c r="L18" s="23">
        <v>96.05602653888684</v>
      </c>
      <c r="M18" s="23">
        <v>3.9439734611131585</v>
      </c>
      <c r="N18" s="23">
        <v>90.196078431372555</v>
      </c>
      <c r="O18" s="23">
        <v>9.8039215686274517</v>
      </c>
      <c r="P18" s="23">
        <v>92.946483493951206</v>
      </c>
      <c r="Q18" s="23">
        <v>7.0535165060488003</v>
      </c>
    </row>
    <row r="19" spans="1:17" ht="8.25" customHeight="1">
      <c r="A19" s="2">
        <v>2</v>
      </c>
      <c r="B19" s="11" t="s">
        <v>31</v>
      </c>
      <c r="C19" s="87">
        <v>2016</v>
      </c>
      <c r="D19" s="23">
        <v>78.844765342960287</v>
      </c>
      <c r="E19" s="23">
        <v>21.155234657039713</v>
      </c>
      <c r="F19" s="23">
        <v>89.614395886889469</v>
      </c>
      <c r="G19" s="23">
        <v>10.38560411311054</v>
      </c>
      <c r="H19" s="23">
        <v>89.390142021720962</v>
      </c>
      <c r="I19" s="23">
        <v>10.609857978279031</v>
      </c>
      <c r="J19" s="23">
        <v>96.418426577744839</v>
      </c>
      <c r="K19" s="23">
        <v>3.5815734222551563</v>
      </c>
      <c r="L19" s="23">
        <v>92.442173211403983</v>
      </c>
      <c r="M19" s="23">
        <v>7.55782678859602</v>
      </c>
      <c r="N19" s="23">
        <v>92.199687987519496</v>
      </c>
      <c r="O19" s="23">
        <v>7.8003120124804992</v>
      </c>
      <c r="P19" s="23">
        <v>92.188819875776389</v>
      </c>
      <c r="Q19" s="23">
        <v>7.8111801242236032</v>
      </c>
    </row>
    <row r="20" spans="1:17" ht="8.25" customHeight="1">
      <c r="A20" s="2">
        <v>3</v>
      </c>
      <c r="B20" s="11" t="s">
        <v>32</v>
      </c>
      <c r="C20" s="87">
        <v>2016</v>
      </c>
      <c r="D20" s="23">
        <v>84.343434343434339</v>
      </c>
      <c r="E20" s="23">
        <v>15.656565656565657</v>
      </c>
      <c r="F20" s="23">
        <v>94.15384615384616</v>
      </c>
      <c r="G20" s="23">
        <v>5.8461538461538458</v>
      </c>
      <c r="H20" s="23">
        <v>93.190512624330523</v>
      </c>
      <c r="I20" s="23">
        <v>6.8094873756694723</v>
      </c>
      <c r="J20" s="23">
        <v>97.746090156393734</v>
      </c>
      <c r="K20" s="23">
        <v>2.2539098436062557</v>
      </c>
      <c r="L20" s="23">
        <v>97.280966767371595</v>
      </c>
      <c r="M20" s="23">
        <v>2.7190332326283988</v>
      </c>
      <c r="N20" s="23">
        <v>92.957746478873233</v>
      </c>
      <c r="O20" s="23">
        <v>7.042253521126761</v>
      </c>
      <c r="P20" s="23">
        <v>94.808525188055611</v>
      </c>
      <c r="Q20" s="23">
        <v>5.1914748119443814</v>
      </c>
    </row>
    <row r="21" spans="1:17" ht="8.25" customHeight="1">
      <c r="A21" s="2">
        <v>4</v>
      </c>
      <c r="B21" s="11" t="s">
        <v>33</v>
      </c>
      <c r="C21" s="87">
        <v>2016</v>
      </c>
      <c r="D21" s="23">
        <v>84.323271665043819</v>
      </c>
      <c r="E21" s="23">
        <v>15.676728334956183</v>
      </c>
      <c r="F21" s="23">
        <v>93.7020316027088</v>
      </c>
      <c r="G21" s="23">
        <v>6.2979683972911964</v>
      </c>
      <c r="H21" s="23">
        <v>90.786240786240796</v>
      </c>
      <c r="I21" s="23">
        <v>9.2137592137592144</v>
      </c>
      <c r="J21" s="23">
        <v>97.445091887046161</v>
      </c>
      <c r="K21" s="23">
        <v>2.5549081129538322</v>
      </c>
      <c r="L21" s="23">
        <v>95.620437956204384</v>
      </c>
      <c r="M21" s="23">
        <v>4.3795620437956204</v>
      </c>
      <c r="N21" s="23">
        <v>93.1640625</v>
      </c>
      <c r="O21" s="23">
        <v>6.8359375</v>
      </c>
      <c r="P21" s="23">
        <v>93.596601039414281</v>
      </c>
      <c r="Q21" s="23">
        <v>6.4033989605857142</v>
      </c>
    </row>
    <row r="22" spans="1:17" s="116" customFormat="1" ht="16.5" customHeight="1">
      <c r="A22" s="117">
        <v>0</v>
      </c>
      <c r="B22" s="14" t="s">
        <v>34</v>
      </c>
      <c r="C22" s="114">
        <v>2016</v>
      </c>
      <c r="D22" s="115">
        <v>82.385988103106413</v>
      </c>
      <c r="E22" s="115">
        <v>17.61401189689359</v>
      </c>
      <c r="F22" s="115">
        <v>91.941471937104168</v>
      </c>
      <c r="G22" s="115">
        <v>8.058528062895828</v>
      </c>
      <c r="H22" s="115">
        <v>91.429955787051057</v>
      </c>
      <c r="I22" s="115">
        <v>8.5700442129489431</v>
      </c>
      <c r="J22" s="115">
        <v>96.980990153172868</v>
      </c>
      <c r="K22" s="115">
        <v>3.0190098468271334</v>
      </c>
      <c r="L22" s="115">
        <v>94.88258957807092</v>
      </c>
      <c r="M22" s="115">
        <v>5.1174104219290859</v>
      </c>
      <c r="N22" s="115">
        <v>92.380560131795718</v>
      </c>
      <c r="O22" s="115">
        <v>7.6194398682042834</v>
      </c>
      <c r="P22" s="115">
        <v>93.385876819424141</v>
      </c>
      <c r="Q22" s="115">
        <v>6.6141231805758594</v>
      </c>
    </row>
    <row r="23" spans="1:17" ht="8.25" customHeight="1">
      <c r="A23" s="2">
        <v>1</v>
      </c>
      <c r="B23" s="11" t="s">
        <v>30</v>
      </c>
      <c r="C23" s="87">
        <v>2015</v>
      </c>
      <c r="D23" s="23">
        <v>84.492350486787203</v>
      </c>
      <c r="E23" s="23">
        <v>15.507649513212796</v>
      </c>
      <c r="F23" s="23">
        <v>93.181076672104396</v>
      </c>
      <c r="G23" s="23">
        <v>6.8189233278955959</v>
      </c>
      <c r="H23" s="23">
        <v>94.859813084112147</v>
      </c>
      <c r="I23" s="23">
        <v>5.1401869158878499</v>
      </c>
      <c r="J23" s="23">
        <v>93.9</v>
      </c>
      <c r="K23" s="23">
        <v>2.6</v>
      </c>
      <c r="L23" s="23">
        <v>95.644149132521221</v>
      </c>
      <c r="M23" s="23">
        <v>4.3558508674787744</v>
      </c>
      <c r="N23" s="23">
        <v>89.555125725338485</v>
      </c>
      <c r="O23" s="23">
        <v>10.444874274661508</v>
      </c>
      <c r="P23" s="23">
        <v>94.408050246505027</v>
      </c>
      <c r="Q23" s="23">
        <v>5.5919497534949691</v>
      </c>
    </row>
    <row r="24" spans="1:17" ht="8.25" customHeight="1">
      <c r="A24" s="2">
        <v>2</v>
      </c>
      <c r="B24" s="11" t="s">
        <v>31</v>
      </c>
      <c r="C24" s="87">
        <v>2015</v>
      </c>
      <c r="D24" s="23">
        <v>79.856584093872229</v>
      </c>
      <c r="E24" s="23">
        <v>20.143415906127771</v>
      </c>
      <c r="F24" s="23">
        <v>91.330596474281577</v>
      </c>
      <c r="G24" s="23">
        <v>8.6694035257184243</v>
      </c>
      <c r="H24" s="23">
        <v>90.763390974272468</v>
      </c>
      <c r="I24" s="23">
        <v>9.2366090257275406</v>
      </c>
      <c r="J24" s="23">
        <v>96.465081906638744</v>
      </c>
      <c r="K24" s="23">
        <v>3.5349180933612514</v>
      </c>
      <c r="L24" s="23">
        <v>91.67620137299771</v>
      </c>
      <c r="M24" s="23">
        <v>8.3237986270022883</v>
      </c>
      <c r="N24" s="23">
        <v>90.701219512195124</v>
      </c>
      <c r="O24" s="23">
        <v>9.2987804878048781</v>
      </c>
      <c r="P24" s="23">
        <v>92.489048580006894</v>
      </c>
      <c r="Q24" s="23">
        <v>7.5109514199931091</v>
      </c>
    </row>
    <row r="25" spans="1:17" ht="8.25" customHeight="1">
      <c r="A25" s="2">
        <v>3</v>
      </c>
      <c r="B25" s="11" t="s">
        <v>32</v>
      </c>
      <c r="C25" s="87">
        <v>2015</v>
      </c>
      <c r="D25" s="23">
        <v>85.397553516819571</v>
      </c>
      <c r="E25" s="23">
        <v>14.602446483180428</v>
      </c>
      <c r="F25" s="23">
        <v>96.382252559726965</v>
      </c>
      <c r="G25" s="23">
        <v>3.6177474402730376</v>
      </c>
      <c r="H25" s="23">
        <v>94.876395534290268</v>
      </c>
      <c r="I25" s="23">
        <v>5.1236044657097288</v>
      </c>
      <c r="J25" s="23">
        <v>98.547469302186286</v>
      </c>
      <c r="K25" s="23">
        <v>1.4525306978137167</v>
      </c>
      <c r="L25" s="23">
        <v>97.085492227979273</v>
      </c>
      <c r="M25" s="23">
        <v>2.9145077720207255</v>
      </c>
      <c r="N25" s="23">
        <v>92.688172043010752</v>
      </c>
      <c r="O25" s="23">
        <v>7.3118279569892479</v>
      </c>
      <c r="P25" s="23">
        <v>95.931107519090347</v>
      </c>
      <c r="Q25" s="23">
        <v>4.0688924809096489</v>
      </c>
    </row>
    <row r="26" spans="1:17" ht="8.25" customHeight="1">
      <c r="A26" s="2">
        <v>4</v>
      </c>
      <c r="B26" s="11" t="s">
        <v>33</v>
      </c>
      <c r="C26" s="87">
        <v>2015</v>
      </c>
      <c r="D26" s="23">
        <v>86.017121891561359</v>
      </c>
      <c r="E26" s="23">
        <v>13.982878108438646</v>
      </c>
      <c r="F26" s="23">
        <v>95.14910536779324</v>
      </c>
      <c r="G26" s="23">
        <v>4.8508946322067592</v>
      </c>
      <c r="H26" s="23">
        <v>93.10500225326723</v>
      </c>
      <c r="I26" s="23">
        <v>6.8949977467327628</v>
      </c>
      <c r="J26" s="23">
        <v>97.836458448907138</v>
      </c>
      <c r="K26" s="23">
        <v>2.1635415510928659</v>
      </c>
      <c r="L26" s="23">
        <v>97.319513938527521</v>
      </c>
      <c r="M26" s="23">
        <v>2.6804860614724801</v>
      </c>
      <c r="N26" s="23">
        <v>93.224699828473405</v>
      </c>
      <c r="O26" s="23">
        <v>6.7753001715265864</v>
      </c>
      <c r="P26" s="23">
        <v>94.85562562230335</v>
      </c>
      <c r="Q26" s="23">
        <v>5.1443743776966482</v>
      </c>
    </row>
    <row r="27" spans="1:17" s="116" customFormat="1" ht="16.5" customHeight="1">
      <c r="A27" s="117">
        <v>0</v>
      </c>
      <c r="B27" s="14" t="s">
        <v>34</v>
      </c>
      <c r="C27" s="114">
        <v>2015</v>
      </c>
      <c r="D27" s="115">
        <v>84.1675330461904</v>
      </c>
      <c r="E27" s="115">
        <v>15.832466953809595</v>
      </c>
      <c r="F27" s="115">
        <v>93.946986680733218</v>
      </c>
      <c r="G27" s="115">
        <v>6.053013319266781</v>
      </c>
      <c r="H27" s="115">
        <v>93.48861150431091</v>
      </c>
      <c r="I27" s="115">
        <v>6.5113884956891006</v>
      </c>
      <c r="J27" s="115">
        <v>97.529772031303168</v>
      </c>
      <c r="K27" s="115">
        <v>2.4702279686968356</v>
      </c>
      <c r="L27" s="115">
        <v>94.984355740968994</v>
      </c>
      <c r="M27" s="115">
        <v>5.0156442590310037</v>
      </c>
      <c r="N27" s="115">
        <v>91.868758915834519</v>
      </c>
      <c r="O27" s="115">
        <v>8.1312410841654774</v>
      </c>
      <c r="P27" s="115">
        <v>94.413958244992642</v>
      </c>
      <c r="Q27" s="115">
        <v>5.5860417550073578</v>
      </c>
    </row>
    <row r="28" spans="1:17" ht="8.25" customHeight="1">
      <c r="A28" s="2">
        <v>1</v>
      </c>
      <c r="B28" s="16" t="s">
        <v>30</v>
      </c>
      <c r="C28" s="17">
        <v>2014</v>
      </c>
      <c r="D28" s="18">
        <v>86.500283607487233</v>
      </c>
      <c r="E28" s="18">
        <v>13.499716392512761</v>
      </c>
      <c r="F28" s="18">
        <v>93.81606765327696</v>
      </c>
      <c r="G28" s="18">
        <v>6.1839323467230445</v>
      </c>
      <c r="H28" s="18">
        <v>96.561604584527217</v>
      </c>
      <c r="I28" s="18">
        <v>3.4383954154727796</v>
      </c>
      <c r="J28" s="18">
        <v>97.195308516063221</v>
      </c>
      <c r="K28" s="18">
        <v>2.8046914839367667</v>
      </c>
      <c r="L28" s="18">
        <v>96.278118609406945</v>
      </c>
      <c r="M28" s="18">
        <v>3.7218813905930475</v>
      </c>
      <c r="N28" s="18">
        <v>91.840607210626189</v>
      </c>
      <c r="O28" s="18">
        <v>8.159392789373813</v>
      </c>
      <c r="P28" s="18">
        <v>94.776360929509991</v>
      </c>
      <c r="Q28" s="18">
        <v>5.2236390704899991</v>
      </c>
    </row>
    <row r="29" spans="1:17" ht="8.25" customHeight="1">
      <c r="A29" s="2">
        <v>2</v>
      </c>
      <c r="B29" s="11" t="s">
        <v>31</v>
      </c>
      <c r="C29" s="12">
        <v>2014</v>
      </c>
      <c r="D29" s="19">
        <v>84.094407388404306</v>
      </c>
      <c r="E29" s="19">
        <v>15.90559261159569</v>
      </c>
      <c r="F29" s="19">
        <v>91.752360965372503</v>
      </c>
      <c r="G29" s="19">
        <v>8.2476390346274915</v>
      </c>
      <c r="H29" s="19">
        <v>92.284139620330691</v>
      </c>
      <c r="I29" s="19">
        <v>7.7158603796693201</v>
      </c>
      <c r="J29" s="19">
        <v>96.6276923076923</v>
      </c>
      <c r="K29" s="19">
        <v>3.3723076923076927</v>
      </c>
      <c r="L29" s="19">
        <v>92.628571428571433</v>
      </c>
      <c r="M29" s="19">
        <v>7.3714285714285719</v>
      </c>
      <c r="N29" s="19">
        <v>86.526576019777508</v>
      </c>
      <c r="O29" s="19">
        <v>13.473423980222496</v>
      </c>
      <c r="P29" s="19">
        <v>92.92623069149704</v>
      </c>
      <c r="Q29" s="19">
        <v>7.0737693085029596</v>
      </c>
    </row>
    <row r="30" spans="1:17" ht="8.25" customHeight="1">
      <c r="A30" s="2">
        <v>3</v>
      </c>
      <c r="B30" s="11" t="s">
        <v>32</v>
      </c>
      <c r="C30" s="12">
        <v>2014</v>
      </c>
      <c r="D30" s="19">
        <v>89.040451552210726</v>
      </c>
      <c r="E30" s="19">
        <v>10.959548447789276</v>
      </c>
      <c r="F30" s="19">
        <v>96.707070707070713</v>
      </c>
      <c r="G30" s="19">
        <v>3.2929292929292928</v>
      </c>
      <c r="H30" s="19">
        <v>96.141479099678463</v>
      </c>
      <c r="I30" s="19">
        <v>3.8585209003215439</v>
      </c>
      <c r="J30" s="19">
        <v>98.278905560458966</v>
      </c>
      <c r="K30" s="19">
        <v>1.7210944395410415</v>
      </c>
      <c r="L30" s="19">
        <v>96.958855098389989</v>
      </c>
      <c r="M30" s="19">
        <v>3.0411449016100178</v>
      </c>
      <c r="N30" s="19">
        <v>90.121317157712298</v>
      </c>
      <c r="O30" s="19">
        <v>9.8786828422876951</v>
      </c>
      <c r="P30" s="19">
        <v>96.123989506932915</v>
      </c>
      <c r="Q30" s="19">
        <v>3.8760104930670809</v>
      </c>
    </row>
    <row r="31" spans="1:17" ht="8.25" customHeight="1">
      <c r="A31" s="2">
        <v>4</v>
      </c>
      <c r="B31" s="11" t="s">
        <v>33</v>
      </c>
      <c r="C31" s="12">
        <v>2014</v>
      </c>
      <c r="D31" s="19">
        <v>87.415799142682175</v>
      </c>
      <c r="E31" s="19">
        <v>12.584200857317821</v>
      </c>
      <c r="F31" s="19">
        <v>94.854126960856178</v>
      </c>
      <c r="G31" s="19">
        <v>5.1458730391438205</v>
      </c>
      <c r="H31" s="19">
        <v>94.944341372912803</v>
      </c>
      <c r="I31" s="19">
        <v>5.0556586270871984</v>
      </c>
      <c r="J31" s="19">
        <v>97.60907888937858</v>
      </c>
      <c r="K31" s="19">
        <v>2.3909211106214192</v>
      </c>
      <c r="L31" s="19">
        <v>97.566291318561568</v>
      </c>
      <c r="M31" s="19">
        <v>2.4337086814384308</v>
      </c>
      <c r="N31" s="19">
        <v>91.816816816816811</v>
      </c>
      <c r="O31" s="19">
        <v>8.1831831831831838</v>
      </c>
      <c r="P31" s="19">
        <v>95.018142235123378</v>
      </c>
      <c r="Q31" s="19">
        <v>4.9818577648766329</v>
      </c>
    </row>
    <row r="32" spans="1:17" s="116" customFormat="1" ht="16.5" customHeight="1">
      <c r="A32" s="117">
        <v>0</v>
      </c>
      <c r="B32" s="14" t="s">
        <v>34</v>
      </c>
      <c r="C32" s="15">
        <v>2014</v>
      </c>
      <c r="D32" s="20">
        <v>86.906854130052722</v>
      </c>
      <c r="E32" s="20">
        <v>13.093145869947275</v>
      </c>
      <c r="F32" s="20">
        <v>94.384842519685037</v>
      </c>
      <c r="G32" s="20">
        <v>5.6151574803149602</v>
      </c>
      <c r="H32" s="20">
        <v>95.050485052464865</v>
      </c>
      <c r="I32" s="20">
        <v>4.9495149475351417</v>
      </c>
      <c r="J32" s="20">
        <v>97.41315842313098</v>
      </c>
      <c r="K32" s="20">
        <v>2.5868415768690181</v>
      </c>
      <c r="L32" s="20">
        <v>95.415647921760396</v>
      </c>
      <c r="M32" s="20">
        <v>4.5843520782396094</v>
      </c>
      <c r="N32" s="20">
        <v>90.200308166409854</v>
      </c>
      <c r="O32" s="20">
        <v>9.7996918335901384</v>
      </c>
      <c r="P32" s="20">
        <v>94.696188870969706</v>
      </c>
      <c r="Q32" s="20">
        <v>5.3038111290303025</v>
      </c>
    </row>
    <row r="33" spans="1:17" ht="8.25" customHeight="1">
      <c r="A33" s="2">
        <v>1</v>
      </c>
      <c r="B33" s="11" t="s">
        <v>30</v>
      </c>
      <c r="C33" s="15">
        <v>2013</v>
      </c>
      <c r="D33" s="99">
        <v>87.665406427221171</v>
      </c>
      <c r="E33" s="99">
        <v>12.334593572778827</v>
      </c>
      <c r="F33" s="99">
        <v>92.291535391724437</v>
      </c>
      <c r="G33" s="99">
        <v>7.7084646082755723</v>
      </c>
      <c r="H33" s="99" t="s">
        <v>35</v>
      </c>
      <c r="I33" s="99" t="s">
        <v>35</v>
      </c>
      <c r="J33" s="99">
        <v>97.336365112879648</v>
      </c>
      <c r="K33" s="99">
        <v>2.663634887120351</v>
      </c>
      <c r="L33" s="99">
        <v>96.851633215269587</v>
      </c>
      <c r="M33" s="99">
        <v>3.1483667847304213</v>
      </c>
      <c r="N33" s="99">
        <v>88.047138047138048</v>
      </c>
      <c r="O33" s="99">
        <v>11.952861952861953</v>
      </c>
      <c r="P33" s="99">
        <v>94.167852062588906</v>
      </c>
      <c r="Q33" s="99">
        <v>5.8321479374110954</v>
      </c>
    </row>
    <row r="34" spans="1:17" ht="8.25" customHeight="1">
      <c r="A34" s="2">
        <v>2</v>
      </c>
      <c r="B34" s="11" t="s">
        <v>31</v>
      </c>
      <c r="C34" s="15">
        <v>2013</v>
      </c>
      <c r="D34" s="99">
        <v>84.060650887573956</v>
      </c>
      <c r="E34" s="99">
        <v>15.939349112426035</v>
      </c>
      <c r="F34" s="99">
        <v>91.621275232297336</v>
      </c>
      <c r="G34" s="99">
        <v>8.3787247677026588</v>
      </c>
      <c r="H34" s="99" t="s">
        <v>35</v>
      </c>
      <c r="I34" s="99" t="s">
        <v>35</v>
      </c>
      <c r="J34" s="99">
        <v>95.770179767359892</v>
      </c>
      <c r="K34" s="99">
        <v>4.2298202326401126</v>
      </c>
      <c r="L34" s="99">
        <v>92.695805221472568</v>
      </c>
      <c r="M34" s="99">
        <v>7.3041947785274273</v>
      </c>
      <c r="N34" s="99">
        <v>86.771844660194176</v>
      </c>
      <c r="O34" s="99">
        <v>13.228155339805825</v>
      </c>
      <c r="P34" s="99">
        <v>92.291378515444904</v>
      </c>
      <c r="Q34" s="99">
        <v>7.7086214845550947</v>
      </c>
    </row>
    <row r="35" spans="1:17" ht="8.25" customHeight="1">
      <c r="A35" s="2">
        <v>3</v>
      </c>
      <c r="B35" s="11" t="s">
        <v>32</v>
      </c>
      <c r="C35" s="15">
        <v>2013</v>
      </c>
      <c r="D35" s="99">
        <v>91.190914671577644</v>
      </c>
      <c r="E35" s="99">
        <v>8.8090853284223449</v>
      </c>
      <c r="F35" s="99">
        <v>96.96693569382974</v>
      </c>
      <c r="G35" s="99">
        <v>3.0330643061702682</v>
      </c>
      <c r="H35" s="99" t="s">
        <v>35</v>
      </c>
      <c r="I35" s="99" t="s">
        <v>35</v>
      </c>
      <c r="J35" s="99">
        <v>98.66909498458952</v>
      </c>
      <c r="K35" s="99">
        <v>1.3309050154104791</v>
      </c>
      <c r="L35" s="99">
        <v>98.303030303030297</v>
      </c>
      <c r="M35" s="99">
        <v>1.6969696969696972</v>
      </c>
      <c r="N35" s="99">
        <v>91.256830601092901</v>
      </c>
      <c r="O35" s="99">
        <v>8.7431693989071047</v>
      </c>
      <c r="P35" s="99">
        <v>96.519638083487564</v>
      </c>
      <c r="Q35" s="99">
        <v>3.4803619165124409</v>
      </c>
    </row>
    <row r="36" spans="1:17" ht="8.25" customHeight="1">
      <c r="A36" s="2">
        <v>4</v>
      </c>
      <c r="B36" s="11" t="s">
        <v>33</v>
      </c>
      <c r="C36" s="15">
        <v>2013</v>
      </c>
      <c r="D36" s="99">
        <v>90.400782013685244</v>
      </c>
      <c r="E36" s="99">
        <v>9.5992179863147609</v>
      </c>
      <c r="F36" s="99">
        <v>95.600074892342263</v>
      </c>
      <c r="G36" s="99">
        <v>4.3999251076577419</v>
      </c>
      <c r="H36" s="99" t="s">
        <v>35</v>
      </c>
      <c r="I36" s="99" t="s">
        <v>35</v>
      </c>
      <c r="J36" s="99">
        <v>97.672680687520014</v>
      </c>
      <c r="K36" s="99">
        <v>2.3273193124799829</v>
      </c>
      <c r="L36" s="99">
        <v>98.19678557428459</v>
      </c>
      <c r="M36" s="99">
        <v>1.8032144257154059</v>
      </c>
      <c r="N36" s="99">
        <v>91.390728476821195</v>
      </c>
      <c r="O36" s="99">
        <v>8.6092715231788084</v>
      </c>
      <c r="P36" s="99">
        <v>95.384192061635829</v>
      </c>
      <c r="Q36" s="99">
        <v>4.6158079383641741</v>
      </c>
    </row>
    <row r="37" spans="1:17" s="116" customFormat="1" ht="16.5" customHeight="1">
      <c r="A37" s="117">
        <v>0</v>
      </c>
      <c r="B37" s="14" t="s">
        <v>34</v>
      </c>
      <c r="C37" s="15">
        <v>2013</v>
      </c>
      <c r="D37" s="99">
        <v>88.857727582809062</v>
      </c>
      <c r="E37" s="99">
        <v>11.142272417190934</v>
      </c>
      <c r="F37" s="99">
        <v>94.575543977934416</v>
      </c>
      <c r="G37" s="99">
        <v>5.4244560220655842</v>
      </c>
      <c r="H37" s="99" t="s">
        <v>35</v>
      </c>
      <c r="I37" s="99" t="s">
        <v>35</v>
      </c>
      <c r="J37" s="99">
        <v>97.314984120873831</v>
      </c>
      <c r="K37" s="99">
        <v>2.6850158791261669</v>
      </c>
      <c r="L37" s="99">
        <v>95.828865537207804</v>
      </c>
      <c r="M37" s="99">
        <v>4.1711344627921942</v>
      </c>
      <c r="N37" s="99">
        <v>89.627179795550219</v>
      </c>
      <c r="O37" s="99">
        <v>10.372820204449789</v>
      </c>
      <c r="P37" s="99">
        <v>94.635642762053592</v>
      </c>
      <c r="Q37" s="99">
        <v>5.3643572379464031</v>
      </c>
    </row>
    <row r="38" spans="1:17" ht="8.25" customHeight="1">
      <c r="A38" s="2">
        <v>1</v>
      </c>
      <c r="B38" s="11" t="s">
        <v>30</v>
      </c>
      <c r="C38" s="12">
        <v>2012</v>
      </c>
      <c r="D38" s="19">
        <v>87.432600580671917</v>
      </c>
      <c r="E38" s="19">
        <v>12.56739941932808</v>
      </c>
      <c r="F38" s="19">
        <v>92.855767379164263</v>
      </c>
      <c r="G38" s="19">
        <v>7.1442326208357398</v>
      </c>
      <c r="H38" s="21" t="s">
        <v>35</v>
      </c>
      <c r="I38" s="21" t="s">
        <v>35</v>
      </c>
      <c r="J38" s="19">
        <v>97.165030091859364</v>
      </c>
      <c r="K38" s="19">
        <v>2.8349699081406396</v>
      </c>
      <c r="L38" s="19">
        <v>94.611457742484404</v>
      </c>
      <c r="M38" s="19">
        <v>5.3885422575155983</v>
      </c>
      <c r="N38" s="19">
        <v>87.220447284345042</v>
      </c>
      <c r="O38" s="19">
        <v>12.779552715654951</v>
      </c>
      <c r="P38" s="19">
        <v>93.695958790703386</v>
      </c>
      <c r="Q38" s="19">
        <v>6.3040412092966207</v>
      </c>
    </row>
    <row r="39" spans="1:17" ht="8.25" customHeight="1">
      <c r="A39" s="2">
        <v>2</v>
      </c>
      <c r="B39" s="11" t="s">
        <v>31</v>
      </c>
      <c r="C39" s="12">
        <v>2012</v>
      </c>
      <c r="D39" s="19">
        <v>83.954840916866232</v>
      </c>
      <c r="E39" s="19">
        <v>16.045159083133768</v>
      </c>
      <c r="F39" s="19">
        <v>91.018922852983991</v>
      </c>
      <c r="G39" s="19">
        <v>8.9810771470160109</v>
      </c>
      <c r="H39" s="21" t="s">
        <v>35</v>
      </c>
      <c r="I39" s="21" t="s">
        <v>35</v>
      </c>
      <c r="J39" s="19">
        <v>95.382870107770842</v>
      </c>
      <c r="K39" s="19">
        <v>4.6171298922291548</v>
      </c>
      <c r="L39" s="19">
        <v>91.507135398538111</v>
      </c>
      <c r="M39" s="19">
        <v>8.4928646014618874</v>
      </c>
      <c r="N39" s="19">
        <v>83.146067415730343</v>
      </c>
      <c r="O39" s="19">
        <v>16.853932584269664</v>
      </c>
      <c r="P39" s="19">
        <v>91.531611754229743</v>
      </c>
      <c r="Q39" s="19">
        <v>8.4683882457702584</v>
      </c>
    </row>
    <row r="40" spans="1:17" ht="8.25" customHeight="1">
      <c r="A40" s="2">
        <v>3</v>
      </c>
      <c r="B40" s="11" t="s">
        <v>32</v>
      </c>
      <c r="C40" s="12">
        <v>2012</v>
      </c>
      <c r="D40" s="19">
        <v>90.391983495431774</v>
      </c>
      <c r="E40" s="19">
        <v>9.6080165045682282</v>
      </c>
      <c r="F40" s="19">
        <v>96.638874413757165</v>
      </c>
      <c r="G40" s="19">
        <v>3.3611255862428351</v>
      </c>
      <c r="H40" s="21" t="s">
        <v>35</v>
      </c>
      <c r="I40" s="21" t="s">
        <v>35</v>
      </c>
      <c r="J40" s="19">
        <v>98.426996504436687</v>
      </c>
      <c r="K40" s="19">
        <v>1.5730034955633236</v>
      </c>
      <c r="L40" s="19">
        <v>98.720292504570381</v>
      </c>
      <c r="M40" s="19">
        <v>1.2797074954296161</v>
      </c>
      <c r="N40" s="19">
        <v>89.905362776025228</v>
      </c>
      <c r="O40" s="19">
        <v>10.094637223974763</v>
      </c>
      <c r="P40" s="19">
        <v>96.078829744006498</v>
      </c>
      <c r="Q40" s="19">
        <v>3.9211702559934989</v>
      </c>
    </row>
    <row r="41" spans="1:17" ht="8.25" customHeight="1">
      <c r="A41" s="2">
        <v>4</v>
      </c>
      <c r="B41" s="11" t="s">
        <v>33</v>
      </c>
      <c r="C41" s="12">
        <v>2012</v>
      </c>
      <c r="D41" s="19">
        <v>90.007163323782237</v>
      </c>
      <c r="E41" s="19">
        <v>9.9928366762177649</v>
      </c>
      <c r="F41" s="19">
        <v>95.456582131015324</v>
      </c>
      <c r="G41" s="19">
        <v>4.543417868984676</v>
      </c>
      <c r="H41" s="21" t="s">
        <v>35</v>
      </c>
      <c r="I41" s="21" t="s">
        <v>35</v>
      </c>
      <c r="J41" s="19">
        <v>97.879487717824901</v>
      </c>
      <c r="K41" s="19">
        <v>2.1205122821750999</v>
      </c>
      <c r="L41" s="19">
        <v>98.545861297539147</v>
      </c>
      <c r="M41" s="19">
        <v>1.4541387024608501</v>
      </c>
      <c r="N41" s="19">
        <v>89.977728285077944</v>
      </c>
      <c r="O41" s="19">
        <v>10.022271714922049</v>
      </c>
      <c r="P41" s="19">
        <v>95.143517888722613</v>
      </c>
      <c r="Q41" s="19">
        <v>4.8564821112773773</v>
      </c>
    </row>
    <row r="42" spans="1:17" s="116" customFormat="1" ht="16.5" customHeight="1">
      <c r="A42" s="117">
        <v>0</v>
      </c>
      <c r="B42" s="14" t="s">
        <v>34</v>
      </c>
      <c r="C42" s="15">
        <v>2012</v>
      </c>
      <c r="D42" s="20">
        <v>88.428481587589971</v>
      </c>
      <c r="E42" s="20">
        <v>11.571518412410034</v>
      </c>
      <c r="F42" s="20">
        <v>94.326493624182788</v>
      </c>
      <c r="G42" s="20">
        <v>5.6735063758172046</v>
      </c>
      <c r="H42" s="22" t="s">
        <v>35</v>
      </c>
      <c r="I42" s="22" t="s">
        <v>35</v>
      </c>
      <c r="J42" s="20">
        <v>97.180070420340883</v>
      </c>
      <c r="K42" s="20">
        <v>2.8199295796591155</v>
      </c>
      <c r="L42" s="20">
        <v>94.663606369244008</v>
      </c>
      <c r="M42" s="20">
        <v>5.3363936307559889</v>
      </c>
      <c r="N42" s="20">
        <v>87.618516452872285</v>
      </c>
      <c r="O42" s="20">
        <v>12.38148354712772</v>
      </c>
      <c r="P42" s="20">
        <v>94.161099033678965</v>
      </c>
      <c r="Q42" s="20">
        <v>5.8389009663210372</v>
      </c>
    </row>
    <row r="43" spans="1:17" ht="8.25" customHeight="1">
      <c r="A43" s="2">
        <v>1</v>
      </c>
      <c r="B43" s="11" t="s">
        <v>30</v>
      </c>
      <c r="C43" s="15">
        <v>2011</v>
      </c>
      <c r="D43" s="20">
        <v>87.360308285163782</v>
      </c>
      <c r="E43" s="20">
        <v>12.639691714836223</v>
      </c>
      <c r="F43" s="20">
        <v>89.2</v>
      </c>
      <c r="G43" s="20">
        <v>6.8</v>
      </c>
      <c r="H43" s="22" t="s">
        <v>35</v>
      </c>
      <c r="I43" s="22" t="s">
        <v>35</v>
      </c>
      <c r="J43" s="20" t="s">
        <v>35</v>
      </c>
      <c r="K43" s="20" t="s">
        <v>35</v>
      </c>
      <c r="L43" s="20">
        <v>94.8072383949646</v>
      </c>
      <c r="M43" s="20">
        <v>5.1927616050354048</v>
      </c>
      <c r="N43" s="20">
        <v>83.2</v>
      </c>
      <c r="O43" s="20">
        <v>16.8</v>
      </c>
      <c r="P43" s="20">
        <v>93.619019665394774</v>
      </c>
      <c r="Q43" s="20">
        <v>6.3809803346052245</v>
      </c>
    </row>
    <row r="44" spans="1:17" ht="8.25" customHeight="1">
      <c r="A44" s="2">
        <v>2</v>
      </c>
      <c r="B44" s="11" t="s">
        <v>31</v>
      </c>
      <c r="C44" s="15">
        <v>2011</v>
      </c>
      <c r="D44" s="20">
        <v>84.688847812692543</v>
      </c>
      <c r="E44" s="20">
        <v>15.311152187307457</v>
      </c>
      <c r="F44" s="20">
        <v>91.473859133324808</v>
      </c>
      <c r="G44" s="20">
        <v>8.5261408666751883</v>
      </c>
      <c r="H44" s="22" t="s">
        <v>35</v>
      </c>
      <c r="I44" s="22" t="s">
        <v>35</v>
      </c>
      <c r="J44" s="20">
        <v>95.173766205469008</v>
      </c>
      <c r="K44" s="20">
        <v>4.8262337945309941</v>
      </c>
      <c r="L44" s="20">
        <v>89.962018448182306</v>
      </c>
      <c r="M44" s="20">
        <v>10.037981551817689</v>
      </c>
      <c r="N44" s="20">
        <v>81.226053639846739</v>
      </c>
      <c r="O44" s="20">
        <v>18.773946360153257</v>
      </c>
      <c r="P44" s="20">
        <v>91.406959152798791</v>
      </c>
      <c r="Q44" s="20">
        <v>8.5930408472012108</v>
      </c>
    </row>
    <row r="45" spans="1:17" ht="8.25" customHeight="1">
      <c r="A45" s="2">
        <v>3</v>
      </c>
      <c r="B45" s="11" t="s">
        <v>32</v>
      </c>
      <c r="C45" s="15">
        <v>2011</v>
      </c>
      <c r="D45" s="20">
        <v>90.789818945158757</v>
      </c>
      <c r="E45" s="20">
        <v>9.2101810548412484</v>
      </c>
      <c r="F45" s="20">
        <v>96.461481754515304</v>
      </c>
      <c r="G45" s="20">
        <v>3.5385182454847035</v>
      </c>
      <c r="H45" s="22" t="s">
        <v>35</v>
      </c>
      <c r="I45" s="22" t="s">
        <v>35</v>
      </c>
      <c r="J45" s="20">
        <v>98.211972013474991</v>
      </c>
      <c r="K45" s="20">
        <v>1.7880279865250066</v>
      </c>
      <c r="L45" s="20">
        <v>99.739583333333343</v>
      </c>
      <c r="M45" s="20">
        <v>0.26041666666666663</v>
      </c>
      <c r="N45" s="20">
        <v>87.878787878787875</v>
      </c>
      <c r="O45" s="20">
        <v>12.121212121212121</v>
      </c>
      <c r="P45" s="20">
        <v>95.844781875150645</v>
      </c>
      <c r="Q45" s="20">
        <v>4.1552181248493616</v>
      </c>
    </row>
    <row r="46" spans="1:17" ht="8.25" customHeight="1">
      <c r="A46" s="2">
        <v>4</v>
      </c>
      <c r="B46" s="11" t="s">
        <v>33</v>
      </c>
      <c r="C46" s="15">
        <v>2011</v>
      </c>
      <c r="D46" s="20">
        <v>89.929357647445372</v>
      </c>
      <c r="E46" s="20">
        <v>10.070642352554625</v>
      </c>
      <c r="F46" s="20">
        <v>95.459157787924909</v>
      </c>
      <c r="G46" s="20">
        <v>4.5408422120750886</v>
      </c>
      <c r="H46" s="22" t="s">
        <v>35</v>
      </c>
      <c r="I46" s="22" t="s">
        <v>35</v>
      </c>
      <c r="J46" s="20">
        <v>97.569513902780557</v>
      </c>
      <c r="K46" s="20">
        <v>2.4304860972194442</v>
      </c>
      <c r="L46" s="20">
        <v>98.557692307692307</v>
      </c>
      <c r="M46" s="20">
        <v>1.4423076923076923</v>
      </c>
      <c r="N46" s="20">
        <v>89.026162790697668</v>
      </c>
      <c r="O46" s="20">
        <v>10.973837209302326</v>
      </c>
      <c r="P46" s="20">
        <v>94.909410272257105</v>
      </c>
      <c r="Q46" s="20">
        <v>5.0905897277429011</v>
      </c>
    </row>
    <row r="47" spans="1:17" s="116" customFormat="1" ht="16.5" customHeight="1">
      <c r="A47" s="117">
        <v>0</v>
      </c>
      <c r="B47" s="14" t="s">
        <v>34</v>
      </c>
      <c r="C47" s="15">
        <v>2011</v>
      </c>
      <c r="D47" s="20">
        <v>88.63333121545206</v>
      </c>
      <c r="E47" s="20">
        <v>11.366668784547938</v>
      </c>
      <c r="F47" s="20">
        <v>56.965070690269691</v>
      </c>
      <c r="G47" s="20">
        <v>43.034929309730309</v>
      </c>
      <c r="H47" s="22" t="s">
        <v>35</v>
      </c>
      <c r="I47" s="22" t="s">
        <v>35</v>
      </c>
      <c r="J47" s="20">
        <v>96.981435680443397</v>
      </c>
      <c r="K47" s="20">
        <v>3.0185643195566016</v>
      </c>
      <c r="L47" s="20">
        <v>94.489301574485268</v>
      </c>
      <c r="M47" s="20">
        <v>5.5106984255147351</v>
      </c>
      <c r="N47" s="20">
        <v>85.660781166399147</v>
      </c>
      <c r="O47" s="20">
        <v>14.339218833600857</v>
      </c>
      <c r="P47" s="20">
        <v>93.997250649152292</v>
      </c>
      <c r="Q47" s="20">
        <v>6.0027493508477168</v>
      </c>
    </row>
    <row r="48" spans="1:17" ht="8.25" customHeight="1">
      <c r="A48" s="2">
        <v>1</v>
      </c>
      <c r="B48" s="11" t="s">
        <v>30</v>
      </c>
      <c r="C48" s="12">
        <v>2010</v>
      </c>
      <c r="D48" s="23">
        <v>86.239534037131421</v>
      </c>
      <c r="E48" s="23">
        <v>13.760465962868585</v>
      </c>
      <c r="F48" s="23">
        <v>93.136738634368967</v>
      </c>
      <c r="G48" s="23">
        <v>6.8632613656310335</v>
      </c>
      <c r="H48" s="21" t="s">
        <v>35</v>
      </c>
      <c r="I48" s="21" t="s">
        <v>35</v>
      </c>
      <c r="J48" s="23">
        <v>97.029702970297024</v>
      </c>
      <c r="K48" s="23">
        <v>2.9702970297029703</v>
      </c>
      <c r="L48" s="23">
        <v>95.104333868378816</v>
      </c>
      <c r="M48" s="23">
        <v>4.8956661316211871</v>
      </c>
      <c r="N48" s="23">
        <v>83.228840125391841</v>
      </c>
      <c r="O48" s="23">
        <v>16.771159874608148</v>
      </c>
      <c r="P48" s="23">
        <v>93.407288194045293</v>
      </c>
      <c r="Q48" s="23">
        <v>6.592711805954707</v>
      </c>
    </row>
    <row r="49" spans="1:17" ht="8.25" customHeight="1">
      <c r="A49" s="2">
        <v>2</v>
      </c>
      <c r="B49" s="11" t="s">
        <v>31</v>
      </c>
      <c r="C49" s="12">
        <v>2010</v>
      </c>
      <c r="D49" s="23">
        <v>83.760941744642309</v>
      </c>
      <c r="E49" s="23">
        <v>16.239058255357683</v>
      </c>
      <c r="F49" s="23">
        <v>90.865384615384613</v>
      </c>
      <c r="G49" s="23">
        <v>9.1346153846153832</v>
      </c>
      <c r="H49" s="21" t="s">
        <v>35</v>
      </c>
      <c r="I49" s="21" t="s">
        <v>35</v>
      </c>
      <c r="J49" s="23">
        <v>95.661811272957564</v>
      </c>
      <c r="K49" s="23">
        <v>4.3381887270424313</v>
      </c>
      <c r="L49" s="23">
        <v>91.787709497206706</v>
      </c>
      <c r="M49" s="23">
        <v>8.2122905027932962</v>
      </c>
      <c r="N49" s="23">
        <v>80.323193916349808</v>
      </c>
      <c r="O49" s="23">
        <v>19.676806083650188</v>
      </c>
      <c r="P49" s="23">
        <v>91.404594021715624</v>
      </c>
      <c r="Q49" s="23">
        <v>8.5954059782843792</v>
      </c>
    </row>
    <row r="50" spans="1:17" ht="8.25" customHeight="1">
      <c r="A50" s="2">
        <v>3</v>
      </c>
      <c r="B50" s="11" t="s">
        <v>32</v>
      </c>
      <c r="C50" s="12">
        <v>2010</v>
      </c>
      <c r="D50" s="23">
        <v>90.6642259414226</v>
      </c>
      <c r="E50" s="23">
        <v>9.3357740585774067</v>
      </c>
      <c r="F50" s="23">
        <v>96.662561576354676</v>
      </c>
      <c r="G50" s="23">
        <v>3.3374384236453203</v>
      </c>
      <c r="H50" s="21" t="s">
        <v>35</v>
      </c>
      <c r="I50" s="21" t="s">
        <v>35</v>
      </c>
      <c r="J50" s="23">
        <v>98.307422266800401</v>
      </c>
      <c r="K50" s="23">
        <v>1.6925777331995988</v>
      </c>
      <c r="L50" s="23">
        <v>99.430199430199423</v>
      </c>
      <c r="M50" s="23">
        <v>0.56980056980056981</v>
      </c>
      <c r="N50" s="23">
        <v>91.290824261275276</v>
      </c>
      <c r="O50" s="23">
        <v>8.7091757387247277</v>
      </c>
      <c r="P50" s="23">
        <v>96.07439992349623</v>
      </c>
      <c r="Q50" s="23">
        <v>3.9256000765037777</v>
      </c>
    </row>
    <row r="51" spans="1:17" ht="8.25" customHeight="1">
      <c r="A51" s="2">
        <v>4</v>
      </c>
      <c r="B51" s="11" t="s">
        <v>33</v>
      </c>
      <c r="C51" s="12">
        <v>2010</v>
      </c>
      <c r="D51" s="23">
        <v>90.694263363754885</v>
      </c>
      <c r="E51" s="23">
        <v>9.3057366362451113</v>
      </c>
      <c r="F51" s="23">
        <v>95.899482129213013</v>
      </c>
      <c r="G51" s="23">
        <v>4.1005178707869936</v>
      </c>
      <c r="H51" s="21" t="s">
        <v>35</v>
      </c>
      <c r="I51" s="21" t="s">
        <v>35</v>
      </c>
      <c r="J51" s="23">
        <v>97.813688212927758</v>
      </c>
      <c r="K51" s="23">
        <v>2.1863117870722433</v>
      </c>
      <c r="L51" s="23">
        <v>98.354525056095738</v>
      </c>
      <c r="M51" s="23">
        <v>1.6454749439042633</v>
      </c>
      <c r="N51" s="23">
        <v>90.104166666666657</v>
      </c>
      <c r="O51" s="23">
        <v>9.8958333333333321</v>
      </c>
      <c r="P51" s="23">
        <v>95.375369584779534</v>
      </c>
      <c r="Q51" s="23">
        <v>4.6246304152204658</v>
      </c>
    </row>
    <row r="52" spans="1:17" s="116" customFormat="1" ht="16.5" customHeight="1">
      <c r="A52" s="117">
        <v>0</v>
      </c>
      <c r="B52" s="14" t="s">
        <v>34</v>
      </c>
      <c r="C52" s="15">
        <v>2010</v>
      </c>
      <c r="D52" s="20">
        <v>88.489388264669174</v>
      </c>
      <c r="E52" s="20">
        <v>11.510611735330837</v>
      </c>
      <c r="F52" s="20">
        <v>94.471647926490149</v>
      </c>
      <c r="G52" s="20">
        <v>5.5283520735098541</v>
      </c>
      <c r="H52" s="22" t="s">
        <v>35</v>
      </c>
      <c r="I52" s="22" t="s">
        <v>35</v>
      </c>
      <c r="J52" s="20">
        <v>97.186073059360737</v>
      </c>
      <c r="K52" s="20">
        <v>2.8139269406392695</v>
      </c>
      <c r="L52" s="20">
        <v>95.088907705334464</v>
      </c>
      <c r="M52" s="20">
        <v>4.9110922946655373</v>
      </c>
      <c r="N52" s="20">
        <v>86.320369866739185</v>
      </c>
      <c r="O52" s="20">
        <v>13.679630133260812</v>
      </c>
      <c r="P52" s="20">
        <v>94.171484142849422</v>
      </c>
      <c r="Q52" s="20">
        <v>5.8285158571505757</v>
      </c>
    </row>
    <row r="53" spans="1:17" ht="8.25" customHeight="1">
      <c r="A53" s="2">
        <v>1</v>
      </c>
      <c r="B53" s="11" t="s">
        <v>30</v>
      </c>
      <c r="C53" s="12">
        <v>2005</v>
      </c>
      <c r="D53" s="19">
        <v>86.913463805706201</v>
      </c>
      <c r="E53" s="19">
        <v>13.086536194293799</v>
      </c>
      <c r="F53" s="19">
        <v>93.560314281312586</v>
      </c>
      <c r="G53" s="19">
        <v>6.4396857186874126</v>
      </c>
      <c r="H53" s="21" t="s">
        <v>35</v>
      </c>
      <c r="I53" s="21" t="s">
        <v>35</v>
      </c>
      <c r="J53" s="19">
        <v>96.894803548795949</v>
      </c>
      <c r="K53" s="19">
        <v>3.1051964512040557</v>
      </c>
      <c r="L53" s="19">
        <v>93.974820143884898</v>
      </c>
      <c r="M53" s="19">
        <v>6.0251798561151082</v>
      </c>
      <c r="N53" s="19">
        <v>82.465462274176403</v>
      </c>
      <c r="O53" s="19">
        <v>17.534537725823593</v>
      </c>
      <c r="P53" s="19">
        <v>92.663769178404991</v>
      </c>
      <c r="Q53" s="19">
        <v>7.3362308215950147</v>
      </c>
    </row>
    <row r="54" spans="1:17" ht="8.25" customHeight="1">
      <c r="A54" s="2">
        <v>2</v>
      </c>
      <c r="B54" s="11" t="s">
        <v>31</v>
      </c>
      <c r="C54" s="12">
        <v>2005</v>
      </c>
      <c r="D54" s="19">
        <v>85.288440917864037</v>
      </c>
      <c r="E54" s="19">
        <v>14.711559082135963</v>
      </c>
      <c r="F54" s="19">
        <v>90.760604583130174</v>
      </c>
      <c r="G54" s="19">
        <v>9.2393954168698187</v>
      </c>
      <c r="H54" s="21" t="s">
        <v>35</v>
      </c>
      <c r="I54" s="21" t="s">
        <v>35</v>
      </c>
      <c r="J54" s="19">
        <v>94.035594035594045</v>
      </c>
      <c r="K54" s="19">
        <v>5.9644059644059642</v>
      </c>
      <c r="L54" s="19">
        <v>91.464891041162232</v>
      </c>
      <c r="M54" s="19">
        <v>8.5351089588377729</v>
      </c>
      <c r="N54" s="19">
        <v>77.061469265367322</v>
      </c>
      <c r="O54" s="19">
        <v>22.938530734632685</v>
      </c>
      <c r="P54" s="19">
        <v>90.123712193305465</v>
      </c>
      <c r="Q54" s="19">
        <v>9.8762878066945259</v>
      </c>
    </row>
    <row r="55" spans="1:17" ht="8.25" customHeight="1">
      <c r="A55" s="2">
        <v>3</v>
      </c>
      <c r="B55" s="11" t="s">
        <v>32</v>
      </c>
      <c r="C55" s="12">
        <v>2005</v>
      </c>
      <c r="D55" s="19">
        <v>90.577507598784194</v>
      </c>
      <c r="E55" s="19">
        <v>9.4224924012158056</v>
      </c>
      <c r="F55" s="19">
        <v>96.638340414896277</v>
      </c>
      <c r="G55" s="19">
        <v>3.3616595851037241</v>
      </c>
      <c r="H55" s="21" t="s">
        <v>35</v>
      </c>
      <c r="I55" s="21" t="s">
        <v>35</v>
      </c>
      <c r="J55" s="19">
        <v>98.081991215226935</v>
      </c>
      <c r="K55" s="19">
        <v>1.91800878477306</v>
      </c>
      <c r="L55" s="19">
        <v>100</v>
      </c>
      <c r="M55" s="24">
        <v>0</v>
      </c>
      <c r="N55" s="19">
        <v>85.654450261780099</v>
      </c>
      <c r="O55" s="19">
        <v>14.345549738219896</v>
      </c>
      <c r="P55" s="19">
        <v>95.095870206489678</v>
      </c>
      <c r="Q55" s="19">
        <v>4.9041297935103243</v>
      </c>
    </row>
    <row r="56" spans="1:17" ht="8.25" customHeight="1">
      <c r="A56" s="2">
        <v>4</v>
      </c>
      <c r="B56" s="11" t="s">
        <v>33</v>
      </c>
      <c r="C56" s="12">
        <v>2005</v>
      </c>
      <c r="D56" s="19">
        <v>92.082011780697783</v>
      </c>
      <c r="E56" s="19">
        <v>7.9179882193022202</v>
      </c>
      <c r="F56" s="19">
        <v>96.033129904097649</v>
      </c>
      <c r="G56" s="19">
        <v>3.9668700959023542</v>
      </c>
      <c r="H56" s="21" t="s">
        <v>35</v>
      </c>
      <c r="I56" s="21" t="s">
        <v>35</v>
      </c>
      <c r="J56" s="19">
        <v>97.395491354782223</v>
      </c>
      <c r="K56" s="19">
        <v>2.6045086452177721</v>
      </c>
      <c r="L56" s="19">
        <v>96.677215189873422</v>
      </c>
      <c r="M56" s="19">
        <v>3.3227848101265818</v>
      </c>
      <c r="N56" s="19">
        <v>86.965699208443269</v>
      </c>
      <c r="O56" s="19">
        <v>13.034300791556728</v>
      </c>
      <c r="P56" s="19">
        <v>94.842767295597483</v>
      </c>
      <c r="Q56" s="19">
        <v>5.1572327044025164</v>
      </c>
    </row>
    <row r="57" spans="1:17" s="116" customFormat="1" ht="16.5" customHeight="1">
      <c r="A57" s="117">
        <v>0</v>
      </c>
      <c r="B57" s="14" t="s">
        <v>34</v>
      </c>
      <c r="C57" s="15">
        <v>2005</v>
      </c>
      <c r="D57" s="20">
        <v>89.423365487674161</v>
      </c>
      <c r="E57" s="20">
        <v>10.57663451232583</v>
      </c>
      <c r="F57" s="20">
        <v>94.43907864313519</v>
      </c>
      <c r="G57" s="20">
        <v>5.560921356864811</v>
      </c>
      <c r="H57" s="22" t="s">
        <v>35</v>
      </c>
      <c r="I57" s="22" t="s">
        <v>35</v>
      </c>
      <c r="J57" s="20">
        <v>96.53222643482809</v>
      </c>
      <c r="K57" s="20">
        <v>3.4677735651719179</v>
      </c>
      <c r="L57" s="20">
        <v>94.244935543278089</v>
      </c>
      <c r="M57" s="20">
        <v>5.7550644567219154</v>
      </c>
      <c r="N57" s="20">
        <v>83.317073170731703</v>
      </c>
      <c r="O57" s="20">
        <v>16.682926829268293</v>
      </c>
      <c r="P57" s="20">
        <v>93.303402113636139</v>
      </c>
      <c r="Q57" s="20">
        <v>6.69659788636387</v>
      </c>
    </row>
    <row r="58" spans="1:17" ht="8.25" customHeight="1">
      <c r="A58" s="25"/>
      <c r="B58" s="17"/>
      <c r="C58" s="26"/>
      <c r="D58" s="26"/>
      <c r="E58" s="26"/>
      <c r="F58" s="26"/>
      <c r="G58" s="27"/>
      <c r="H58" s="27"/>
      <c r="I58" s="26"/>
      <c r="J58" s="26"/>
      <c r="K58" s="26"/>
      <c r="L58" s="26"/>
      <c r="M58" s="26"/>
      <c r="N58" s="26"/>
      <c r="O58" s="26"/>
      <c r="P58" s="26"/>
    </row>
    <row r="59" spans="1:17" ht="8.25" customHeight="1">
      <c r="A59" s="28" t="s">
        <v>119</v>
      </c>
      <c r="B59" s="28"/>
      <c r="C59" s="28"/>
      <c r="D59" s="28"/>
      <c r="E59" s="28"/>
      <c r="F59" s="28"/>
      <c r="G59" s="28"/>
      <c r="H59" s="28"/>
      <c r="I59" s="28"/>
      <c r="J59" s="26"/>
      <c r="K59" s="26"/>
      <c r="L59" s="26"/>
      <c r="M59" s="26"/>
      <c r="N59" s="26"/>
      <c r="O59" s="26"/>
      <c r="P59" s="26"/>
    </row>
    <row r="60" spans="1:17" ht="8.25" customHeight="1">
      <c r="A60" s="28" t="s">
        <v>36</v>
      </c>
      <c r="B60" s="28"/>
      <c r="C60" s="28"/>
      <c r="D60" s="28"/>
      <c r="E60" s="28"/>
      <c r="F60" s="28"/>
      <c r="G60" s="28"/>
      <c r="H60" s="28"/>
      <c r="I60" s="28"/>
      <c r="J60" s="26"/>
      <c r="K60" s="26"/>
      <c r="L60" s="26"/>
      <c r="M60" s="26"/>
      <c r="N60" s="26"/>
      <c r="O60" s="26"/>
      <c r="P60" s="26"/>
    </row>
    <row r="61" spans="1:17" ht="8.25" customHeight="1">
      <c r="A61" s="29"/>
      <c r="B61" s="29"/>
      <c r="C61" s="29"/>
      <c r="D61" s="29"/>
      <c r="E61" s="29"/>
      <c r="F61" s="30"/>
      <c r="G61" s="29"/>
      <c r="H61" s="29"/>
      <c r="I61" s="29"/>
      <c r="J61" s="26"/>
      <c r="K61" s="26"/>
      <c r="L61" s="26"/>
      <c r="M61" s="26"/>
      <c r="N61" s="26"/>
      <c r="O61" s="26"/>
      <c r="P61" s="26"/>
    </row>
    <row r="62" spans="1:17" ht="8.25" customHeight="1">
      <c r="A62" s="31" t="s">
        <v>37</v>
      </c>
      <c r="B62" s="31"/>
      <c r="C62" s="31"/>
      <c r="D62" s="31"/>
      <c r="E62" s="31"/>
      <c r="F62" s="31"/>
      <c r="G62" s="31"/>
      <c r="H62" s="31"/>
      <c r="I62" s="31"/>
      <c r="J62" s="26"/>
      <c r="K62" s="26"/>
      <c r="L62" s="26"/>
      <c r="M62" s="26"/>
      <c r="N62" s="26"/>
      <c r="O62" s="26"/>
      <c r="P62" s="26"/>
    </row>
    <row r="63" spans="1:17" ht="8.25" customHeight="1"/>
    <row r="64" spans="1:17" ht="8.25" customHeight="1"/>
    <row r="65" spans="1:17" ht="8.25" customHeight="1"/>
    <row r="66" spans="1:17" ht="8.25" customHeight="1">
      <c r="A66" s="227" t="s">
        <v>117</v>
      </c>
      <c r="B66" s="237" t="s">
        <v>2</v>
      </c>
      <c r="C66" s="233" t="s">
        <v>3</v>
      </c>
      <c r="D66" s="236" t="s">
        <v>4</v>
      </c>
      <c r="E66" s="236"/>
      <c r="F66" s="236" t="s">
        <v>5</v>
      </c>
      <c r="G66" s="236"/>
      <c r="H66" s="242" t="s">
        <v>6</v>
      </c>
      <c r="I66" s="242"/>
      <c r="J66" s="236" t="s">
        <v>7</v>
      </c>
      <c r="K66" s="236"/>
      <c r="L66" s="236" t="s">
        <v>8</v>
      </c>
      <c r="M66" s="236"/>
      <c r="N66" s="236" t="s">
        <v>9</v>
      </c>
      <c r="O66" s="236"/>
      <c r="P66" s="236" t="s">
        <v>10</v>
      </c>
      <c r="Q66" s="240"/>
    </row>
    <row r="67" spans="1:17" ht="8.25" customHeight="1">
      <c r="A67" s="228"/>
      <c r="B67" s="238"/>
      <c r="C67" s="234"/>
      <c r="D67" s="6" t="s">
        <v>11</v>
      </c>
      <c r="E67" s="7" t="s">
        <v>12</v>
      </c>
      <c r="F67" s="6" t="s">
        <v>11</v>
      </c>
      <c r="G67" s="7" t="s">
        <v>12</v>
      </c>
      <c r="H67" s="6" t="s">
        <v>11</v>
      </c>
      <c r="I67" s="7" t="s">
        <v>12</v>
      </c>
      <c r="J67" s="6" t="s">
        <v>11</v>
      </c>
      <c r="K67" s="7" t="s">
        <v>12</v>
      </c>
      <c r="L67" s="6" t="s">
        <v>11</v>
      </c>
      <c r="M67" s="7" t="s">
        <v>12</v>
      </c>
      <c r="N67" s="6" t="s">
        <v>11</v>
      </c>
      <c r="O67" s="7" t="s">
        <v>12</v>
      </c>
      <c r="P67" s="6" t="s">
        <v>11</v>
      </c>
      <c r="Q67" s="8" t="s">
        <v>12</v>
      </c>
    </row>
    <row r="68" spans="1:17" ht="8.25" customHeight="1">
      <c r="A68" s="229"/>
      <c r="B68" s="239"/>
      <c r="C68" s="235"/>
      <c r="D68" s="240" t="s">
        <v>38</v>
      </c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</row>
    <row r="69" spans="1:17" ht="8.25" customHeight="1">
      <c r="A69" s="9" t="s">
        <v>14</v>
      </c>
      <c r="B69" s="10" t="s">
        <v>15</v>
      </c>
      <c r="C69" s="10">
        <v>3</v>
      </c>
      <c r="D69" s="10">
        <v>4</v>
      </c>
      <c r="E69" s="10">
        <v>5</v>
      </c>
      <c r="F69" s="10">
        <v>6</v>
      </c>
      <c r="G69" s="10">
        <v>7</v>
      </c>
      <c r="H69" s="10">
        <v>8</v>
      </c>
      <c r="I69" s="10">
        <v>9</v>
      </c>
      <c r="J69" s="10">
        <v>10</v>
      </c>
      <c r="K69" s="10">
        <v>11</v>
      </c>
      <c r="L69" s="10">
        <v>12</v>
      </c>
      <c r="M69" s="10">
        <v>13</v>
      </c>
      <c r="N69" s="10">
        <v>14</v>
      </c>
      <c r="O69" s="10">
        <v>15</v>
      </c>
      <c r="P69" s="10">
        <v>16</v>
      </c>
      <c r="Q69" s="118">
        <v>17</v>
      </c>
    </row>
    <row r="70" spans="1:17" ht="8.25" customHeight="1">
      <c r="A70" s="2">
        <v>1</v>
      </c>
      <c r="B70" s="11" t="s">
        <v>30</v>
      </c>
      <c r="C70" s="138">
        <v>2018</v>
      </c>
      <c r="D70" s="129">
        <v>926</v>
      </c>
      <c r="E70" s="129">
        <v>327</v>
      </c>
      <c r="F70" s="129">
        <v>2369</v>
      </c>
      <c r="G70" s="129">
        <v>247</v>
      </c>
      <c r="H70" s="129">
        <v>1402</v>
      </c>
      <c r="I70" s="129">
        <v>198</v>
      </c>
      <c r="J70" s="129">
        <v>5496</v>
      </c>
      <c r="K70" s="129">
        <v>229</v>
      </c>
      <c r="L70" s="129">
        <v>2866</v>
      </c>
      <c r="M70" s="129">
        <v>216</v>
      </c>
      <c r="N70" s="129">
        <v>311</v>
      </c>
      <c r="O70" s="129">
        <v>40</v>
      </c>
      <c r="P70" s="129">
        <v>13370</v>
      </c>
      <c r="Q70" s="129">
        <v>1257</v>
      </c>
    </row>
    <row r="71" spans="1:17" ht="8.25" customHeight="1">
      <c r="A71" s="2">
        <v>2</v>
      </c>
      <c r="B71" s="11" t="s">
        <v>31</v>
      </c>
      <c r="C71" s="138">
        <v>2018</v>
      </c>
      <c r="D71" s="129">
        <v>877</v>
      </c>
      <c r="E71" s="129">
        <v>388</v>
      </c>
      <c r="F71" s="129">
        <v>2956</v>
      </c>
      <c r="G71" s="129">
        <v>471</v>
      </c>
      <c r="H71" s="129">
        <v>2437</v>
      </c>
      <c r="I71" s="129">
        <v>406</v>
      </c>
      <c r="J71" s="129">
        <v>7927</v>
      </c>
      <c r="K71" s="129">
        <v>346</v>
      </c>
      <c r="L71" s="129">
        <v>3885</v>
      </c>
      <c r="M71" s="129">
        <v>435</v>
      </c>
      <c r="N71" s="129">
        <v>498</v>
      </c>
      <c r="O71" s="129">
        <v>43</v>
      </c>
      <c r="P71" s="129">
        <v>18580</v>
      </c>
      <c r="Q71" s="129">
        <v>2089</v>
      </c>
    </row>
    <row r="72" spans="1:17" ht="8.25" customHeight="1">
      <c r="A72" s="2">
        <v>3</v>
      </c>
      <c r="B72" s="11" t="s">
        <v>32</v>
      </c>
      <c r="C72" s="138">
        <v>2018</v>
      </c>
      <c r="D72" s="129">
        <v>838</v>
      </c>
      <c r="E72" s="129">
        <v>165</v>
      </c>
      <c r="F72" s="129">
        <v>2107</v>
      </c>
      <c r="G72" s="129">
        <v>146</v>
      </c>
      <c r="H72" s="129">
        <v>4997</v>
      </c>
      <c r="I72" s="129">
        <v>546</v>
      </c>
      <c r="J72" s="129">
        <v>6490</v>
      </c>
      <c r="K72" s="129">
        <v>179</v>
      </c>
      <c r="L72" s="129">
        <v>1892</v>
      </c>
      <c r="M72" s="129">
        <v>123</v>
      </c>
      <c r="N72" s="129">
        <v>292</v>
      </c>
      <c r="O72" s="129">
        <v>29</v>
      </c>
      <c r="P72" s="129">
        <v>16616</v>
      </c>
      <c r="Q72" s="129">
        <v>1188</v>
      </c>
    </row>
    <row r="73" spans="1:17" ht="8.25" customHeight="1">
      <c r="A73" s="2">
        <v>4</v>
      </c>
      <c r="B73" s="11" t="s">
        <v>33</v>
      </c>
      <c r="C73" s="138">
        <v>2018</v>
      </c>
      <c r="D73" s="129">
        <v>1230</v>
      </c>
      <c r="E73" s="129">
        <v>325</v>
      </c>
      <c r="F73" s="129">
        <v>2932</v>
      </c>
      <c r="G73" s="129">
        <v>260</v>
      </c>
      <c r="H73" s="129">
        <v>7673</v>
      </c>
      <c r="I73" s="129">
        <v>1064</v>
      </c>
      <c r="J73" s="129">
        <v>8930</v>
      </c>
      <c r="K73" s="129">
        <v>293</v>
      </c>
      <c r="L73" s="129">
        <v>2840</v>
      </c>
      <c r="M73" s="129">
        <v>167</v>
      </c>
      <c r="N73" s="129">
        <v>754</v>
      </c>
      <c r="O73" s="129">
        <v>74</v>
      </c>
      <c r="P73" s="129">
        <v>24359</v>
      </c>
      <c r="Q73" s="129">
        <v>2183</v>
      </c>
    </row>
    <row r="74" spans="1:17" s="101" customFormat="1" ht="16.5" customHeight="1">
      <c r="A74" s="32">
        <v>0</v>
      </c>
      <c r="B74" s="125" t="s">
        <v>34</v>
      </c>
      <c r="C74" s="136">
        <v>2018</v>
      </c>
      <c r="D74" s="134">
        <v>3871</v>
      </c>
      <c r="E74" s="134">
        <v>1205</v>
      </c>
      <c r="F74" s="134">
        <v>10364</v>
      </c>
      <c r="G74" s="134">
        <v>1124</v>
      </c>
      <c r="H74" s="134">
        <v>16509</v>
      </c>
      <c r="I74" s="134">
        <v>2214</v>
      </c>
      <c r="J74" s="134">
        <v>28843</v>
      </c>
      <c r="K74" s="134">
        <v>1047</v>
      </c>
      <c r="L74" s="134">
        <v>11483</v>
      </c>
      <c r="M74" s="134">
        <v>941</v>
      </c>
      <c r="N74" s="134">
        <v>1855</v>
      </c>
      <c r="O74" s="134">
        <v>186</v>
      </c>
      <c r="P74" s="134">
        <v>72925</v>
      </c>
      <c r="Q74" s="134">
        <v>6717</v>
      </c>
    </row>
    <row r="75" spans="1:17" ht="8.25" customHeight="1">
      <c r="A75" s="2">
        <v>1</v>
      </c>
      <c r="B75" s="11" t="s">
        <v>30</v>
      </c>
      <c r="C75" s="138">
        <v>2017</v>
      </c>
      <c r="D75" s="129">
        <v>1003</v>
      </c>
      <c r="E75" s="129">
        <v>295</v>
      </c>
      <c r="F75" s="129">
        <v>2487</v>
      </c>
      <c r="G75" s="129">
        <v>257</v>
      </c>
      <c r="H75" s="129">
        <v>1540</v>
      </c>
      <c r="I75" s="129">
        <v>170</v>
      </c>
      <c r="J75" s="129">
        <v>5394</v>
      </c>
      <c r="K75" s="129">
        <v>250</v>
      </c>
      <c r="L75" s="129">
        <v>2866</v>
      </c>
      <c r="M75" s="129">
        <v>157</v>
      </c>
      <c r="N75" s="129">
        <v>318</v>
      </c>
      <c r="O75" s="129">
        <v>39</v>
      </c>
      <c r="P75" s="129">
        <v>13608</v>
      </c>
      <c r="Q75" s="129">
        <v>1168</v>
      </c>
    </row>
    <row r="76" spans="1:17" ht="8.25" customHeight="1">
      <c r="A76" s="2">
        <v>2</v>
      </c>
      <c r="B76" s="11" t="s">
        <v>31</v>
      </c>
      <c r="C76" s="138">
        <v>2017</v>
      </c>
      <c r="D76" s="129">
        <v>886</v>
      </c>
      <c r="E76" s="129">
        <v>338</v>
      </c>
      <c r="F76" s="129">
        <v>3186</v>
      </c>
      <c r="G76" s="129">
        <v>418</v>
      </c>
      <c r="H76" s="129">
        <v>2257</v>
      </c>
      <c r="I76" s="129">
        <v>379</v>
      </c>
      <c r="J76" s="129">
        <v>7922</v>
      </c>
      <c r="K76" s="129">
        <v>381</v>
      </c>
      <c r="L76" s="129">
        <v>3899</v>
      </c>
      <c r="M76" s="129">
        <v>385</v>
      </c>
      <c r="N76" s="129">
        <v>476</v>
      </c>
      <c r="O76" s="129">
        <v>46</v>
      </c>
      <c r="P76" s="129">
        <v>18626</v>
      </c>
      <c r="Q76" s="129">
        <v>1947</v>
      </c>
    </row>
    <row r="77" spans="1:17" ht="8.25" customHeight="1">
      <c r="A77" s="2">
        <v>3</v>
      </c>
      <c r="B77" s="11" t="s">
        <v>32</v>
      </c>
      <c r="C77" s="138">
        <v>2017</v>
      </c>
      <c r="D77" s="129">
        <v>840</v>
      </c>
      <c r="E77" s="129">
        <v>163</v>
      </c>
      <c r="F77" s="129">
        <v>2174</v>
      </c>
      <c r="G77" s="129">
        <v>138</v>
      </c>
      <c r="H77" s="129">
        <v>4981</v>
      </c>
      <c r="I77" s="129">
        <v>453</v>
      </c>
      <c r="J77" s="129">
        <v>6726</v>
      </c>
      <c r="K77" s="129">
        <v>168</v>
      </c>
      <c r="L77" s="129">
        <v>1816</v>
      </c>
      <c r="M77" s="129">
        <v>89</v>
      </c>
      <c r="N77" s="129">
        <v>289</v>
      </c>
      <c r="O77" s="129">
        <v>20</v>
      </c>
      <c r="P77" s="129">
        <v>16826</v>
      </c>
      <c r="Q77" s="129">
        <v>1031</v>
      </c>
    </row>
    <row r="78" spans="1:17" ht="8.25" customHeight="1">
      <c r="A78" s="2">
        <v>4</v>
      </c>
      <c r="B78" s="11" t="s">
        <v>33</v>
      </c>
      <c r="C78" s="138">
        <v>2017</v>
      </c>
      <c r="D78" s="129">
        <v>1402</v>
      </c>
      <c r="E78" s="129">
        <v>275</v>
      </c>
      <c r="F78" s="129">
        <v>3507</v>
      </c>
      <c r="G78" s="129">
        <v>278</v>
      </c>
      <c r="H78" s="129">
        <v>7439</v>
      </c>
      <c r="I78" s="129">
        <v>956</v>
      </c>
      <c r="J78" s="129">
        <v>8876</v>
      </c>
      <c r="K78" s="129">
        <v>274</v>
      </c>
      <c r="L78" s="129">
        <v>2706</v>
      </c>
      <c r="M78" s="129">
        <v>125</v>
      </c>
      <c r="N78" s="129">
        <v>859</v>
      </c>
      <c r="O78" s="129">
        <v>73</v>
      </c>
      <c r="P78" s="129">
        <v>24789</v>
      </c>
      <c r="Q78" s="129">
        <v>1981</v>
      </c>
    </row>
    <row r="79" spans="1:17" s="101" customFormat="1" ht="16.5" customHeight="1">
      <c r="A79" s="117">
        <v>0</v>
      </c>
      <c r="B79" s="14" t="s">
        <v>34</v>
      </c>
      <c r="C79" s="136">
        <v>2017</v>
      </c>
      <c r="D79" s="134">
        <v>4131</v>
      </c>
      <c r="E79" s="134">
        <v>1071</v>
      </c>
      <c r="F79" s="134">
        <v>11354</v>
      </c>
      <c r="G79" s="134">
        <v>1091</v>
      </c>
      <c r="H79" s="134">
        <v>16217</v>
      </c>
      <c r="I79" s="134">
        <v>1958</v>
      </c>
      <c r="J79" s="134">
        <v>28918</v>
      </c>
      <c r="K79" s="134">
        <v>1073</v>
      </c>
      <c r="L79" s="134">
        <v>11287</v>
      </c>
      <c r="M79" s="134">
        <v>756</v>
      </c>
      <c r="N79" s="134">
        <v>1942</v>
      </c>
      <c r="O79" s="134">
        <v>178</v>
      </c>
      <c r="P79" s="134">
        <v>73849</v>
      </c>
      <c r="Q79" s="134">
        <v>6127</v>
      </c>
    </row>
    <row r="80" spans="1:17" ht="8.25" customHeight="1">
      <c r="A80" s="2">
        <v>1</v>
      </c>
      <c r="B80" s="11" t="s">
        <v>30</v>
      </c>
      <c r="C80" s="87">
        <v>2016</v>
      </c>
      <c r="D80" s="24">
        <v>1160</v>
      </c>
      <c r="E80" s="24">
        <v>265</v>
      </c>
      <c r="F80" s="24">
        <v>2545</v>
      </c>
      <c r="G80" s="24">
        <v>272</v>
      </c>
      <c r="H80" s="24">
        <v>1433</v>
      </c>
      <c r="I80" s="24">
        <v>130</v>
      </c>
      <c r="J80" s="24">
        <v>5404</v>
      </c>
      <c r="K80" s="24">
        <v>218</v>
      </c>
      <c r="L80" s="24">
        <v>2606</v>
      </c>
      <c r="M80" s="24">
        <v>107</v>
      </c>
      <c r="N80" s="24">
        <v>368</v>
      </c>
      <c r="O80" s="24">
        <v>40</v>
      </c>
      <c r="P80" s="24">
        <v>13599</v>
      </c>
      <c r="Q80" s="24">
        <v>1032</v>
      </c>
    </row>
    <row r="81" spans="1:17" ht="8.25" customHeight="1">
      <c r="A81" s="2">
        <v>2</v>
      </c>
      <c r="B81" s="11" t="s">
        <v>31</v>
      </c>
      <c r="C81" s="87">
        <v>2016</v>
      </c>
      <c r="D81" s="24">
        <v>1092</v>
      </c>
      <c r="E81" s="24">
        <v>293</v>
      </c>
      <c r="F81" s="24">
        <v>3486</v>
      </c>
      <c r="G81" s="24">
        <v>404</v>
      </c>
      <c r="H81" s="24">
        <v>2140</v>
      </c>
      <c r="I81" s="24">
        <v>254</v>
      </c>
      <c r="J81" s="24">
        <v>7807</v>
      </c>
      <c r="K81" s="24">
        <v>290</v>
      </c>
      <c r="L81" s="24">
        <v>3437</v>
      </c>
      <c r="M81" s="24">
        <v>281</v>
      </c>
      <c r="N81" s="24">
        <v>591</v>
      </c>
      <c r="O81" s="24">
        <v>50</v>
      </c>
      <c r="P81" s="24">
        <v>18553</v>
      </c>
      <c r="Q81" s="24">
        <v>1572</v>
      </c>
    </row>
    <row r="82" spans="1:17" ht="8.25" customHeight="1">
      <c r="A82" s="2">
        <v>3</v>
      </c>
      <c r="B82" s="11" t="s">
        <v>32</v>
      </c>
      <c r="C82" s="87">
        <v>2016</v>
      </c>
      <c r="D82" s="24">
        <v>1002</v>
      </c>
      <c r="E82" s="24">
        <v>186</v>
      </c>
      <c r="F82" s="24">
        <v>2448</v>
      </c>
      <c r="G82" s="24">
        <v>152</v>
      </c>
      <c r="H82" s="24">
        <v>4872</v>
      </c>
      <c r="I82" s="24">
        <v>356</v>
      </c>
      <c r="J82" s="24">
        <v>6375</v>
      </c>
      <c r="K82" s="24">
        <v>147</v>
      </c>
      <c r="L82" s="24">
        <v>1610</v>
      </c>
      <c r="M82" s="24">
        <v>45</v>
      </c>
      <c r="N82" s="24">
        <v>330</v>
      </c>
      <c r="O82" s="24">
        <v>25</v>
      </c>
      <c r="P82" s="24">
        <v>16637</v>
      </c>
      <c r="Q82" s="24">
        <v>911</v>
      </c>
    </row>
    <row r="83" spans="1:17" ht="8.25" customHeight="1">
      <c r="A83" s="2">
        <v>4</v>
      </c>
      <c r="B83" s="11" t="s">
        <v>33</v>
      </c>
      <c r="C83" s="87">
        <v>2016</v>
      </c>
      <c r="D83" s="24">
        <v>1732</v>
      </c>
      <c r="E83" s="24">
        <v>322</v>
      </c>
      <c r="F83" s="24">
        <v>4151</v>
      </c>
      <c r="G83" s="24">
        <v>279</v>
      </c>
      <c r="H83" s="24">
        <v>6651</v>
      </c>
      <c r="I83" s="24">
        <v>675</v>
      </c>
      <c r="J83" s="24">
        <v>8696</v>
      </c>
      <c r="K83" s="24">
        <v>228</v>
      </c>
      <c r="L83" s="24">
        <v>2489</v>
      </c>
      <c r="M83" s="24">
        <v>114</v>
      </c>
      <c r="N83" s="24">
        <v>954</v>
      </c>
      <c r="O83" s="24">
        <v>70</v>
      </c>
      <c r="P83" s="24">
        <v>24673</v>
      </c>
      <c r="Q83" s="24">
        <v>1688</v>
      </c>
    </row>
    <row r="84" spans="1:17" s="101" customFormat="1" ht="16.5" customHeight="1">
      <c r="A84" s="32">
        <v>0</v>
      </c>
      <c r="B84" s="125" t="s">
        <v>34</v>
      </c>
      <c r="C84" s="100">
        <v>2016</v>
      </c>
      <c r="D84" s="37">
        <v>4986</v>
      </c>
      <c r="E84" s="37">
        <v>1066</v>
      </c>
      <c r="F84" s="37">
        <v>12630</v>
      </c>
      <c r="G84" s="37">
        <v>1107</v>
      </c>
      <c r="H84" s="37">
        <v>15096</v>
      </c>
      <c r="I84" s="37">
        <v>1415</v>
      </c>
      <c r="J84" s="37">
        <v>28365</v>
      </c>
      <c r="K84" s="37">
        <v>883</v>
      </c>
      <c r="L84" s="37">
        <v>10142</v>
      </c>
      <c r="M84" s="37">
        <v>547</v>
      </c>
      <c r="N84" s="37">
        <v>2243</v>
      </c>
      <c r="O84" s="37">
        <v>185</v>
      </c>
      <c r="P84" s="37">
        <v>73462</v>
      </c>
      <c r="Q84" s="37">
        <v>5203</v>
      </c>
    </row>
    <row r="85" spans="1:17" ht="8.25" customHeight="1">
      <c r="A85" s="2">
        <v>1</v>
      </c>
      <c r="B85" s="11" t="s">
        <v>30</v>
      </c>
      <c r="C85" s="87">
        <v>2015</v>
      </c>
      <c r="D85" s="24">
        <v>1215</v>
      </c>
      <c r="E85" s="24">
        <v>223</v>
      </c>
      <c r="F85" s="24">
        <v>2856</v>
      </c>
      <c r="G85" s="24">
        <v>209</v>
      </c>
      <c r="H85" s="24">
        <v>1421</v>
      </c>
      <c r="I85" s="24">
        <v>77</v>
      </c>
      <c r="J85" s="24">
        <v>5394</v>
      </c>
      <c r="K85" s="24">
        <v>250</v>
      </c>
      <c r="L85" s="24">
        <v>2591</v>
      </c>
      <c r="M85" s="24">
        <v>118</v>
      </c>
      <c r="N85" s="24">
        <v>463</v>
      </c>
      <c r="O85" s="24">
        <v>54</v>
      </c>
      <c r="P85" s="24">
        <v>13979</v>
      </c>
      <c r="Q85" s="24">
        <v>828</v>
      </c>
    </row>
    <row r="86" spans="1:17" ht="8.25" customHeight="1">
      <c r="A86" s="2">
        <v>2</v>
      </c>
      <c r="B86" s="11" t="s">
        <v>31</v>
      </c>
      <c r="C86" s="87">
        <v>2015</v>
      </c>
      <c r="D86" s="24">
        <v>1225</v>
      </c>
      <c r="E86" s="24">
        <v>309</v>
      </c>
      <c r="F86" s="24">
        <v>3782</v>
      </c>
      <c r="G86" s="24">
        <v>359</v>
      </c>
      <c r="H86" s="24">
        <v>2152</v>
      </c>
      <c r="I86" s="24">
        <v>219</v>
      </c>
      <c r="J86" s="24">
        <v>7832</v>
      </c>
      <c r="K86" s="24">
        <v>287</v>
      </c>
      <c r="L86" s="24">
        <v>3205</v>
      </c>
      <c r="M86" s="24">
        <v>291</v>
      </c>
      <c r="N86" s="24">
        <v>595</v>
      </c>
      <c r="O86" s="24">
        <v>61</v>
      </c>
      <c r="P86" s="24">
        <v>18791</v>
      </c>
      <c r="Q86" s="24">
        <v>1526</v>
      </c>
    </row>
    <row r="87" spans="1:17" ht="8.25" customHeight="1">
      <c r="A87" s="2">
        <v>3</v>
      </c>
      <c r="B87" s="11" t="s">
        <v>32</v>
      </c>
      <c r="C87" s="87">
        <v>2015</v>
      </c>
      <c r="D87" s="24">
        <v>1117</v>
      </c>
      <c r="E87" s="24">
        <v>191</v>
      </c>
      <c r="F87" s="24">
        <v>2824</v>
      </c>
      <c r="G87" s="24">
        <v>106</v>
      </c>
      <c r="H87" s="24">
        <v>4759</v>
      </c>
      <c r="I87" s="24">
        <v>257</v>
      </c>
      <c r="J87" s="24">
        <v>6581</v>
      </c>
      <c r="K87" s="24">
        <v>97</v>
      </c>
      <c r="L87" s="24">
        <v>1499</v>
      </c>
      <c r="M87" s="24">
        <v>45</v>
      </c>
      <c r="N87" s="24">
        <v>431</v>
      </c>
      <c r="O87" s="24">
        <v>34</v>
      </c>
      <c r="P87" s="24">
        <v>17211</v>
      </c>
      <c r="Q87" s="24">
        <v>730</v>
      </c>
    </row>
    <row r="88" spans="1:17" ht="8.25" customHeight="1">
      <c r="A88" s="2">
        <v>4</v>
      </c>
      <c r="B88" s="11" t="s">
        <v>33</v>
      </c>
      <c r="C88" s="87">
        <v>2015</v>
      </c>
      <c r="D88" s="24">
        <v>2110</v>
      </c>
      <c r="E88" s="24">
        <v>343</v>
      </c>
      <c r="F88" s="24">
        <v>4786</v>
      </c>
      <c r="G88" s="24">
        <v>244</v>
      </c>
      <c r="H88" s="24">
        <v>6198</v>
      </c>
      <c r="I88" s="24">
        <v>459</v>
      </c>
      <c r="J88" s="24">
        <v>8818</v>
      </c>
      <c r="K88" s="24">
        <v>195</v>
      </c>
      <c r="L88" s="24">
        <v>2723</v>
      </c>
      <c r="M88" s="24">
        <v>75</v>
      </c>
      <c r="N88" s="24">
        <v>1087</v>
      </c>
      <c r="O88" s="24">
        <v>79</v>
      </c>
      <c r="P88" s="24">
        <v>25722</v>
      </c>
      <c r="Q88" s="24">
        <v>1395</v>
      </c>
    </row>
    <row r="89" spans="1:17" s="101" customFormat="1" ht="16.5" customHeight="1">
      <c r="A89" s="32">
        <v>0</v>
      </c>
      <c r="B89" s="125" t="s">
        <v>34</v>
      </c>
      <c r="C89" s="100">
        <v>2015</v>
      </c>
      <c r="D89" s="37">
        <v>5667</v>
      </c>
      <c r="E89" s="37">
        <v>1066</v>
      </c>
      <c r="F89" s="37">
        <v>14248</v>
      </c>
      <c r="G89" s="37">
        <v>918</v>
      </c>
      <c r="H89" s="37">
        <v>14530</v>
      </c>
      <c r="I89" s="37">
        <v>1012</v>
      </c>
      <c r="J89" s="37">
        <v>28664</v>
      </c>
      <c r="K89" s="37">
        <v>726</v>
      </c>
      <c r="L89" s="37">
        <v>10018</v>
      </c>
      <c r="M89" s="37">
        <v>529</v>
      </c>
      <c r="N89" s="37">
        <v>2576</v>
      </c>
      <c r="O89" s="37">
        <v>228</v>
      </c>
      <c r="P89" s="37">
        <v>75703</v>
      </c>
      <c r="Q89" s="37">
        <v>4479</v>
      </c>
    </row>
    <row r="90" spans="1:17" ht="8.25" customHeight="1">
      <c r="A90" s="2">
        <v>1</v>
      </c>
      <c r="B90" s="11" t="s">
        <v>30</v>
      </c>
      <c r="C90" s="12">
        <v>2014</v>
      </c>
      <c r="D90" s="24">
        <v>1525</v>
      </c>
      <c r="E90" s="24">
        <v>238</v>
      </c>
      <c r="F90" s="24">
        <v>3550</v>
      </c>
      <c r="G90" s="24">
        <v>234</v>
      </c>
      <c r="H90" s="24">
        <v>1011</v>
      </c>
      <c r="I90" s="24">
        <v>36</v>
      </c>
      <c r="J90" s="24">
        <v>5718</v>
      </c>
      <c r="K90" s="24">
        <v>165</v>
      </c>
      <c r="L90" s="24">
        <v>2354</v>
      </c>
      <c r="M90" s="24">
        <v>91</v>
      </c>
      <c r="N90" s="24">
        <v>484</v>
      </c>
      <c r="O90" s="24">
        <v>43</v>
      </c>
      <c r="P90" s="24">
        <v>14642</v>
      </c>
      <c r="Q90" s="24">
        <v>807</v>
      </c>
    </row>
    <row r="91" spans="1:17" ht="8.25" customHeight="1">
      <c r="A91" s="2">
        <v>2</v>
      </c>
      <c r="B91" s="11" t="s">
        <v>31</v>
      </c>
      <c r="C91" s="12">
        <v>2014</v>
      </c>
      <c r="D91" s="24">
        <v>1639</v>
      </c>
      <c r="E91" s="24">
        <v>310</v>
      </c>
      <c r="F91" s="24">
        <v>4372</v>
      </c>
      <c r="G91" s="24">
        <v>393</v>
      </c>
      <c r="H91" s="24">
        <v>1507</v>
      </c>
      <c r="I91" s="24">
        <v>126</v>
      </c>
      <c r="J91" s="24">
        <v>7851</v>
      </c>
      <c r="K91" s="24">
        <v>274</v>
      </c>
      <c r="L91" s="24">
        <v>3242</v>
      </c>
      <c r="M91" s="24">
        <v>258</v>
      </c>
      <c r="N91" s="24">
        <v>700</v>
      </c>
      <c r="O91" s="24">
        <v>109</v>
      </c>
      <c r="P91" s="24">
        <v>19311</v>
      </c>
      <c r="Q91" s="24">
        <v>1470</v>
      </c>
    </row>
    <row r="92" spans="1:17" ht="8.25" customHeight="1">
      <c r="A92" s="2">
        <v>3</v>
      </c>
      <c r="B92" s="11" t="s">
        <v>32</v>
      </c>
      <c r="C92" s="12">
        <v>2014</v>
      </c>
      <c r="D92" s="24">
        <v>1893</v>
      </c>
      <c r="E92" s="24">
        <v>233</v>
      </c>
      <c r="F92" s="24">
        <v>4787</v>
      </c>
      <c r="G92" s="24">
        <v>163</v>
      </c>
      <c r="H92" s="24">
        <v>2990</v>
      </c>
      <c r="I92" s="24">
        <v>120</v>
      </c>
      <c r="J92" s="24">
        <v>6681</v>
      </c>
      <c r="K92" s="24">
        <v>117</v>
      </c>
      <c r="L92" s="24">
        <v>1084</v>
      </c>
      <c r="M92" s="24">
        <v>34</v>
      </c>
      <c r="N92" s="24">
        <v>520</v>
      </c>
      <c r="O92" s="24">
        <v>57</v>
      </c>
      <c r="P92" s="24">
        <v>17955</v>
      </c>
      <c r="Q92" s="24">
        <v>724</v>
      </c>
    </row>
    <row r="93" spans="1:17" ht="8.25" customHeight="1">
      <c r="A93" s="2">
        <v>4</v>
      </c>
      <c r="B93" s="11" t="s">
        <v>33</v>
      </c>
      <c r="C93" s="12">
        <v>2014</v>
      </c>
      <c r="D93" s="24">
        <v>2855</v>
      </c>
      <c r="E93" s="24">
        <v>411</v>
      </c>
      <c r="F93" s="24">
        <v>6470</v>
      </c>
      <c r="G93" s="24">
        <v>351</v>
      </c>
      <c r="H93" s="24">
        <v>4094</v>
      </c>
      <c r="I93" s="24">
        <v>218</v>
      </c>
      <c r="J93" s="24">
        <v>8859</v>
      </c>
      <c r="K93" s="24">
        <v>217</v>
      </c>
      <c r="L93" s="24">
        <v>2686</v>
      </c>
      <c r="M93" s="24">
        <v>67</v>
      </c>
      <c r="N93" s="24">
        <v>1223</v>
      </c>
      <c r="O93" s="24">
        <v>109</v>
      </c>
      <c r="P93" s="24">
        <v>26187</v>
      </c>
      <c r="Q93" s="24">
        <v>1373</v>
      </c>
    </row>
    <row r="94" spans="1:17" s="101" customFormat="1" ht="16.5" customHeight="1">
      <c r="A94" s="32">
        <v>0</v>
      </c>
      <c r="B94" s="125" t="s">
        <v>34</v>
      </c>
      <c r="C94" s="15">
        <v>2014</v>
      </c>
      <c r="D94" s="94">
        <v>7912</v>
      </c>
      <c r="E94" s="94">
        <v>1192</v>
      </c>
      <c r="F94" s="94">
        <v>19179</v>
      </c>
      <c r="G94" s="94">
        <v>1141</v>
      </c>
      <c r="H94" s="94">
        <v>9602</v>
      </c>
      <c r="I94" s="94">
        <v>500</v>
      </c>
      <c r="J94" s="94">
        <v>29109</v>
      </c>
      <c r="K94" s="94">
        <v>773</v>
      </c>
      <c r="L94" s="94">
        <v>9366</v>
      </c>
      <c r="M94" s="94">
        <v>450</v>
      </c>
      <c r="N94" s="94">
        <v>2927</v>
      </c>
      <c r="O94" s="94">
        <v>318</v>
      </c>
      <c r="P94" s="94">
        <v>78095</v>
      </c>
      <c r="Q94" s="94">
        <v>4374</v>
      </c>
    </row>
    <row r="95" spans="1:17" ht="8.25" customHeight="1">
      <c r="A95" s="2">
        <v>1</v>
      </c>
      <c r="B95" s="11" t="s">
        <v>30</v>
      </c>
      <c r="C95" s="15">
        <v>2013</v>
      </c>
      <c r="D95" s="94">
        <v>1855</v>
      </c>
      <c r="E95" s="94">
        <v>261</v>
      </c>
      <c r="F95" s="94">
        <v>4394</v>
      </c>
      <c r="G95" s="94">
        <v>367</v>
      </c>
      <c r="H95" s="94" t="s">
        <v>35</v>
      </c>
      <c r="I95" s="94" t="s">
        <v>35</v>
      </c>
      <c r="J95" s="94">
        <v>5993</v>
      </c>
      <c r="K95" s="94">
        <v>164</v>
      </c>
      <c r="L95" s="94">
        <v>2461</v>
      </c>
      <c r="M95" s="94">
        <v>80</v>
      </c>
      <c r="N95" s="94">
        <v>523</v>
      </c>
      <c r="O95" s="94">
        <v>71</v>
      </c>
      <c r="P95" s="94">
        <v>15226</v>
      </c>
      <c r="Q95" s="94">
        <v>943</v>
      </c>
    </row>
    <row r="96" spans="1:17" ht="8.25" customHeight="1">
      <c r="A96" s="2">
        <v>2</v>
      </c>
      <c r="B96" s="11" t="s">
        <v>31</v>
      </c>
      <c r="C96" s="15">
        <v>2013</v>
      </c>
      <c r="D96" s="94">
        <v>2273</v>
      </c>
      <c r="E96" s="94">
        <v>431</v>
      </c>
      <c r="F96" s="94">
        <v>5719</v>
      </c>
      <c r="G96" s="94">
        <v>523</v>
      </c>
      <c r="H96" s="94" t="s">
        <v>35</v>
      </c>
      <c r="I96" s="94" t="s">
        <v>35</v>
      </c>
      <c r="J96" s="94">
        <v>8151</v>
      </c>
      <c r="K96" s="94">
        <v>360</v>
      </c>
      <c r="L96" s="94">
        <v>3160</v>
      </c>
      <c r="M96" s="94">
        <v>249</v>
      </c>
      <c r="N96" s="94">
        <v>715</v>
      </c>
      <c r="O96" s="94">
        <v>109</v>
      </c>
      <c r="P96" s="94">
        <v>20018</v>
      </c>
      <c r="Q96" s="94">
        <v>1672</v>
      </c>
    </row>
    <row r="97" spans="1:17" ht="8.25" customHeight="1">
      <c r="A97" s="2">
        <v>3</v>
      </c>
      <c r="B97" s="11" t="s">
        <v>32</v>
      </c>
      <c r="C97" s="15">
        <v>2013</v>
      </c>
      <c r="D97" s="94">
        <v>2971</v>
      </c>
      <c r="E97" s="94">
        <v>287</v>
      </c>
      <c r="F97" s="94">
        <v>7449</v>
      </c>
      <c r="G97" s="94">
        <v>233</v>
      </c>
      <c r="H97" s="94" t="s">
        <v>35</v>
      </c>
      <c r="I97" s="94" t="s">
        <v>35</v>
      </c>
      <c r="J97" s="94">
        <v>7043</v>
      </c>
      <c r="K97" s="94">
        <v>95</v>
      </c>
      <c r="L97" s="94">
        <v>811</v>
      </c>
      <c r="M97" s="94">
        <v>14</v>
      </c>
      <c r="N97" s="94">
        <v>501</v>
      </c>
      <c r="O97" s="94">
        <v>48</v>
      </c>
      <c r="P97" s="94">
        <v>18775</v>
      </c>
      <c r="Q97" s="94">
        <v>677</v>
      </c>
    </row>
    <row r="98" spans="1:17" ht="8.25" customHeight="1">
      <c r="A98" s="2">
        <v>4</v>
      </c>
      <c r="B98" s="11" t="s">
        <v>33</v>
      </c>
      <c r="C98" s="15">
        <v>2013</v>
      </c>
      <c r="D98" s="94">
        <v>4624</v>
      </c>
      <c r="E98" s="94">
        <v>491</v>
      </c>
      <c r="F98" s="94">
        <v>10212</v>
      </c>
      <c r="G98" s="94">
        <v>470</v>
      </c>
      <c r="H98" s="94" t="s">
        <v>35</v>
      </c>
      <c r="I98" s="94" t="s">
        <v>35</v>
      </c>
      <c r="J98" s="94">
        <v>9149</v>
      </c>
      <c r="K98" s="94">
        <v>218</v>
      </c>
      <c r="L98" s="94">
        <v>2505</v>
      </c>
      <c r="M98" s="94">
        <v>46</v>
      </c>
      <c r="N98" s="94">
        <v>1242</v>
      </c>
      <c r="O98" s="94">
        <v>117</v>
      </c>
      <c r="P98" s="94">
        <v>27732</v>
      </c>
      <c r="Q98" s="94">
        <v>1342</v>
      </c>
    </row>
    <row r="99" spans="1:17" s="101" customFormat="1" ht="16.5" customHeight="1">
      <c r="A99" s="32">
        <v>0</v>
      </c>
      <c r="B99" s="125" t="s">
        <v>34</v>
      </c>
      <c r="C99" s="15">
        <v>2013</v>
      </c>
      <c r="D99" s="94">
        <v>11723</v>
      </c>
      <c r="E99" s="94">
        <v>1470</v>
      </c>
      <c r="F99" s="94">
        <v>27774</v>
      </c>
      <c r="G99" s="94">
        <v>1593</v>
      </c>
      <c r="H99" s="94" t="s">
        <v>35</v>
      </c>
      <c r="I99" s="94" t="s">
        <v>35</v>
      </c>
      <c r="J99" s="94">
        <v>30336</v>
      </c>
      <c r="K99" s="94">
        <v>837</v>
      </c>
      <c r="L99" s="94">
        <v>8937</v>
      </c>
      <c r="M99" s="94">
        <v>389</v>
      </c>
      <c r="N99" s="94">
        <v>2981</v>
      </c>
      <c r="O99" s="94">
        <v>345</v>
      </c>
      <c r="P99" s="94">
        <v>81751</v>
      </c>
      <c r="Q99" s="94">
        <v>4634</v>
      </c>
    </row>
    <row r="100" spans="1:17" ht="8.25" customHeight="1">
      <c r="A100" s="2">
        <v>1</v>
      </c>
      <c r="B100" s="11" t="s">
        <v>30</v>
      </c>
      <c r="C100" s="12">
        <v>2012</v>
      </c>
      <c r="D100" s="24">
        <v>2108</v>
      </c>
      <c r="E100" s="24">
        <v>303</v>
      </c>
      <c r="F100" s="24">
        <v>4822</v>
      </c>
      <c r="G100" s="24">
        <v>371</v>
      </c>
      <c r="H100" s="119" t="s">
        <v>35</v>
      </c>
      <c r="I100" s="119" t="s">
        <v>35</v>
      </c>
      <c r="J100" s="24">
        <v>6135</v>
      </c>
      <c r="K100" s="24">
        <v>179</v>
      </c>
      <c r="L100" s="24">
        <v>1668</v>
      </c>
      <c r="M100" s="24">
        <v>95</v>
      </c>
      <c r="N100" s="24">
        <v>546</v>
      </c>
      <c r="O100" s="24">
        <v>80</v>
      </c>
      <c r="P100" s="24">
        <v>15279</v>
      </c>
      <c r="Q100" s="24">
        <v>1028</v>
      </c>
    </row>
    <row r="101" spans="1:17" ht="8.25" customHeight="1">
      <c r="A101" s="2">
        <v>2</v>
      </c>
      <c r="B101" s="11" t="s">
        <v>31</v>
      </c>
      <c r="C101" s="12">
        <v>2012</v>
      </c>
      <c r="D101" s="24">
        <v>2454</v>
      </c>
      <c r="E101" s="24">
        <v>469</v>
      </c>
      <c r="F101" s="24">
        <v>6253</v>
      </c>
      <c r="G101" s="24">
        <v>617</v>
      </c>
      <c r="H101" s="119" t="s">
        <v>35</v>
      </c>
      <c r="I101" s="119" t="s">
        <v>35</v>
      </c>
      <c r="J101" s="24">
        <v>8408</v>
      </c>
      <c r="K101" s="24">
        <v>407</v>
      </c>
      <c r="L101" s="24">
        <v>2629</v>
      </c>
      <c r="M101" s="24">
        <v>244</v>
      </c>
      <c r="N101" s="24">
        <v>814</v>
      </c>
      <c r="O101" s="24">
        <v>165</v>
      </c>
      <c r="P101" s="24">
        <v>20558</v>
      </c>
      <c r="Q101" s="24">
        <v>1902</v>
      </c>
    </row>
    <row r="102" spans="1:17" ht="8.25" customHeight="1">
      <c r="A102" s="2">
        <v>3</v>
      </c>
      <c r="B102" s="11" t="s">
        <v>32</v>
      </c>
      <c r="C102" s="12">
        <v>2012</v>
      </c>
      <c r="D102" s="24">
        <v>3067</v>
      </c>
      <c r="E102" s="24">
        <v>326</v>
      </c>
      <c r="F102" s="24">
        <v>7418</v>
      </c>
      <c r="G102" s="24">
        <v>258</v>
      </c>
      <c r="H102" s="119" t="s">
        <v>35</v>
      </c>
      <c r="I102" s="119" t="s">
        <v>35</v>
      </c>
      <c r="J102" s="24">
        <v>7321</v>
      </c>
      <c r="K102" s="24">
        <v>117</v>
      </c>
      <c r="L102" s="24">
        <v>540</v>
      </c>
      <c r="M102" s="24">
        <v>7</v>
      </c>
      <c r="N102" s="24">
        <v>570</v>
      </c>
      <c r="O102" s="24">
        <v>64</v>
      </c>
      <c r="P102" s="24">
        <v>18916</v>
      </c>
      <c r="Q102" s="24">
        <v>772</v>
      </c>
    </row>
    <row r="103" spans="1:17" ht="8.25" customHeight="1">
      <c r="A103" s="2">
        <v>4</v>
      </c>
      <c r="B103" s="11" t="s">
        <v>33</v>
      </c>
      <c r="C103" s="12">
        <v>2012</v>
      </c>
      <c r="D103" s="24">
        <v>5026</v>
      </c>
      <c r="E103" s="24">
        <v>558</v>
      </c>
      <c r="F103" s="24">
        <v>10652</v>
      </c>
      <c r="G103" s="24">
        <v>507</v>
      </c>
      <c r="H103" s="119" t="s">
        <v>35</v>
      </c>
      <c r="I103" s="119" t="s">
        <v>35</v>
      </c>
      <c r="J103" s="24">
        <v>9324</v>
      </c>
      <c r="K103" s="24">
        <v>202</v>
      </c>
      <c r="L103" s="24">
        <v>1762</v>
      </c>
      <c r="M103" s="24">
        <v>26</v>
      </c>
      <c r="N103" s="24">
        <v>1212</v>
      </c>
      <c r="O103" s="24">
        <v>135</v>
      </c>
      <c r="P103" s="24">
        <v>27976</v>
      </c>
      <c r="Q103" s="24">
        <v>1428</v>
      </c>
    </row>
    <row r="104" spans="1:17" s="101" customFormat="1" ht="16.5" customHeight="1">
      <c r="A104" s="32">
        <v>0</v>
      </c>
      <c r="B104" s="125" t="s">
        <v>34</v>
      </c>
      <c r="C104" s="15">
        <v>2012</v>
      </c>
      <c r="D104" s="94">
        <v>12655</v>
      </c>
      <c r="E104" s="94">
        <v>1656</v>
      </c>
      <c r="F104" s="94">
        <v>29145</v>
      </c>
      <c r="G104" s="94">
        <v>1753</v>
      </c>
      <c r="H104" s="120" t="s">
        <v>35</v>
      </c>
      <c r="I104" s="120" t="s">
        <v>35</v>
      </c>
      <c r="J104" s="94">
        <v>31188</v>
      </c>
      <c r="K104" s="94">
        <v>905</v>
      </c>
      <c r="L104" s="94">
        <v>6599</v>
      </c>
      <c r="M104" s="94">
        <v>372</v>
      </c>
      <c r="N104" s="94">
        <v>3142</v>
      </c>
      <c r="O104" s="94">
        <v>444</v>
      </c>
      <c r="P104" s="94">
        <v>82729</v>
      </c>
      <c r="Q104" s="94">
        <v>5130</v>
      </c>
    </row>
    <row r="105" spans="1:17" ht="8.25" customHeight="1">
      <c r="A105" s="2">
        <v>1</v>
      </c>
      <c r="B105" s="11" t="s">
        <v>30</v>
      </c>
      <c r="C105" s="15">
        <v>2011</v>
      </c>
      <c r="D105" s="24">
        <v>2267</v>
      </c>
      <c r="E105" s="24">
        <v>328</v>
      </c>
      <c r="F105" s="24">
        <v>5244</v>
      </c>
      <c r="G105" s="24">
        <v>399</v>
      </c>
      <c r="H105" s="121" t="s">
        <v>35</v>
      </c>
      <c r="I105" s="122" t="s">
        <v>35</v>
      </c>
      <c r="J105" s="24">
        <v>6279</v>
      </c>
      <c r="K105" s="24">
        <v>189</v>
      </c>
      <c r="L105" s="24">
        <v>1205</v>
      </c>
      <c r="M105" s="24">
        <v>66</v>
      </c>
      <c r="N105" s="24">
        <v>520</v>
      </c>
      <c r="O105" s="24">
        <v>105</v>
      </c>
      <c r="P105" s="24">
        <v>15948</v>
      </c>
      <c r="Q105" s="24">
        <v>1087</v>
      </c>
    </row>
    <row r="106" spans="1:17" ht="8.25" customHeight="1">
      <c r="A106" s="2">
        <v>2</v>
      </c>
      <c r="B106" s="11" t="s">
        <v>31</v>
      </c>
      <c r="C106" s="15">
        <v>2011</v>
      </c>
      <c r="D106" s="24">
        <v>2749</v>
      </c>
      <c r="E106" s="24">
        <v>497</v>
      </c>
      <c r="F106" s="24">
        <v>7156</v>
      </c>
      <c r="G106" s="24">
        <v>667</v>
      </c>
      <c r="H106" s="121" t="s">
        <v>35</v>
      </c>
      <c r="I106" s="122" t="s">
        <v>35</v>
      </c>
      <c r="J106" s="24">
        <v>8736</v>
      </c>
      <c r="K106" s="24">
        <v>443</v>
      </c>
      <c r="L106" s="24">
        <v>1658</v>
      </c>
      <c r="M106" s="24">
        <v>185</v>
      </c>
      <c r="N106" s="24">
        <v>848</v>
      </c>
      <c r="O106" s="24">
        <v>196</v>
      </c>
      <c r="P106" s="24">
        <v>21147</v>
      </c>
      <c r="Q106" s="24">
        <v>1988</v>
      </c>
    </row>
    <row r="107" spans="1:17" ht="8.25" customHeight="1">
      <c r="A107" s="2">
        <v>3</v>
      </c>
      <c r="B107" s="11" t="s">
        <v>32</v>
      </c>
      <c r="C107" s="15">
        <v>2011</v>
      </c>
      <c r="D107" s="24">
        <v>3460</v>
      </c>
      <c r="E107" s="24">
        <v>351</v>
      </c>
      <c r="F107" s="24">
        <v>7851</v>
      </c>
      <c r="G107" s="24">
        <v>288</v>
      </c>
      <c r="H107" s="121" t="s">
        <v>35</v>
      </c>
      <c r="I107" s="122" t="s">
        <v>35</v>
      </c>
      <c r="J107" s="24">
        <v>7580</v>
      </c>
      <c r="K107" s="24">
        <v>138</v>
      </c>
      <c r="L107" s="24">
        <v>383</v>
      </c>
      <c r="M107" s="24">
        <v>1</v>
      </c>
      <c r="N107" s="24">
        <v>609</v>
      </c>
      <c r="O107" s="24">
        <v>84</v>
      </c>
      <c r="P107" s="24">
        <v>19883</v>
      </c>
      <c r="Q107" s="24">
        <v>862</v>
      </c>
    </row>
    <row r="108" spans="1:17" ht="8.25" customHeight="1">
      <c r="A108" s="2">
        <v>4</v>
      </c>
      <c r="B108" s="11" t="s">
        <v>33</v>
      </c>
      <c r="C108" s="15">
        <v>2011</v>
      </c>
      <c r="D108" s="24">
        <v>5474</v>
      </c>
      <c r="E108" s="24">
        <v>613</v>
      </c>
      <c r="F108" s="24">
        <v>11289</v>
      </c>
      <c r="G108" s="24">
        <v>537</v>
      </c>
      <c r="H108" s="121" t="s">
        <v>35</v>
      </c>
      <c r="I108" s="122" t="s">
        <v>35</v>
      </c>
      <c r="J108" s="24">
        <v>9755</v>
      </c>
      <c r="K108" s="24">
        <v>243</v>
      </c>
      <c r="L108" s="24">
        <v>1435</v>
      </c>
      <c r="M108" s="24">
        <v>21</v>
      </c>
      <c r="N108" s="24">
        <v>1225</v>
      </c>
      <c r="O108" s="24">
        <v>151</v>
      </c>
      <c r="P108" s="24">
        <v>29178</v>
      </c>
      <c r="Q108" s="24">
        <v>1565</v>
      </c>
    </row>
    <row r="109" spans="1:17" s="101" customFormat="1" ht="16.5" customHeight="1">
      <c r="A109" s="32">
        <v>0</v>
      </c>
      <c r="B109" s="125" t="s">
        <v>34</v>
      </c>
      <c r="C109" s="15">
        <v>2011</v>
      </c>
      <c r="D109" s="102">
        <v>13950</v>
      </c>
      <c r="E109" s="37">
        <v>1789</v>
      </c>
      <c r="F109" s="102">
        <v>19179</v>
      </c>
      <c r="G109" s="37">
        <v>14489</v>
      </c>
      <c r="H109" s="123" t="s">
        <v>35</v>
      </c>
      <c r="I109" s="124" t="s">
        <v>35</v>
      </c>
      <c r="J109" s="102">
        <v>32546</v>
      </c>
      <c r="K109" s="37">
        <v>1013</v>
      </c>
      <c r="L109" s="102">
        <v>4681</v>
      </c>
      <c r="M109" s="37">
        <v>273</v>
      </c>
      <c r="N109" s="102">
        <v>3202</v>
      </c>
      <c r="O109" s="102">
        <v>536</v>
      </c>
      <c r="P109" s="37">
        <v>86156</v>
      </c>
      <c r="Q109" s="37">
        <v>5502</v>
      </c>
    </row>
    <row r="110" spans="1:17" ht="8.25" customHeight="1">
      <c r="A110" s="2">
        <v>1</v>
      </c>
      <c r="B110" s="11" t="s">
        <v>30</v>
      </c>
      <c r="C110" s="12">
        <v>2010</v>
      </c>
      <c r="D110" s="24">
        <v>2369</v>
      </c>
      <c r="E110" s="24">
        <v>378</v>
      </c>
      <c r="F110" s="24">
        <v>5306</v>
      </c>
      <c r="G110" s="24">
        <v>391</v>
      </c>
      <c r="H110" s="119" t="s">
        <v>35</v>
      </c>
      <c r="I110" s="119" t="s">
        <v>35</v>
      </c>
      <c r="J110" s="24">
        <v>6860</v>
      </c>
      <c r="K110" s="24">
        <v>210</v>
      </c>
      <c r="L110" s="24">
        <v>1185</v>
      </c>
      <c r="M110" s="24">
        <v>61</v>
      </c>
      <c r="N110" s="24">
        <v>531</v>
      </c>
      <c r="O110" s="24">
        <v>107</v>
      </c>
      <c r="P110" s="24">
        <v>16251</v>
      </c>
      <c r="Q110" s="24">
        <v>1147</v>
      </c>
    </row>
    <row r="111" spans="1:17" ht="8.25" customHeight="1">
      <c r="A111" s="2">
        <v>2</v>
      </c>
      <c r="B111" s="11" t="s">
        <v>31</v>
      </c>
      <c r="C111" s="12">
        <v>2010</v>
      </c>
      <c r="D111" s="24">
        <v>2775</v>
      </c>
      <c r="E111" s="24">
        <v>538</v>
      </c>
      <c r="F111" s="24">
        <v>6804</v>
      </c>
      <c r="G111" s="24">
        <v>684</v>
      </c>
      <c r="H111" s="119" t="s">
        <v>35</v>
      </c>
      <c r="I111" s="119" t="s">
        <v>35</v>
      </c>
      <c r="J111" s="24">
        <v>9063</v>
      </c>
      <c r="K111" s="24">
        <v>411</v>
      </c>
      <c r="L111" s="24">
        <v>1643</v>
      </c>
      <c r="M111" s="24">
        <v>147</v>
      </c>
      <c r="N111" s="24">
        <v>845</v>
      </c>
      <c r="O111" s="24">
        <v>207</v>
      </c>
      <c r="P111" s="24">
        <v>21130</v>
      </c>
      <c r="Q111" s="24">
        <v>1987</v>
      </c>
    </row>
    <row r="112" spans="1:17" ht="8.25" customHeight="1">
      <c r="A112" s="2">
        <v>3</v>
      </c>
      <c r="B112" s="11" t="s">
        <v>32</v>
      </c>
      <c r="C112" s="12">
        <v>2010</v>
      </c>
      <c r="D112" s="24">
        <v>3467</v>
      </c>
      <c r="E112" s="24">
        <v>357</v>
      </c>
      <c r="F112" s="24">
        <v>7849</v>
      </c>
      <c r="G112" s="24">
        <v>271</v>
      </c>
      <c r="H112" s="119" t="s">
        <v>35</v>
      </c>
      <c r="I112" s="119" t="s">
        <v>35</v>
      </c>
      <c r="J112" s="24">
        <v>7841</v>
      </c>
      <c r="K112" s="24">
        <v>135</v>
      </c>
      <c r="L112" s="24">
        <v>349</v>
      </c>
      <c r="M112" s="24">
        <v>2</v>
      </c>
      <c r="N112" s="24">
        <v>587</v>
      </c>
      <c r="O112" s="24">
        <v>56</v>
      </c>
      <c r="P112" s="24">
        <v>20093</v>
      </c>
      <c r="Q112" s="24">
        <v>821</v>
      </c>
    </row>
    <row r="113" spans="1:17" ht="8.25" customHeight="1">
      <c r="A113" s="2">
        <v>4</v>
      </c>
      <c r="B113" s="11" t="s">
        <v>33</v>
      </c>
      <c r="C113" s="12">
        <v>2010</v>
      </c>
      <c r="D113" s="24">
        <v>5565</v>
      </c>
      <c r="E113" s="24">
        <v>571</v>
      </c>
      <c r="F113" s="24">
        <v>11296</v>
      </c>
      <c r="G113" s="24">
        <v>483</v>
      </c>
      <c r="H113" s="119" t="s">
        <v>35</v>
      </c>
      <c r="I113" s="119" t="s">
        <v>35</v>
      </c>
      <c r="J113" s="24">
        <v>10290</v>
      </c>
      <c r="K113" s="24">
        <v>230</v>
      </c>
      <c r="L113" s="24">
        <v>1315</v>
      </c>
      <c r="M113" s="24">
        <v>22</v>
      </c>
      <c r="N113" s="24">
        <v>1211</v>
      </c>
      <c r="O113" s="24">
        <v>133</v>
      </c>
      <c r="P113" s="24">
        <v>29677</v>
      </c>
      <c r="Q113" s="24">
        <v>1439</v>
      </c>
    </row>
    <row r="114" spans="1:17" s="101" customFormat="1" ht="16.5" customHeight="1">
      <c r="A114" s="32">
        <v>0</v>
      </c>
      <c r="B114" s="125" t="s">
        <v>34</v>
      </c>
      <c r="C114" s="15">
        <v>2010</v>
      </c>
      <c r="D114" s="94">
        <v>14176</v>
      </c>
      <c r="E114" s="94">
        <v>1844</v>
      </c>
      <c r="F114" s="94">
        <v>31255</v>
      </c>
      <c r="G114" s="94">
        <v>1829</v>
      </c>
      <c r="H114" s="120" t="s">
        <v>35</v>
      </c>
      <c r="I114" s="120" t="s">
        <v>35</v>
      </c>
      <c r="J114" s="94">
        <v>34054</v>
      </c>
      <c r="K114" s="94">
        <v>986</v>
      </c>
      <c r="L114" s="94">
        <v>4492</v>
      </c>
      <c r="M114" s="94">
        <v>232</v>
      </c>
      <c r="N114" s="94">
        <v>3174</v>
      </c>
      <c r="O114" s="94">
        <v>503</v>
      </c>
      <c r="P114" s="94">
        <v>87151</v>
      </c>
      <c r="Q114" s="94">
        <v>5394</v>
      </c>
    </row>
    <row r="115" spans="1:17" ht="8.25" customHeight="1">
      <c r="A115" s="2">
        <v>1</v>
      </c>
      <c r="B115" s="11" t="s">
        <v>30</v>
      </c>
      <c r="C115" s="12">
        <v>2005</v>
      </c>
      <c r="D115" s="24">
        <v>3686</v>
      </c>
      <c r="E115" s="24">
        <v>555</v>
      </c>
      <c r="F115" s="24">
        <v>6073</v>
      </c>
      <c r="G115" s="24">
        <v>418</v>
      </c>
      <c r="H115" s="119" t="s">
        <v>35</v>
      </c>
      <c r="I115" s="119" t="s">
        <v>35</v>
      </c>
      <c r="J115" s="24">
        <v>6116</v>
      </c>
      <c r="K115" s="24">
        <v>196</v>
      </c>
      <c r="L115" s="24">
        <v>1045</v>
      </c>
      <c r="M115" s="24">
        <v>67</v>
      </c>
      <c r="N115" s="24">
        <v>776</v>
      </c>
      <c r="O115" s="24">
        <v>165</v>
      </c>
      <c r="P115" s="24">
        <v>17696</v>
      </c>
      <c r="Q115" s="24">
        <v>1401</v>
      </c>
    </row>
    <row r="116" spans="1:17" ht="8.25" customHeight="1">
      <c r="A116" s="2">
        <v>2</v>
      </c>
      <c r="B116" s="11" t="s">
        <v>31</v>
      </c>
      <c r="C116" s="12">
        <v>2005</v>
      </c>
      <c r="D116" s="24">
        <v>3977</v>
      </c>
      <c r="E116" s="24">
        <v>686</v>
      </c>
      <c r="F116" s="24">
        <v>7446</v>
      </c>
      <c r="G116" s="24">
        <v>758</v>
      </c>
      <c r="H116" s="119" t="s">
        <v>35</v>
      </c>
      <c r="I116" s="119" t="s">
        <v>35</v>
      </c>
      <c r="J116" s="24">
        <v>7820</v>
      </c>
      <c r="K116" s="24">
        <v>496</v>
      </c>
      <c r="L116" s="24">
        <v>1511</v>
      </c>
      <c r="M116" s="24">
        <v>141</v>
      </c>
      <c r="N116" s="24">
        <v>1028</v>
      </c>
      <c r="O116" s="24">
        <v>306</v>
      </c>
      <c r="P116" s="24">
        <v>21782</v>
      </c>
      <c r="Q116" s="24">
        <v>2387</v>
      </c>
    </row>
    <row r="117" spans="1:17" ht="8.25" customHeight="1">
      <c r="A117" s="2">
        <v>3</v>
      </c>
      <c r="B117" s="11" t="s">
        <v>32</v>
      </c>
      <c r="C117" s="12">
        <v>2005</v>
      </c>
      <c r="D117" s="24">
        <v>5066</v>
      </c>
      <c r="E117" s="24">
        <v>527</v>
      </c>
      <c r="F117" s="24">
        <v>7733</v>
      </c>
      <c r="G117" s="24">
        <v>269</v>
      </c>
      <c r="H117" s="119" t="s">
        <v>35</v>
      </c>
      <c r="I117" s="119" t="s">
        <v>35</v>
      </c>
      <c r="J117" s="24">
        <v>6699</v>
      </c>
      <c r="K117" s="24">
        <v>131</v>
      </c>
      <c r="L117" s="24">
        <v>316</v>
      </c>
      <c r="M117" s="24">
        <v>0</v>
      </c>
      <c r="N117" s="24">
        <v>818</v>
      </c>
      <c r="O117" s="24">
        <v>137</v>
      </c>
      <c r="P117" s="24">
        <v>20632</v>
      </c>
      <c r="Q117" s="24">
        <v>1064</v>
      </c>
    </row>
    <row r="118" spans="1:17" ht="8.25" customHeight="1">
      <c r="A118" s="2">
        <v>4</v>
      </c>
      <c r="B118" s="11" t="s">
        <v>33</v>
      </c>
      <c r="C118" s="12">
        <v>2005</v>
      </c>
      <c r="D118" s="24">
        <v>8129</v>
      </c>
      <c r="E118" s="24">
        <v>699</v>
      </c>
      <c r="F118" s="24">
        <v>11015</v>
      </c>
      <c r="G118" s="24">
        <v>455</v>
      </c>
      <c r="H118" s="119" t="s">
        <v>35</v>
      </c>
      <c r="I118" s="119" t="s">
        <v>35</v>
      </c>
      <c r="J118" s="24">
        <v>8900</v>
      </c>
      <c r="K118" s="24">
        <v>238</v>
      </c>
      <c r="L118" s="24">
        <v>1222</v>
      </c>
      <c r="M118" s="24">
        <v>42</v>
      </c>
      <c r="N118" s="24">
        <v>1648</v>
      </c>
      <c r="O118" s="24">
        <v>247</v>
      </c>
      <c r="P118" s="24">
        <v>30914</v>
      </c>
      <c r="Q118" s="24">
        <v>1681</v>
      </c>
    </row>
    <row r="119" spans="1:17" s="101" customFormat="1" ht="16.5" customHeight="1">
      <c r="A119" s="32">
        <v>0</v>
      </c>
      <c r="B119" s="125" t="s">
        <v>34</v>
      </c>
      <c r="C119" s="15">
        <v>2005</v>
      </c>
      <c r="D119" s="94">
        <v>20858</v>
      </c>
      <c r="E119" s="94">
        <v>2467</v>
      </c>
      <c r="F119" s="94">
        <v>32267</v>
      </c>
      <c r="G119" s="94">
        <v>1900</v>
      </c>
      <c r="H119" s="120" t="s">
        <v>35</v>
      </c>
      <c r="I119" s="120" t="s">
        <v>35</v>
      </c>
      <c r="J119" s="94">
        <v>29535</v>
      </c>
      <c r="K119" s="94">
        <v>1061</v>
      </c>
      <c r="L119" s="94">
        <v>4094</v>
      </c>
      <c r="M119" s="94">
        <v>250</v>
      </c>
      <c r="N119" s="94">
        <v>4270</v>
      </c>
      <c r="O119" s="94">
        <v>855</v>
      </c>
      <c r="P119" s="94">
        <v>91024</v>
      </c>
      <c r="Q119" s="94">
        <v>6533</v>
      </c>
    </row>
    <row r="120" spans="1:17" ht="8.25" customHeight="1">
      <c r="A120" s="25"/>
      <c r="B120" s="17"/>
      <c r="C120" s="26"/>
      <c r="D120" s="26"/>
      <c r="E120" s="26"/>
      <c r="F120" s="26"/>
      <c r="G120" s="27"/>
      <c r="H120" s="27"/>
      <c r="I120" s="26"/>
      <c r="J120" s="26"/>
      <c r="K120" s="26"/>
      <c r="L120" s="26"/>
      <c r="M120" s="26"/>
      <c r="N120" s="26"/>
      <c r="O120" s="26"/>
      <c r="P120" s="26"/>
    </row>
    <row r="121" spans="1:17" ht="8.25" customHeight="1">
      <c r="A121" s="28" t="s">
        <v>118</v>
      </c>
      <c r="B121" s="28"/>
      <c r="C121" s="28"/>
      <c r="D121" s="28"/>
      <c r="E121" s="28"/>
      <c r="F121" s="28"/>
      <c r="G121" s="28"/>
      <c r="H121" s="28"/>
      <c r="I121" s="28"/>
      <c r="J121" s="26"/>
      <c r="K121" s="26"/>
      <c r="L121" s="26"/>
      <c r="M121" s="26"/>
      <c r="N121" s="26"/>
      <c r="O121" s="26"/>
      <c r="P121" s="26"/>
    </row>
    <row r="122" spans="1:17" ht="8.25" customHeight="1">
      <c r="A122" s="28" t="s">
        <v>36</v>
      </c>
      <c r="B122" s="28"/>
      <c r="C122" s="28"/>
      <c r="D122" s="28"/>
      <c r="E122" s="28"/>
      <c r="F122" s="28"/>
      <c r="G122" s="28"/>
      <c r="H122" s="28"/>
      <c r="I122" s="28"/>
      <c r="J122" s="26"/>
      <c r="K122" s="26"/>
      <c r="L122" s="26"/>
      <c r="M122" s="26"/>
      <c r="N122" s="26"/>
      <c r="O122" s="26"/>
      <c r="P122" s="26"/>
    </row>
    <row r="123" spans="1:17" ht="8.25" customHeight="1">
      <c r="A123" s="29"/>
      <c r="B123" s="29"/>
      <c r="C123" s="29"/>
      <c r="D123" s="29"/>
      <c r="E123" s="29"/>
      <c r="F123" s="30"/>
      <c r="G123" s="29"/>
      <c r="H123" s="29"/>
      <c r="I123" s="29"/>
      <c r="J123" s="26"/>
      <c r="K123" s="26"/>
      <c r="L123" s="26"/>
      <c r="M123" s="26"/>
      <c r="N123" s="26"/>
      <c r="O123" s="26"/>
      <c r="P123" s="26"/>
    </row>
    <row r="124" spans="1:17" ht="8.25" customHeight="1">
      <c r="A124" s="31" t="s">
        <v>37</v>
      </c>
      <c r="B124" s="31"/>
      <c r="C124" s="31"/>
      <c r="D124" s="31"/>
      <c r="E124" s="31"/>
      <c r="F124" s="31"/>
      <c r="G124" s="31"/>
      <c r="H124" s="31"/>
      <c r="I124" s="31"/>
      <c r="J124" s="26"/>
      <c r="K124" s="26"/>
      <c r="L124" s="26"/>
      <c r="M124" s="26"/>
      <c r="N124" s="26"/>
      <c r="O124" s="26"/>
      <c r="P124" s="26"/>
    </row>
    <row r="125" spans="1:17">
      <c r="A125" s="32"/>
      <c r="B125" s="33"/>
      <c r="C125" s="34"/>
      <c r="D125" s="34"/>
      <c r="E125" s="35"/>
      <c r="F125" s="35"/>
      <c r="G125" s="34"/>
      <c r="H125" s="34"/>
      <c r="I125" s="35"/>
      <c r="J125" s="35"/>
      <c r="K125" s="34"/>
      <c r="L125" s="34"/>
      <c r="M125" s="36"/>
      <c r="N125" s="36"/>
      <c r="O125" s="37"/>
      <c r="P125" s="37"/>
    </row>
  </sheetData>
  <autoFilter ref="A7:P7"/>
  <mergeCells count="24">
    <mergeCell ref="J4:K4"/>
    <mergeCell ref="L4:M4"/>
    <mergeCell ref="N4:O4"/>
    <mergeCell ref="P4:Q4"/>
    <mergeCell ref="D6:Q6"/>
    <mergeCell ref="A1:H1"/>
    <mergeCell ref="A2:H2"/>
    <mergeCell ref="B4:B6"/>
    <mergeCell ref="C4:C6"/>
    <mergeCell ref="D4:E4"/>
    <mergeCell ref="F4:G4"/>
    <mergeCell ref="H4:I4"/>
    <mergeCell ref="A4:A6"/>
    <mergeCell ref="A66:A68"/>
    <mergeCell ref="J66:K66"/>
    <mergeCell ref="L66:M66"/>
    <mergeCell ref="N66:O66"/>
    <mergeCell ref="P66:Q66"/>
    <mergeCell ref="D68:Q68"/>
    <mergeCell ref="B66:B68"/>
    <mergeCell ref="C66:C68"/>
    <mergeCell ref="D66:E66"/>
    <mergeCell ref="F66:G66"/>
    <mergeCell ref="H66:I66"/>
  </mergeCells>
  <pageMargins left="0.7" right="0.7" top="0.78740157499999996" bottom="0.78740157499999996" header="0.3" footer="0.3"/>
  <pageSetup paperSize="9" orientation="portrait" r:id="rId1"/>
  <ignoredErrors>
    <ignoredError sqref="AG69:XFD69 AH7:XFD7 A7:B7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>
    <tabColor theme="0"/>
  </sheetPr>
  <dimension ref="A1:AB157"/>
  <sheetViews>
    <sheetView workbookViewId="0"/>
  </sheetViews>
  <sheetFormatPr baseColWidth="10" defaultRowHeight="15"/>
  <cols>
    <col min="9" max="9" width="11.42578125" style="77"/>
    <col min="11" max="11" width="11.42578125" style="70"/>
  </cols>
  <sheetData>
    <row r="1" spans="1:28">
      <c r="A1" s="53" t="s">
        <v>54</v>
      </c>
    </row>
    <row r="3" spans="1:28">
      <c r="A3" s="54" t="s">
        <v>120</v>
      </c>
    </row>
    <row r="4" spans="1:28">
      <c r="A4" s="54" t="s">
        <v>55</v>
      </c>
    </row>
    <row r="6" spans="1:28">
      <c r="A6" s="39" t="s">
        <v>56</v>
      </c>
    </row>
    <row r="8" spans="1:28">
      <c r="A8" t="s">
        <v>42</v>
      </c>
    </row>
    <row r="9" spans="1:28">
      <c r="A9" t="s">
        <v>57</v>
      </c>
    </row>
    <row r="10" spans="1:28">
      <c r="A10" t="s">
        <v>43</v>
      </c>
    </row>
    <row r="12" spans="1:28">
      <c r="A12" t="s">
        <v>58</v>
      </c>
    </row>
    <row r="13" spans="1:28">
      <c r="A13" t="s">
        <v>59</v>
      </c>
    </row>
    <row r="14" spans="1:28">
      <c r="A14" t="s">
        <v>121</v>
      </c>
    </row>
    <row r="16" spans="1:28" ht="30">
      <c r="A16" s="45" t="s">
        <v>34</v>
      </c>
      <c r="B16" s="262" t="s">
        <v>63</v>
      </c>
      <c r="C16" s="263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4"/>
      <c r="S16" s="46"/>
      <c r="T16" s="46"/>
      <c r="U16" s="46"/>
      <c r="V16" s="46"/>
      <c r="W16" s="46"/>
      <c r="X16" s="46"/>
      <c r="Y16" s="46"/>
      <c r="Z16" s="46"/>
      <c r="AA16" s="46"/>
      <c r="AB16" s="40"/>
    </row>
    <row r="17" spans="1:28" ht="30">
      <c r="A17" s="42" t="s">
        <v>44</v>
      </c>
      <c r="B17" s="265"/>
      <c r="C17" s="266"/>
      <c r="D17" s="266"/>
      <c r="E17" s="266"/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  <c r="AB17" s="49"/>
    </row>
    <row r="18" spans="1:28">
      <c r="A18" s="42" t="s">
        <v>45</v>
      </c>
      <c r="B18" s="268"/>
      <c r="C18" s="269"/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70"/>
      <c r="AB18" s="49"/>
    </row>
    <row r="19" spans="1:28" ht="45">
      <c r="A19" s="42" t="s">
        <v>61</v>
      </c>
      <c r="B19" s="55"/>
      <c r="C19" s="262" t="s">
        <v>66</v>
      </c>
      <c r="D19" s="263"/>
      <c r="E19" s="263"/>
      <c r="F19" s="263"/>
      <c r="G19" s="263"/>
      <c r="H19" s="263"/>
      <c r="I19" s="263"/>
      <c r="J19" s="263"/>
      <c r="K19" s="263"/>
      <c r="L19" s="263"/>
      <c r="M19" s="264"/>
      <c r="N19" s="45" t="s">
        <v>68</v>
      </c>
      <c r="O19" s="262" t="s">
        <v>72</v>
      </c>
      <c r="P19" s="263"/>
      <c r="Q19" s="263"/>
      <c r="R19" s="264"/>
      <c r="AB19" s="49"/>
    </row>
    <row r="20" spans="1:28" ht="15" customHeight="1">
      <c r="A20" s="42" t="s">
        <v>46</v>
      </c>
      <c r="B20" s="42" t="s">
        <v>64</v>
      </c>
      <c r="C20" s="265" t="s">
        <v>67</v>
      </c>
      <c r="D20" s="266"/>
      <c r="E20" s="266"/>
      <c r="F20" s="266"/>
      <c r="G20" s="266"/>
      <c r="H20" s="266"/>
      <c r="I20" s="266"/>
      <c r="J20" s="266"/>
      <c r="K20" s="266"/>
      <c r="L20" s="266"/>
      <c r="M20" s="267"/>
      <c r="N20" s="42" t="s">
        <v>69</v>
      </c>
      <c r="O20" s="265" t="s">
        <v>67</v>
      </c>
      <c r="P20" s="266"/>
      <c r="Q20" s="266"/>
      <c r="R20" s="267"/>
      <c r="AB20" s="49"/>
    </row>
    <row r="21" spans="1:28" ht="30">
      <c r="A21" s="42" t="s">
        <v>62</v>
      </c>
      <c r="B21" s="42" t="s">
        <v>65</v>
      </c>
      <c r="C21" s="268"/>
      <c r="D21" s="269"/>
      <c r="E21" s="269"/>
      <c r="F21" s="269"/>
      <c r="G21" s="269"/>
      <c r="H21" s="269"/>
      <c r="I21" s="269"/>
      <c r="J21" s="269"/>
      <c r="K21" s="269"/>
      <c r="L21" s="269"/>
      <c r="M21" s="270"/>
      <c r="N21" s="42" t="s">
        <v>70</v>
      </c>
      <c r="O21" s="268"/>
      <c r="P21" s="269"/>
      <c r="Q21" s="269"/>
      <c r="R21" s="270"/>
      <c r="AB21" s="49"/>
    </row>
    <row r="22" spans="1:28">
      <c r="A22" s="42"/>
      <c r="B22" s="42"/>
      <c r="C22" s="256">
        <v>0</v>
      </c>
      <c r="D22" s="256">
        <v>1</v>
      </c>
      <c r="E22" s="256">
        <v>2</v>
      </c>
      <c r="F22" s="256">
        <v>3</v>
      </c>
      <c r="G22" s="256">
        <v>4</v>
      </c>
      <c r="H22" s="256">
        <v>5</v>
      </c>
      <c r="I22" s="258">
        <v>6</v>
      </c>
      <c r="J22" s="256">
        <v>7</v>
      </c>
      <c r="K22" s="260">
        <v>8</v>
      </c>
      <c r="L22" s="256">
        <v>9</v>
      </c>
      <c r="M22" s="256">
        <v>10</v>
      </c>
      <c r="N22" s="42" t="s">
        <v>71</v>
      </c>
      <c r="O22" s="45" t="s">
        <v>73</v>
      </c>
      <c r="P22" s="256">
        <v>11</v>
      </c>
      <c r="Q22" s="256">
        <v>12</v>
      </c>
      <c r="R22" s="256">
        <v>13</v>
      </c>
      <c r="AB22" s="49"/>
    </row>
    <row r="23" spans="1:28">
      <c r="A23" s="42"/>
      <c r="B23" s="48"/>
      <c r="C23" s="257"/>
      <c r="D23" s="257"/>
      <c r="E23" s="257"/>
      <c r="F23" s="257"/>
      <c r="G23" s="257"/>
      <c r="H23" s="257"/>
      <c r="I23" s="259"/>
      <c r="J23" s="257"/>
      <c r="K23" s="261"/>
      <c r="L23" s="257"/>
      <c r="M23" s="257"/>
      <c r="N23" s="48"/>
      <c r="O23" s="48" t="s">
        <v>74</v>
      </c>
      <c r="P23" s="257"/>
      <c r="Q23" s="257"/>
      <c r="R23" s="257"/>
      <c r="AB23" s="49"/>
    </row>
    <row r="24" spans="1:28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149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AB24" s="49"/>
    </row>
    <row r="25" spans="1:28">
      <c r="A25" s="38"/>
      <c r="AB25" s="49"/>
    </row>
    <row r="26" spans="1:28" ht="15" customHeight="1">
      <c r="A26" s="253" t="s">
        <v>47</v>
      </c>
      <c r="B26" s="254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4"/>
      <c r="R26" s="254"/>
      <c r="S26" s="254"/>
      <c r="T26" s="254"/>
      <c r="U26" s="254"/>
      <c r="V26" s="254"/>
      <c r="W26" s="254"/>
      <c r="X26" s="254"/>
      <c r="Y26" s="254"/>
      <c r="Z26" s="254"/>
      <c r="AA26" s="254"/>
      <c r="AB26" s="255"/>
    </row>
    <row r="27" spans="1:28">
      <c r="A27" s="253"/>
      <c r="B27" s="254"/>
      <c r="C27" s="254"/>
      <c r="D27" s="254"/>
      <c r="E27" s="254"/>
      <c r="F27" s="254"/>
      <c r="G27" s="254"/>
      <c r="H27" s="254"/>
      <c r="I27" s="254"/>
      <c r="J27" s="254"/>
      <c r="K27" s="254"/>
      <c r="L27" s="254"/>
      <c r="M27" s="254"/>
      <c r="N27" s="254"/>
      <c r="O27" s="254"/>
      <c r="P27" s="254"/>
      <c r="Q27" s="254"/>
      <c r="R27" s="254"/>
      <c r="S27" s="254"/>
      <c r="T27" s="254"/>
      <c r="U27" s="254"/>
      <c r="V27" s="254"/>
      <c r="W27" s="254"/>
      <c r="X27" s="254"/>
      <c r="Y27" s="254"/>
      <c r="Z27" s="254"/>
      <c r="AA27" s="254"/>
      <c r="AB27" s="255"/>
    </row>
    <row r="28" spans="1:28" ht="30">
      <c r="A28" s="43" t="s">
        <v>40</v>
      </c>
      <c r="B28" s="43">
        <v>822058</v>
      </c>
      <c r="C28" s="43">
        <v>2665</v>
      </c>
      <c r="D28" s="43">
        <v>71772</v>
      </c>
      <c r="E28" s="43">
        <v>72239</v>
      </c>
      <c r="F28" s="43">
        <v>72078</v>
      </c>
      <c r="G28" s="43">
        <v>71620</v>
      </c>
      <c r="H28" s="43">
        <v>76392</v>
      </c>
      <c r="I28" s="78">
        <v>74878</v>
      </c>
      <c r="J28" s="43">
        <v>75374</v>
      </c>
      <c r="K28" s="72">
        <v>78619</v>
      </c>
      <c r="L28" s="43">
        <v>79265</v>
      </c>
      <c r="M28" s="43">
        <v>75575</v>
      </c>
      <c r="N28" s="43">
        <v>1429</v>
      </c>
      <c r="O28" s="43">
        <v>1001</v>
      </c>
      <c r="P28" s="43">
        <v>33348</v>
      </c>
      <c r="Q28" s="43">
        <v>30797</v>
      </c>
      <c r="R28" s="43">
        <v>5006</v>
      </c>
      <c r="AB28" s="49"/>
    </row>
    <row r="29" spans="1:28">
      <c r="A29" s="253"/>
      <c r="B29" s="254"/>
      <c r="C29" s="254"/>
      <c r="D29" s="254"/>
      <c r="E29" s="254"/>
      <c r="F29" s="254"/>
      <c r="G29" s="254"/>
      <c r="H29" s="254"/>
      <c r="I29" s="254"/>
      <c r="J29" s="254"/>
      <c r="K29" s="254"/>
      <c r="L29" s="254"/>
      <c r="M29" s="254"/>
      <c r="N29" s="254"/>
      <c r="O29" s="254"/>
      <c r="P29" s="254"/>
      <c r="Q29" s="254"/>
      <c r="R29" s="254"/>
      <c r="S29" s="254"/>
      <c r="T29" s="254"/>
      <c r="U29" s="254"/>
      <c r="V29" s="254"/>
      <c r="W29" s="254"/>
      <c r="X29" s="254"/>
      <c r="Y29" s="254"/>
      <c r="Z29" s="254"/>
      <c r="AA29" s="254"/>
      <c r="AB29" s="255"/>
    </row>
    <row r="30" spans="1:28" ht="45">
      <c r="A30" s="43" t="s">
        <v>75</v>
      </c>
      <c r="B30" s="43">
        <v>2579</v>
      </c>
      <c r="C30" s="43">
        <v>2579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78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AB30" s="49"/>
    </row>
    <row r="31" spans="1:28" ht="30">
      <c r="A31" s="43" t="s">
        <v>76</v>
      </c>
      <c r="B31" s="43">
        <v>276525</v>
      </c>
      <c r="C31" s="43" t="s">
        <v>35</v>
      </c>
      <c r="D31" s="43">
        <v>67269</v>
      </c>
      <c r="E31" s="43">
        <v>69675</v>
      </c>
      <c r="F31" s="43">
        <v>69852</v>
      </c>
      <c r="G31" s="43">
        <v>69620</v>
      </c>
      <c r="H31" s="43" t="s">
        <v>35</v>
      </c>
      <c r="I31" s="78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109</v>
      </c>
      <c r="O31" s="43" t="s">
        <v>35</v>
      </c>
      <c r="P31" s="43" t="s">
        <v>35</v>
      </c>
      <c r="Q31" s="43" t="s">
        <v>35</v>
      </c>
      <c r="R31" s="43" t="s">
        <v>35</v>
      </c>
      <c r="AB31" s="49"/>
    </row>
    <row r="32" spans="1:28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78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AB32" s="49"/>
    </row>
    <row r="33" spans="1:28" ht="30">
      <c r="A33" s="43" t="s">
        <v>78</v>
      </c>
      <c r="B33" s="43">
        <v>18249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1844</v>
      </c>
      <c r="I33" s="78">
        <v>2340</v>
      </c>
      <c r="J33" s="43">
        <v>3039</v>
      </c>
      <c r="K33" s="72">
        <v>3620</v>
      </c>
      <c r="L33" s="43">
        <v>4134</v>
      </c>
      <c r="M33" s="43">
        <v>3024</v>
      </c>
      <c r="N33" s="43">
        <v>248</v>
      </c>
      <c r="O33" s="43" t="s">
        <v>35</v>
      </c>
      <c r="P33" s="43" t="s">
        <v>35</v>
      </c>
      <c r="Q33" s="43" t="s">
        <v>35</v>
      </c>
      <c r="R33" s="43" t="s">
        <v>35</v>
      </c>
      <c r="AB33" s="49"/>
    </row>
    <row r="34" spans="1:28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78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AB34" s="49"/>
    </row>
    <row r="35" spans="1:28" ht="30">
      <c r="A35" s="43" t="s">
        <v>80</v>
      </c>
      <c r="B35" s="43">
        <v>50341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7497</v>
      </c>
      <c r="I35" s="78">
        <v>7553</v>
      </c>
      <c r="J35" s="43">
        <v>7904</v>
      </c>
      <c r="K35" s="72">
        <v>8460</v>
      </c>
      <c r="L35" s="43">
        <v>9043</v>
      </c>
      <c r="M35" s="43">
        <v>9771</v>
      </c>
      <c r="N35" s="43">
        <v>113</v>
      </c>
      <c r="O35" s="43" t="s">
        <v>35</v>
      </c>
      <c r="P35" s="43" t="s">
        <v>35</v>
      </c>
      <c r="Q35" s="43" t="s">
        <v>35</v>
      </c>
      <c r="R35" s="43" t="s">
        <v>35</v>
      </c>
      <c r="AB35" s="49"/>
    </row>
    <row r="36" spans="1:28" ht="30">
      <c r="A36" s="43" t="s">
        <v>81</v>
      </c>
      <c r="B36" s="43">
        <v>104351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15487</v>
      </c>
      <c r="I36" s="78">
        <v>17003</v>
      </c>
      <c r="J36" s="43">
        <v>17781</v>
      </c>
      <c r="K36" s="72">
        <v>18827</v>
      </c>
      <c r="L36" s="43">
        <v>18850</v>
      </c>
      <c r="M36" s="43">
        <v>15906</v>
      </c>
      <c r="N36" s="43">
        <v>497</v>
      </c>
      <c r="O36" s="43" t="s">
        <v>35</v>
      </c>
      <c r="P36" s="43" t="s">
        <v>35</v>
      </c>
      <c r="Q36" s="43" t="s">
        <v>35</v>
      </c>
      <c r="R36" s="43" t="s">
        <v>35</v>
      </c>
      <c r="AB36" s="49"/>
    </row>
    <row r="37" spans="1:28" ht="30">
      <c r="A37" s="43" t="s">
        <v>82</v>
      </c>
      <c r="B37" s="43">
        <v>211615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28601</v>
      </c>
      <c r="I37" s="78">
        <v>28615</v>
      </c>
      <c r="J37" s="43">
        <v>27280</v>
      </c>
      <c r="K37" s="72">
        <v>26948</v>
      </c>
      <c r="L37" s="43">
        <v>26484</v>
      </c>
      <c r="M37" s="43">
        <v>25847</v>
      </c>
      <c r="N37" s="43">
        <v>169</v>
      </c>
      <c r="O37" s="43">
        <v>711</v>
      </c>
      <c r="P37" s="43">
        <v>24139</v>
      </c>
      <c r="Q37" s="43">
        <v>22821</v>
      </c>
      <c r="R37" s="43" t="s">
        <v>35</v>
      </c>
      <c r="AB37" s="49"/>
    </row>
    <row r="38" spans="1:28" ht="45">
      <c r="A38" s="43" t="s">
        <v>83</v>
      </c>
      <c r="B38" s="43">
        <v>93382</v>
      </c>
      <c r="C38" s="43">
        <v>25</v>
      </c>
      <c r="D38" s="43">
        <v>837</v>
      </c>
      <c r="E38" s="43">
        <v>831</v>
      </c>
      <c r="F38" s="43">
        <v>856</v>
      </c>
      <c r="G38" s="43">
        <v>859</v>
      </c>
      <c r="H38" s="43">
        <v>12126</v>
      </c>
      <c r="I38" s="78">
        <v>12216</v>
      </c>
      <c r="J38" s="43">
        <v>12656</v>
      </c>
      <c r="K38" s="72">
        <v>12720</v>
      </c>
      <c r="L38" s="43">
        <v>12609</v>
      </c>
      <c r="M38" s="43">
        <v>11824</v>
      </c>
      <c r="N38" s="43">
        <v>223</v>
      </c>
      <c r="O38" s="43" t="s">
        <v>35</v>
      </c>
      <c r="P38" s="43">
        <v>6006</v>
      </c>
      <c r="Q38" s="43">
        <v>5238</v>
      </c>
      <c r="R38" s="43">
        <v>4356</v>
      </c>
      <c r="AB38" s="49"/>
    </row>
    <row r="39" spans="1:28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78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AB39" s="49"/>
    </row>
    <row r="40" spans="1:28" ht="45">
      <c r="A40" s="43" t="s">
        <v>85</v>
      </c>
      <c r="B40" s="43">
        <v>5534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651</v>
      </c>
      <c r="I40" s="78">
        <v>843</v>
      </c>
      <c r="J40" s="43">
        <v>993</v>
      </c>
      <c r="K40" s="72">
        <v>998</v>
      </c>
      <c r="L40" s="43">
        <v>1203</v>
      </c>
      <c r="M40" s="43">
        <v>784</v>
      </c>
      <c r="N40" s="43">
        <v>62</v>
      </c>
      <c r="O40" s="43" t="s">
        <v>35</v>
      </c>
      <c r="P40" s="43" t="s">
        <v>35</v>
      </c>
      <c r="Q40" s="43" t="s">
        <v>35</v>
      </c>
      <c r="R40" s="43" t="s">
        <v>35</v>
      </c>
      <c r="AB40" s="49"/>
    </row>
    <row r="41" spans="1:28" ht="45">
      <c r="A41" s="43" t="s">
        <v>86</v>
      </c>
      <c r="B41" s="43">
        <v>14890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2381</v>
      </c>
      <c r="I41" s="78">
        <v>2321</v>
      </c>
      <c r="J41" s="43">
        <v>2328</v>
      </c>
      <c r="K41" s="72">
        <v>2477</v>
      </c>
      <c r="L41" s="43">
        <v>2622</v>
      </c>
      <c r="M41" s="43">
        <v>2761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AB41" s="49"/>
    </row>
    <row r="42" spans="1:28" ht="60">
      <c r="A42" s="43" t="s">
        <v>87</v>
      </c>
      <c r="B42" s="43">
        <v>15377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1874</v>
      </c>
      <c r="I42" s="78">
        <v>1922</v>
      </c>
      <c r="J42" s="43">
        <v>1801</v>
      </c>
      <c r="K42" s="72">
        <v>1788</v>
      </c>
      <c r="L42" s="43">
        <v>1882</v>
      </c>
      <c r="M42" s="43">
        <v>1879</v>
      </c>
      <c r="N42" s="43">
        <v>8</v>
      </c>
      <c r="O42" s="43">
        <v>290</v>
      </c>
      <c r="P42" s="43">
        <v>2119</v>
      </c>
      <c r="Q42" s="43">
        <v>1814</v>
      </c>
      <c r="R42" s="43" t="s">
        <v>35</v>
      </c>
      <c r="AB42" s="49"/>
    </row>
    <row r="43" spans="1:28" ht="75">
      <c r="A43" s="43" t="s">
        <v>88</v>
      </c>
      <c r="B43" s="43">
        <v>3572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359</v>
      </c>
      <c r="I43" s="78">
        <v>367</v>
      </c>
      <c r="J43" s="43">
        <v>396</v>
      </c>
      <c r="K43" s="72">
        <v>393</v>
      </c>
      <c r="L43" s="43">
        <v>382</v>
      </c>
      <c r="M43" s="43">
        <v>395</v>
      </c>
      <c r="N43" s="43" t="s">
        <v>35</v>
      </c>
      <c r="O43" s="43" t="s">
        <v>35</v>
      </c>
      <c r="P43" s="43">
        <v>458</v>
      </c>
      <c r="Q43" s="43">
        <v>455</v>
      </c>
      <c r="R43" s="43">
        <v>367</v>
      </c>
      <c r="AB43" s="49"/>
    </row>
    <row r="44" spans="1:28" ht="45">
      <c r="A44" s="43" t="s">
        <v>89</v>
      </c>
      <c r="B44" s="43">
        <v>61</v>
      </c>
      <c r="C44" s="43">
        <v>61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78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AB44" s="49"/>
    </row>
    <row r="45" spans="1:28" ht="45">
      <c r="A45" s="43" t="s">
        <v>90</v>
      </c>
      <c r="B45" s="43">
        <v>4899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717</v>
      </c>
      <c r="I45" s="78">
        <v>679</v>
      </c>
      <c r="J45" s="43">
        <v>218</v>
      </c>
      <c r="K45" s="72">
        <v>1397</v>
      </c>
      <c r="L45" s="43">
        <v>1206</v>
      </c>
      <c r="M45" s="43">
        <v>682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AB45" s="49"/>
    </row>
    <row r="46" spans="1:28" ht="60">
      <c r="A46" s="43" t="s">
        <v>91</v>
      </c>
      <c r="B46" s="43">
        <v>8527</v>
      </c>
      <c r="C46" s="43" t="s">
        <v>35</v>
      </c>
      <c r="D46" s="43">
        <v>2324</v>
      </c>
      <c r="E46" s="43" t="s">
        <v>35</v>
      </c>
      <c r="F46" s="43" t="s">
        <v>35</v>
      </c>
      <c r="G46" s="43" t="s">
        <v>35</v>
      </c>
      <c r="H46" s="43">
        <v>3918</v>
      </c>
      <c r="I46" s="78" t="s">
        <v>35</v>
      </c>
      <c r="J46" s="43" t="s">
        <v>35</v>
      </c>
      <c r="K46" s="72" t="s">
        <v>35</v>
      </c>
      <c r="L46" s="43" t="s">
        <v>35</v>
      </c>
      <c r="M46" s="43">
        <v>2285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AB46" s="49"/>
    </row>
    <row r="47" spans="1:28" ht="60">
      <c r="A47" s="43" t="s">
        <v>92</v>
      </c>
      <c r="B47" s="43">
        <v>10778</v>
      </c>
      <c r="C47" s="43" t="s">
        <v>35</v>
      </c>
      <c r="D47" s="43">
        <v>1342</v>
      </c>
      <c r="E47" s="43">
        <v>1733</v>
      </c>
      <c r="F47" s="43">
        <v>1370</v>
      </c>
      <c r="G47" s="43">
        <v>1141</v>
      </c>
      <c r="H47" s="43">
        <v>937</v>
      </c>
      <c r="I47" s="78">
        <v>1019</v>
      </c>
      <c r="J47" s="43">
        <v>978</v>
      </c>
      <c r="K47" s="72">
        <v>991</v>
      </c>
      <c r="L47" s="43">
        <v>850</v>
      </c>
      <c r="M47" s="43">
        <v>417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AB47" s="49"/>
    </row>
    <row r="48" spans="1:28" ht="30">
      <c r="A48" s="43" t="s">
        <v>93</v>
      </c>
      <c r="B48" s="43">
        <v>671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78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314</v>
      </c>
      <c r="Q48" s="43">
        <v>239</v>
      </c>
      <c r="R48" s="43">
        <v>118</v>
      </c>
      <c r="AB48" s="49"/>
    </row>
    <row r="49" spans="1:28">
      <c r="A49" s="43" t="s">
        <v>94</v>
      </c>
      <c r="B49" s="43">
        <v>707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78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312</v>
      </c>
      <c r="Q49" s="43">
        <v>230</v>
      </c>
      <c r="R49" s="43">
        <v>165</v>
      </c>
      <c r="AB49" s="49"/>
    </row>
    <row r="50" spans="1:28" ht="15" customHeight="1">
      <c r="A50" s="253" t="s">
        <v>48</v>
      </c>
      <c r="B50" s="254"/>
      <c r="C50" s="254"/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4"/>
      <c r="O50" s="254"/>
      <c r="P50" s="254"/>
      <c r="Q50" s="254"/>
      <c r="R50" s="254"/>
      <c r="S50" s="254"/>
      <c r="T50" s="254"/>
      <c r="U50" s="254"/>
      <c r="V50" s="254"/>
      <c r="W50" s="254"/>
      <c r="X50" s="254"/>
      <c r="Y50" s="254"/>
      <c r="Z50" s="254"/>
      <c r="AA50" s="254"/>
      <c r="AB50" s="255"/>
    </row>
    <row r="51" spans="1:28">
      <c r="A51" s="253"/>
      <c r="B51" s="254"/>
      <c r="C51" s="254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4"/>
      <c r="O51" s="254"/>
      <c r="P51" s="254"/>
      <c r="Q51" s="254"/>
      <c r="R51" s="254"/>
      <c r="S51" s="254"/>
      <c r="T51" s="254"/>
      <c r="U51" s="254"/>
      <c r="V51" s="254"/>
      <c r="W51" s="254"/>
      <c r="X51" s="254"/>
      <c r="Y51" s="254"/>
      <c r="Z51" s="254"/>
      <c r="AA51" s="254"/>
      <c r="AB51" s="255"/>
    </row>
    <row r="52" spans="1:28" ht="30">
      <c r="A52" s="43" t="s">
        <v>40</v>
      </c>
      <c r="B52" s="43">
        <v>156221</v>
      </c>
      <c r="C52" s="43">
        <v>546</v>
      </c>
      <c r="D52" s="43">
        <v>13368</v>
      </c>
      <c r="E52" s="43">
        <v>13598</v>
      </c>
      <c r="F52" s="43">
        <v>13320</v>
      </c>
      <c r="G52" s="43">
        <v>13345</v>
      </c>
      <c r="H52" s="43">
        <v>14349</v>
      </c>
      <c r="I52" s="78">
        <v>14270</v>
      </c>
      <c r="J52" s="43">
        <v>14213</v>
      </c>
      <c r="K52" s="72">
        <v>14781</v>
      </c>
      <c r="L52" s="43">
        <v>14553</v>
      </c>
      <c r="M52" s="43">
        <v>14378</v>
      </c>
      <c r="N52" s="43">
        <v>119</v>
      </c>
      <c r="O52" s="43">
        <v>176</v>
      </c>
      <c r="P52" s="43">
        <v>7205</v>
      </c>
      <c r="Q52" s="43">
        <v>6507</v>
      </c>
      <c r="R52" s="43">
        <v>1493</v>
      </c>
      <c r="AB52" s="49"/>
    </row>
    <row r="53" spans="1:28">
      <c r="A53" s="253"/>
      <c r="B53" s="254"/>
      <c r="C53" s="254"/>
      <c r="D53" s="254"/>
      <c r="E53" s="254"/>
      <c r="F53" s="254"/>
      <c r="G53" s="254"/>
      <c r="H53" s="254"/>
      <c r="I53" s="254"/>
      <c r="J53" s="254"/>
      <c r="K53" s="254"/>
      <c r="L53" s="254"/>
      <c r="M53" s="254"/>
      <c r="N53" s="254"/>
      <c r="O53" s="254"/>
      <c r="P53" s="254"/>
      <c r="Q53" s="254"/>
      <c r="R53" s="254"/>
      <c r="S53" s="254"/>
      <c r="T53" s="254"/>
      <c r="U53" s="254"/>
      <c r="V53" s="254"/>
      <c r="W53" s="254"/>
      <c r="X53" s="254"/>
      <c r="Y53" s="254"/>
      <c r="Z53" s="254"/>
      <c r="AA53" s="254"/>
      <c r="AB53" s="255"/>
    </row>
    <row r="54" spans="1:28" ht="45">
      <c r="A54" s="43" t="s">
        <v>75</v>
      </c>
      <c r="B54" s="43">
        <v>521</v>
      </c>
      <c r="C54" s="43">
        <v>521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78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AB54" s="49"/>
    </row>
    <row r="55" spans="1:28" ht="30">
      <c r="A55" s="43" t="s">
        <v>76</v>
      </c>
      <c r="B55" s="43">
        <v>51541</v>
      </c>
      <c r="C55" s="43" t="s">
        <v>35</v>
      </c>
      <c r="D55" s="43">
        <v>12578</v>
      </c>
      <c r="E55" s="43">
        <v>13144</v>
      </c>
      <c r="F55" s="43">
        <v>12873</v>
      </c>
      <c r="G55" s="43">
        <v>12946</v>
      </c>
      <c r="H55" s="43" t="s">
        <v>35</v>
      </c>
      <c r="I55" s="78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 t="s">
        <v>35</v>
      </c>
      <c r="O55" s="43" t="s">
        <v>35</v>
      </c>
      <c r="P55" s="43" t="s">
        <v>35</v>
      </c>
      <c r="Q55" s="43" t="s">
        <v>35</v>
      </c>
      <c r="R55" s="43" t="s">
        <v>35</v>
      </c>
      <c r="AB55" s="49"/>
    </row>
    <row r="56" spans="1:28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78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AB56" s="49"/>
    </row>
    <row r="57" spans="1:28" ht="30">
      <c r="A57" s="43" t="s">
        <v>78</v>
      </c>
      <c r="B57" s="43">
        <v>5845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548</v>
      </c>
      <c r="I57" s="78">
        <v>771</v>
      </c>
      <c r="J57" s="43">
        <v>979</v>
      </c>
      <c r="K57" s="72">
        <v>1206</v>
      </c>
      <c r="L57" s="43">
        <v>1252</v>
      </c>
      <c r="M57" s="43">
        <v>1000</v>
      </c>
      <c r="N57" s="43">
        <v>89</v>
      </c>
      <c r="O57" s="43" t="s">
        <v>35</v>
      </c>
      <c r="P57" s="43" t="s">
        <v>35</v>
      </c>
      <c r="Q57" s="43" t="s">
        <v>35</v>
      </c>
      <c r="R57" s="43" t="s">
        <v>35</v>
      </c>
      <c r="AB57" s="49"/>
    </row>
    <row r="58" spans="1:28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78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AB58" s="49"/>
    </row>
    <row r="59" spans="1:28" ht="30">
      <c r="A59" s="43" t="s">
        <v>80</v>
      </c>
      <c r="B59" s="43">
        <v>14291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2237</v>
      </c>
      <c r="I59" s="78">
        <v>2298</v>
      </c>
      <c r="J59" s="43">
        <v>2297</v>
      </c>
      <c r="K59" s="72">
        <v>2409</v>
      </c>
      <c r="L59" s="43">
        <v>2498</v>
      </c>
      <c r="M59" s="43">
        <v>2552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AB59" s="49"/>
    </row>
    <row r="60" spans="1:28" ht="30">
      <c r="A60" s="43" t="s">
        <v>81</v>
      </c>
      <c r="B60" s="43">
        <v>9054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1346</v>
      </c>
      <c r="I60" s="78">
        <v>1467</v>
      </c>
      <c r="J60" s="43">
        <v>1501</v>
      </c>
      <c r="K60" s="72">
        <v>1621</v>
      </c>
      <c r="L60" s="43">
        <v>1543</v>
      </c>
      <c r="M60" s="43">
        <v>1562</v>
      </c>
      <c r="N60" s="43">
        <v>14</v>
      </c>
      <c r="O60" s="43" t="s">
        <v>35</v>
      </c>
      <c r="P60" s="43" t="s">
        <v>35</v>
      </c>
      <c r="Q60" s="43" t="s">
        <v>35</v>
      </c>
      <c r="R60" s="43" t="s">
        <v>35</v>
      </c>
      <c r="AB60" s="49"/>
    </row>
    <row r="61" spans="1:28" ht="30">
      <c r="A61" s="43" t="s">
        <v>82</v>
      </c>
      <c r="B61" s="43">
        <v>43149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5792</v>
      </c>
      <c r="I61" s="78">
        <v>5884</v>
      </c>
      <c r="J61" s="43">
        <v>5591</v>
      </c>
      <c r="K61" s="72">
        <v>5426</v>
      </c>
      <c r="L61" s="43">
        <v>5335</v>
      </c>
      <c r="M61" s="43">
        <v>5178</v>
      </c>
      <c r="N61" s="43" t="s">
        <v>35</v>
      </c>
      <c r="O61" s="43">
        <v>176</v>
      </c>
      <c r="P61" s="43">
        <v>5085</v>
      </c>
      <c r="Q61" s="43">
        <v>4682</v>
      </c>
      <c r="R61" s="43" t="s">
        <v>35</v>
      </c>
      <c r="AB61" s="49"/>
    </row>
    <row r="62" spans="1:28" ht="45">
      <c r="A62" s="43" t="s">
        <v>83</v>
      </c>
      <c r="B62" s="43">
        <v>23339</v>
      </c>
      <c r="C62" s="43">
        <v>25</v>
      </c>
      <c r="D62" s="43">
        <v>141</v>
      </c>
      <c r="E62" s="43">
        <v>135</v>
      </c>
      <c r="F62" s="43">
        <v>150</v>
      </c>
      <c r="G62" s="43">
        <v>149</v>
      </c>
      <c r="H62" s="43">
        <v>3010</v>
      </c>
      <c r="I62" s="78">
        <v>3054</v>
      </c>
      <c r="J62" s="43">
        <v>3139</v>
      </c>
      <c r="K62" s="72">
        <v>3229</v>
      </c>
      <c r="L62" s="43">
        <v>3125</v>
      </c>
      <c r="M62" s="43">
        <v>2976</v>
      </c>
      <c r="N62" s="43">
        <v>16</v>
      </c>
      <c r="O62" s="43" t="s">
        <v>35</v>
      </c>
      <c r="P62" s="43">
        <v>1644</v>
      </c>
      <c r="Q62" s="43">
        <v>1381</v>
      </c>
      <c r="R62" s="43">
        <v>1165</v>
      </c>
      <c r="AB62" s="49"/>
    </row>
    <row r="63" spans="1:28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78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AB63" s="49"/>
    </row>
    <row r="64" spans="1:28" ht="45">
      <c r="A64" s="43" t="s">
        <v>85</v>
      </c>
      <c r="B64" s="43">
        <v>514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103</v>
      </c>
      <c r="I64" s="78">
        <v>89</v>
      </c>
      <c r="J64" s="43">
        <v>93</v>
      </c>
      <c r="K64" s="72">
        <v>73</v>
      </c>
      <c r="L64" s="43">
        <v>82</v>
      </c>
      <c r="M64" s="43">
        <v>74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AB64" s="49"/>
    </row>
    <row r="65" spans="1:28" ht="45">
      <c r="A65" s="43" t="s">
        <v>86</v>
      </c>
      <c r="B65" s="43">
        <v>1182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149</v>
      </c>
      <c r="I65" s="78">
        <v>180</v>
      </c>
      <c r="J65" s="43">
        <v>197</v>
      </c>
      <c r="K65" s="72">
        <v>217</v>
      </c>
      <c r="L65" s="43">
        <v>212</v>
      </c>
      <c r="M65" s="43">
        <v>227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AB65" s="49"/>
    </row>
    <row r="66" spans="1:28" ht="60">
      <c r="A66" s="43" t="s">
        <v>87</v>
      </c>
      <c r="B66" s="43">
        <v>556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55</v>
      </c>
      <c r="I66" s="78">
        <v>84</v>
      </c>
      <c r="J66" s="43">
        <v>81</v>
      </c>
      <c r="K66" s="72">
        <v>91</v>
      </c>
      <c r="L66" s="43">
        <v>76</v>
      </c>
      <c r="M66" s="43">
        <v>92</v>
      </c>
      <c r="N66" s="43" t="s">
        <v>35</v>
      </c>
      <c r="O66" s="43" t="s">
        <v>35</v>
      </c>
      <c r="P66" s="43">
        <v>43</v>
      </c>
      <c r="Q66" s="43">
        <v>34</v>
      </c>
      <c r="R66" s="43" t="s">
        <v>35</v>
      </c>
      <c r="AB66" s="49"/>
    </row>
    <row r="67" spans="1:28" ht="75">
      <c r="A67" s="43" t="s">
        <v>88</v>
      </c>
      <c r="B67" s="43">
        <v>1135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77</v>
      </c>
      <c r="I67" s="78">
        <v>80</v>
      </c>
      <c r="J67" s="43">
        <v>87</v>
      </c>
      <c r="K67" s="72">
        <v>80</v>
      </c>
      <c r="L67" s="43">
        <v>84</v>
      </c>
      <c r="M67" s="43">
        <v>67</v>
      </c>
      <c r="N67" s="43" t="s">
        <v>35</v>
      </c>
      <c r="O67" s="43" t="s">
        <v>35</v>
      </c>
      <c r="P67" s="43">
        <v>214</v>
      </c>
      <c r="Q67" s="43">
        <v>235</v>
      </c>
      <c r="R67" s="43">
        <v>211</v>
      </c>
      <c r="AB67" s="49"/>
    </row>
    <row r="68" spans="1:28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78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AB68" s="49"/>
    </row>
    <row r="69" spans="1:28" ht="45">
      <c r="A69" s="43" t="s">
        <v>90</v>
      </c>
      <c r="B69" s="43">
        <v>1020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182</v>
      </c>
      <c r="I69" s="78">
        <v>172</v>
      </c>
      <c r="J69" s="43">
        <v>69</v>
      </c>
      <c r="K69" s="72">
        <v>278</v>
      </c>
      <c r="L69" s="43">
        <v>175</v>
      </c>
      <c r="M69" s="43">
        <v>144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AB69" s="49"/>
    </row>
    <row r="70" spans="1:28" ht="60">
      <c r="A70" s="43" t="s">
        <v>91</v>
      </c>
      <c r="B70" s="43">
        <v>1563</v>
      </c>
      <c r="C70" s="43" t="s">
        <v>35</v>
      </c>
      <c r="D70" s="43">
        <v>406</v>
      </c>
      <c r="E70" s="43" t="s">
        <v>35</v>
      </c>
      <c r="F70" s="43" t="s">
        <v>35</v>
      </c>
      <c r="G70" s="43" t="s">
        <v>35</v>
      </c>
      <c r="H70" s="43">
        <v>700</v>
      </c>
      <c r="I70" s="78" t="s">
        <v>35</v>
      </c>
      <c r="J70" s="43" t="s">
        <v>35</v>
      </c>
      <c r="K70" s="72" t="s">
        <v>35</v>
      </c>
      <c r="L70" s="43" t="s">
        <v>35</v>
      </c>
      <c r="M70" s="43">
        <v>457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AB70" s="49"/>
    </row>
    <row r="71" spans="1:28" ht="60">
      <c r="A71" s="43" t="s">
        <v>92</v>
      </c>
      <c r="B71" s="43">
        <v>2000</v>
      </c>
      <c r="C71" s="43" t="s">
        <v>35</v>
      </c>
      <c r="D71" s="43">
        <v>243</v>
      </c>
      <c r="E71" s="43">
        <v>319</v>
      </c>
      <c r="F71" s="43">
        <v>297</v>
      </c>
      <c r="G71" s="43">
        <v>250</v>
      </c>
      <c r="H71" s="43">
        <v>150</v>
      </c>
      <c r="I71" s="78">
        <v>191</v>
      </c>
      <c r="J71" s="43">
        <v>179</v>
      </c>
      <c r="K71" s="72">
        <v>151</v>
      </c>
      <c r="L71" s="43">
        <v>171</v>
      </c>
      <c r="M71" s="43">
        <v>49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AB71" s="49"/>
    </row>
    <row r="72" spans="1:28" ht="30">
      <c r="A72" s="43" t="s">
        <v>93</v>
      </c>
      <c r="B72" s="43">
        <v>207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78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97</v>
      </c>
      <c r="Q72" s="43">
        <v>66</v>
      </c>
      <c r="R72" s="43">
        <v>44</v>
      </c>
      <c r="AB72" s="49"/>
    </row>
    <row r="73" spans="1:28">
      <c r="A73" s="43" t="s">
        <v>94</v>
      </c>
      <c r="B73" s="43">
        <v>304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78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122</v>
      </c>
      <c r="Q73" s="43">
        <v>109</v>
      </c>
      <c r="R73" s="43">
        <v>73</v>
      </c>
      <c r="AB73" s="49"/>
    </row>
    <row r="74" spans="1:28" ht="15" customHeight="1">
      <c r="A74" s="253" t="s">
        <v>49</v>
      </c>
      <c r="B74" s="254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  <c r="U74" s="254"/>
      <c r="V74" s="254"/>
      <c r="W74" s="254"/>
      <c r="X74" s="254"/>
      <c r="Y74" s="254"/>
      <c r="Z74" s="254"/>
      <c r="AA74" s="254"/>
      <c r="AB74" s="255"/>
    </row>
    <row r="75" spans="1:28">
      <c r="A75" s="253"/>
      <c r="B75" s="254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5"/>
    </row>
    <row r="76" spans="1:28" ht="30">
      <c r="A76" s="43" t="s">
        <v>40</v>
      </c>
      <c r="B76" s="43">
        <v>218917</v>
      </c>
      <c r="C76" s="43">
        <v>602</v>
      </c>
      <c r="D76" s="43">
        <v>18948</v>
      </c>
      <c r="E76" s="43">
        <v>18945</v>
      </c>
      <c r="F76" s="43">
        <v>19537</v>
      </c>
      <c r="G76" s="43">
        <v>18929</v>
      </c>
      <c r="H76" s="43">
        <v>20009</v>
      </c>
      <c r="I76" s="78">
        <v>19826</v>
      </c>
      <c r="J76" s="43">
        <v>19829</v>
      </c>
      <c r="K76" s="72">
        <v>20490</v>
      </c>
      <c r="L76" s="43">
        <v>20742</v>
      </c>
      <c r="M76" s="43">
        <v>20133</v>
      </c>
      <c r="N76" s="43">
        <v>546</v>
      </c>
      <c r="O76" s="43">
        <v>362</v>
      </c>
      <c r="P76" s="43">
        <v>9658</v>
      </c>
      <c r="Q76" s="43">
        <v>8803</v>
      </c>
      <c r="R76" s="43">
        <v>1558</v>
      </c>
      <c r="AB76" s="49"/>
    </row>
    <row r="77" spans="1:28">
      <c r="A77" s="253"/>
      <c r="B77" s="254"/>
      <c r="C77" s="254"/>
      <c r="D77" s="254"/>
      <c r="E77" s="254"/>
      <c r="F77" s="254"/>
      <c r="G77" s="254"/>
      <c r="H77" s="254"/>
      <c r="I77" s="254"/>
      <c r="J77" s="254"/>
      <c r="K77" s="254"/>
      <c r="L77" s="254"/>
      <c r="M77" s="254"/>
      <c r="N77" s="254"/>
      <c r="O77" s="254"/>
      <c r="P77" s="254"/>
      <c r="Q77" s="254"/>
      <c r="R77" s="254"/>
      <c r="S77" s="254"/>
      <c r="T77" s="254"/>
      <c r="U77" s="254"/>
      <c r="V77" s="254"/>
      <c r="W77" s="254"/>
      <c r="X77" s="254"/>
      <c r="Y77" s="254"/>
      <c r="Z77" s="254"/>
      <c r="AA77" s="254"/>
      <c r="AB77" s="255"/>
    </row>
    <row r="78" spans="1:28" ht="45">
      <c r="A78" s="43" t="s">
        <v>75</v>
      </c>
      <c r="B78" s="43">
        <v>541</v>
      </c>
      <c r="C78" s="43">
        <v>541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78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AB78" s="49"/>
    </row>
    <row r="79" spans="1:28" ht="30">
      <c r="A79" s="43" t="s">
        <v>76</v>
      </c>
      <c r="B79" s="43">
        <v>73079</v>
      </c>
      <c r="C79" s="43" t="s">
        <v>35</v>
      </c>
      <c r="D79" s="43">
        <v>17752</v>
      </c>
      <c r="E79" s="43">
        <v>18159</v>
      </c>
      <c r="F79" s="43">
        <v>18826</v>
      </c>
      <c r="G79" s="43">
        <v>18318</v>
      </c>
      <c r="H79" s="43" t="s">
        <v>35</v>
      </c>
      <c r="I79" s="78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24</v>
      </c>
      <c r="O79" s="43" t="s">
        <v>35</v>
      </c>
      <c r="P79" s="43" t="s">
        <v>35</v>
      </c>
      <c r="Q79" s="43" t="s">
        <v>35</v>
      </c>
      <c r="R79" s="43" t="s">
        <v>35</v>
      </c>
      <c r="AB79" s="49"/>
    </row>
    <row r="80" spans="1:28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78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AB80" s="49"/>
    </row>
    <row r="81" spans="1:28" ht="30">
      <c r="A81" s="43" t="s">
        <v>78</v>
      </c>
      <c r="B81" s="43">
        <v>3130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221</v>
      </c>
      <c r="I81" s="78">
        <v>260</v>
      </c>
      <c r="J81" s="43">
        <v>468</v>
      </c>
      <c r="K81" s="72">
        <v>607</v>
      </c>
      <c r="L81" s="43">
        <v>868</v>
      </c>
      <c r="M81" s="43">
        <v>653</v>
      </c>
      <c r="N81" s="43">
        <v>53</v>
      </c>
      <c r="O81" s="43" t="s">
        <v>35</v>
      </c>
      <c r="P81" s="43" t="s">
        <v>35</v>
      </c>
      <c r="Q81" s="43" t="s">
        <v>35</v>
      </c>
      <c r="R81" s="43" t="s">
        <v>35</v>
      </c>
      <c r="AB81" s="49"/>
    </row>
    <row r="82" spans="1:28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78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AB82" s="49"/>
    </row>
    <row r="83" spans="1:28" ht="30">
      <c r="A83" s="43" t="s">
        <v>80</v>
      </c>
      <c r="B83" s="43">
        <v>11975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1562</v>
      </c>
      <c r="I83" s="78">
        <v>1643</v>
      </c>
      <c r="J83" s="43">
        <v>1834</v>
      </c>
      <c r="K83" s="72">
        <v>2025</v>
      </c>
      <c r="L83" s="43">
        <v>2351</v>
      </c>
      <c r="M83" s="43">
        <v>2531</v>
      </c>
      <c r="N83" s="43">
        <v>29</v>
      </c>
      <c r="O83" s="43" t="s">
        <v>35</v>
      </c>
      <c r="P83" s="43" t="s">
        <v>35</v>
      </c>
      <c r="Q83" s="43" t="s">
        <v>35</v>
      </c>
      <c r="R83" s="43" t="s">
        <v>35</v>
      </c>
      <c r="AB83" s="49"/>
    </row>
    <row r="84" spans="1:28" ht="30">
      <c r="A84" s="43" t="s">
        <v>81</v>
      </c>
      <c r="B84" s="43">
        <v>16741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2571</v>
      </c>
      <c r="I84" s="78">
        <v>2924</v>
      </c>
      <c r="J84" s="43">
        <v>3003</v>
      </c>
      <c r="K84" s="72">
        <v>2967</v>
      </c>
      <c r="L84" s="43">
        <v>2887</v>
      </c>
      <c r="M84" s="43">
        <v>2304</v>
      </c>
      <c r="N84" s="43">
        <v>85</v>
      </c>
      <c r="O84" s="43" t="s">
        <v>35</v>
      </c>
      <c r="P84" s="43" t="s">
        <v>35</v>
      </c>
      <c r="Q84" s="43" t="s">
        <v>35</v>
      </c>
      <c r="R84" s="43" t="s">
        <v>35</v>
      </c>
      <c r="AB84" s="49"/>
    </row>
    <row r="85" spans="1:28" ht="30">
      <c r="A85" s="43" t="s">
        <v>82</v>
      </c>
      <c r="B85" s="43">
        <v>57142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7691</v>
      </c>
      <c r="I85" s="78">
        <v>7936</v>
      </c>
      <c r="J85" s="43">
        <v>7385</v>
      </c>
      <c r="K85" s="72">
        <v>7386</v>
      </c>
      <c r="L85" s="43">
        <v>7040</v>
      </c>
      <c r="M85" s="43">
        <v>6896</v>
      </c>
      <c r="N85" s="43">
        <v>157</v>
      </c>
      <c r="O85" s="43">
        <v>212</v>
      </c>
      <c r="P85" s="43">
        <v>6363</v>
      </c>
      <c r="Q85" s="43">
        <v>6076</v>
      </c>
      <c r="R85" s="43" t="s">
        <v>35</v>
      </c>
      <c r="AB85" s="49"/>
    </row>
    <row r="86" spans="1:28" ht="45">
      <c r="A86" s="43" t="s">
        <v>83</v>
      </c>
      <c r="B86" s="43">
        <v>32649</v>
      </c>
      <c r="C86" s="43" t="s">
        <v>35</v>
      </c>
      <c r="D86" s="43">
        <v>294</v>
      </c>
      <c r="E86" s="43">
        <v>298</v>
      </c>
      <c r="F86" s="43">
        <v>300</v>
      </c>
      <c r="G86" s="43">
        <v>283</v>
      </c>
      <c r="H86" s="43">
        <v>4335</v>
      </c>
      <c r="I86" s="78">
        <v>4257</v>
      </c>
      <c r="J86" s="43">
        <v>4446</v>
      </c>
      <c r="K86" s="72">
        <v>4499</v>
      </c>
      <c r="L86" s="43">
        <v>4436</v>
      </c>
      <c r="M86" s="43">
        <v>4263</v>
      </c>
      <c r="N86" s="43">
        <v>160</v>
      </c>
      <c r="O86" s="43" t="s">
        <v>35</v>
      </c>
      <c r="P86" s="43">
        <v>1959</v>
      </c>
      <c r="Q86" s="43">
        <v>1678</v>
      </c>
      <c r="R86" s="43">
        <v>1441</v>
      </c>
      <c r="AB86" s="49"/>
    </row>
    <row r="87" spans="1:28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78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AB87" s="49"/>
    </row>
    <row r="88" spans="1:28" ht="45">
      <c r="A88" s="43" t="s">
        <v>85</v>
      </c>
      <c r="B88" s="43">
        <v>2266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244</v>
      </c>
      <c r="I88" s="78">
        <v>353</v>
      </c>
      <c r="J88" s="43">
        <v>382</v>
      </c>
      <c r="K88" s="72">
        <v>419</v>
      </c>
      <c r="L88" s="43">
        <v>536</v>
      </c>
      <c r="M88" s="43">
        <v>294</v>
      </c>
      <c r="N88" s="43">
        <v>38</v>
      </c>
      <c r="O88" s="43" t="s">
        <v>35</v>
      </c>
      <c r="P88" s="43" t="s">
        <v>35</v>
      </c>
      <c r="Q88" s="43" t="s">
        <v>35</v>
      </c>
      <c r="R88" s="43" t="s">
        <v>35</v>
      </c>
      <c r="AB88" s="49"/>
    </row>
    <row r="89" spans="1:28" ht="45">
      <c r="A89" s="43" t="s">
        <v>86</v>
      </c>
      <c r="B89" s="43">
        <v>6655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1071</v>
      </c>
      <c r="I89" s="78">
        <v>1059</v>
      </c>
      <c r="J89" s="43">
        <v>1087</v>
      </c>
      <c r="K89" s="72">
        <v>1078</v>
      </c>
      <c r="L89" s="43">
        <v>1164</v>
      </c>
      <c r="M89" s="43">
        <v>1196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AB89" s="49"/>
    </row>
    <row r="90" spans="1:28" ht="60">
      <c r="A90" s="43" t="s">
        <v>87</v>
      </c>
      <c r="B90" s="43">
        <v>7375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911</v>
      </c>
      <c r="I90" s="78">
        <v>933</v>
      </c>
      <c r="J90" s="43">
        <v>848</v>
      </c>
      <c r="K90" s="72">
        <v>843</v>
      </c>
      <c r="L90" s="43">
        <v>871</v>
      </c>
      <c r="M90" s="43">
        <v>880</v>
      </c>
      <c r="N90" s="43" t="s">
        <v>35</v>
      </c>
      <c r="O90" s="43">
        <v>150</v>
      </c>
      <c r="P90" s="43">
        <v>1085</v>
      </c>
      <c r="Q90" s="43">
        <v>854</v>
      </c>
      <c r="R90" s="43" t="s">
        <v>35</v>
      </c>
      <c r="AB90" s="49"/>
    </row>
    <row r="91" spans="1:28" ht="75">
      <c r="A91" s="43" t="s">
        <v>88</v>
      </c>
      <c r="B91" s="43">
        <v>889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100</v>
      </c>
      <c r="I91" s="78">
        <v>105</v>
      </c>
      <c r="J91" s="43">
        <v>106</v>
      </c>
      <c r="K91" s="72">
        <v>118</v>
      </c>
      <c r="L91" s="43">
        <v>86</v>
      </c>
      <c r="M91" s="43">
        <v>127</v>
      </c>
      <c r="N91" s="43" t="s">
        <v>35</v>
      </c>
      <c r="O91" s="43" t="s">
        <v>35</v>
      </c>
      <c r="P91" s="43">
        <v>101</v>
      </c>
      <c r="Q91" s="43">
        <v>91</v>
      </c>
      <c r="R91" s="43">
        <v>55</v>
      </c>
      <c r="AB91" s="49"/>
    </row>
    <row r="92" spans="1:28" ht="45">
      <c r="A92" s="43" t="s">
        <v>89</v>
      </c>
      <c r="B92" s="43">
        <v>61</v>
      </c>
      <c r="C92" s="43">
        <v>61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78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AB92" s="49"/>
    </row>
    <row r="93" spans="1:28" ht="45">
      <c r="A93" s="43" t="s">
        <v>90</v>
      </c>
      <c r="B93" s="43">
        <v>799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65</v>
      </c>
      <c r="I93" s="78">
        <v>60</v>
      </c>
      <c r="J93" s="43">
        <v>11</v>
      </c>
      <c r="K93" s="72">
        <v>234</v>
      </c>
      <c r="L93" s="43">
        <v>263</v>
      </c>
      <c r="M93" s="43">
        <v>166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AB93" s="49"/>
    </row>
    <row r="94" spans="1:28" ht="60">
      <c r="A94" s="43" t="s">
        <v>91</v>
      </c>
      <c r="B94" s="43">
        <v>2124</v>
      </c>
      <c r="C94" s="43" t="s">
        <v>35</v>
      </c>
      <c r="D94" s="43">
        <v>574</v>
      </c>
      <c r="E94" s="43" t="s">
        <v>35</v>
      </c>
      <c r="F94" s="43" t="s">
        <v>35</v>
      </c>
      <c r="G94" s="43" t="s">
        <v>35</v>
      </c>
      <c r="H94" s="43">
        <v>939</v>
      </c>
      <c r="I94" s="78" t="s">
        <v>35</v>
      </c>
      <c r="J94" s="43" t="s">
        <v>35</v>
      </c>
      <c r="K94" s="72" t="s">
        <v>35</v>
      </c>
      <c r="L94" s="43" t="s">
        <v>35</v>
      </c>
      <c r="M94" s="43">
        <v>611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AB94" s="49"/>
    </row>
    <row r="95" spans="1:28" ht="60">
      <c r="A95" s="43" t="s">
        <v>92</v>
      </c>
      <c r="B95" s="43">
        <v>3175</v>
      </c>
      <c r="C95" s="43" t="s">
        <v>35</v>
      </c>
      <c r="D95" s="43">
        <v>328</v>
      </c>
      <c r="E95" s="43">
        <v>488</v>
      </c>
      <c r="F95" s="43">
        <v>411</v>
      </c>
      <c r="G95" s="43">
        <v>328</v>
      </c>
      <c r="H95" s="43">
        <v>299</v>
      </c>
      <c r="I95" s="78">
        <v>296</v>
      </c>
      <c r="J95" s="43">
        <v>259</v>
      </c>
      <c r="K95" s="72">
        <v>314</v>
      </c>
      <c r="L95" s="43">
        <v>240</v>
      </c>
      <c r="M95" s="43">
        <v>212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AB95" s="49"/>
    </row>
    <row r="96" spans="1:28" ht="30">
      <c r="A96" s="43" t="s">
        <v>93</v>
      </c>
      <c r="B96" s="43">
        <v>134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78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66</v>
      </c>
      <c r="Q96" s="43">
        <v>50</v>
      </c>
      <c r="R96" s="43">
        <v>18</v>
      </c>
      <c r="AB96" s="49"/>
    </row>
    <row r="97" spans="1:28">
      <c r="A97" s="43" t="s">
        <v>94</v>
      </c>
      <c r="B97" s="43">
        <v>182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78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84</v>
      </c>
      <c r="Q97" s="43">
        <v>54</v>
      </c>
      <c r="R97" s="43">
        <v>44</v>
      </c>
      <c r="AB97" s="49"/>
    </row>
    <row r="98" spans="1:28" ht="15" customHeight="1">
      <c r="A98" s="253" t="s">
        <v>50</v>
      </c>
      <c r="B98" s="254"/>
      <c r="C98" s="254"/>
      <c r="D98" s="254"/>
      <c r="E98" s="254"/>
      <c r="F98" s="254"/>
      <c r="G98" s="254"/>
      <c r="H98" s="254"/>
      <c r="I98" s="254"/>
      <c r="J98" s="254"/>
      <c r="K98" s="254"/>
      <c r="L98" s="254"/>
      <c r="M98" s="254"/>
      <c r="N98" s="254"/>
      <c r="O98" s="254"/>
      <c r="P98" s="254"/>
      <c r="Q98" s="254"/>
      <c r="R98" s="254"/>
      <c r="S98" s="254"/>
      <c r="T98" s="254"/>
      <c r="U98" s="254"/>
      <c r="V98" s="254"/>
      <c r="W98" s="254"/>
      <c r="X98" s="254"/>
      <c r="Y98" s="254"/>
      <c r="Z98" s="254"/>
      <c r="AA98" s="254"/>
      <c r="AB98" s="255"/>
    </row>
    <row r="99" spans="1:28">
      <c r="A99" s="253"/>
      <c r="B99" s="254"/>
      <c r="C99" s="254"/>
      <c r="D99" s="254"/>
      <c r="E99" s="254"/>
      <c r="F99" s="254"/>
      <c r="G99" s="254"/>
      <c r="H99" s="254"/>
      <c r="I99" s="254"/>
      <c r="J99" s="254"/>
      <c r="K99" s="254"/>
      <c r="L99" s="254"/>
      <c r="M99" s="254"/>
      <c r="N99" s="254"/>
      <c r="O99" s="254"/>
      <c r="P99" s="254"/>
      <c r="Q99" s="254"/>
      <c r="R99" s="254"/>
      <c r="S99" s="254"/>
      <c r="T99" s="254"/>
      <c r="U99" s="254"/>
      <c r="V99" s="254"/>
      <c r="W99" s="254"/>
      <c r="X99" s="254"/>
      <c r="Y99" s="254"/>
      <c r="Z99" s="254"/>
      <c r="AA99" s="254"/>
      <c r="AB99" s="255"/>
    </row>
    <row r="100" spans="1:28" ht="30">
      <c r="A100" s="43" t="s">
        <v>40</v>
      </c>
      <c r="B100" s="43">
        <v>180697</v>
      </c>
      <c r="C100" s="43">
        <v>579</v>
      </c>
      <c r="D100" s="43">
        <v>15785</v>
      </c>
      <c r="E100" s="43">
        <v>15971</v>
      </c>
      <c r="F100" s="43">
        <v>15766</v>
      </c>
      <c r="G100" s="43">
        <v>15888</v>
      </c>
      <c r="H100" s="43">
        <v>17003</v>
      </c>
      <c r="I100" s="78">
        <v>16361</v>
      </c>
      <c r="J100" s="43">
        <v>16763</v>
      </c>
      <c r="K100" s="72">
        <v>17441</v>
      </c>
      <c r="L100" s="43">
        <v>17655</v>
      </c>
      <c r="M100" s="43">
        <v>16775</v>
      </c>
      <c r="N100" s="43">
        <v>264</v>
      </c>
      <c r="O100" s="43">
        <v>238</v>
      </c>
      <c r="P100" s="43">
        <v>6982</v>
      </c>
      <c r="Q100" s="43">
        <v>6585</v>
      </c>
      <c r="R100" s="43">
        <v>641</v>
      </c>
      <c r="AB100" s="49"/>
    </row>
    <row r="101" spans="1:28">
      <c r="A101" s="253"/>
      <c r="B101" s="254"/>
      <c r="C101" s="254"/>
      <c r="D101" s="254"/>
      <c r="E101" s="254"/>
      <c r="F101" s="254"/>
      <c r="G101" s="254"/>
      <c r="H101" s="254"/>
      <c r="I101" s="254"/>
      <c r="J101" s="254"/>
      <c r="K101" s="254"/>
      <c r="L101" s="254"/>
      <c r="M101" s="254"/>
      <c r="N101" s="254"/>
      <c r="O101" s="254"/>
      <c r="P101" s="254"/>
      <c r="Q101" s="254"/>
      <c r="R101" s="254"/>
      <c r="S101" s="254"/>
      <c r="T101" s="254"/>
      <c r="U101" s="254"/>
      <c r="V101" s="254"/>
      <c r="W101" s="254"/>
      <c r="X101" s="254"/>
      <c r="Y101" s="254"/>
      <c r="Z101" s="254"/>
      <c r="AA101" s="254"/>
      <c r="AB101" s="255"/>
    </row>
    <row r="102" spans="1:28" ht="45">
      <c r="A102" s="43" t="s">
        <v>75</v>
      </c>
      <c r="B102" s="43">
        <v>579</v>
      </c>
      <c r="C102" s="43">
        <v>579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78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AB102" s="49"/>
    </row>
    <row r="103" spans="1:28" ht="30">
      <c r="A103" s="43" t="s">
        <v>76</v>
      </c>
      <c r="B103" s="43">
        <v>61306</v>
      </c>
      <c r="C103" s="43" t="s">
        <v>35</v>
      </c>
      <c r="D103" s="43">
        <v>14862</v>
      </c>
      <c r="E103" s="43">
        <v>15514</v>
      </c>
      <c r="F103" s="43">
        <v>15361</v>
      </c>
      <c r="G103" s="43">
        <v>15524</v>
      </c>
      <c r="H103" s="43" t="s">
        <v>35</v>
      </c>
      <c r="I103" s="78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45</v>
      </c>
      <c r="O103" s="43" t="s">
        <v>35</v>
      </c>
      <c r="P103" s="43" t="s">
        <v>35</v>
      </c>
      <c r="Q103" s="43" t="s">
        <v>35</v>
      </c>
      <c r="R103" s="43" t="s">
        <v>35</v>
      </c>
      <c r="AB103" s="49"/>
    </row>
    <row r="104" spans="1:28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78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AB104" s="49"/>
    </row>
    <row r="105" spans="1:28" ht="30">
      <c r="A105" s="43" t="s">
        <v>78</v>
      </c>
      <c r="B105" s="43">
        <v>3358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373</v>
      </c>
      <c r="I105" s="78">
        <v>466</v>
      </c>
      <c r="J105" s="43">
        <v>609</v>
      </c>
      <c r="K105" s="72">
        <v>671</v>
      </c>
      <c r="L105" s="43">
        <v>729</v>
      </c>
      <c r="M105" s="43">
        <v>465</v>
      </c>
      <c r="N105" s="43">
        <v>45</v>
      </c>
      <c r="O105" s="43" t="s">
        <v>35</v>
      </c>
      <c r="P105" s="43" t="s">
        <v>35</v>
      </c>
      <c r="Q105" s="43" t="s">
        <v>35</v>
      </c>
      <c r="R105" s="43" t="s">
        <v>35</v>
      </c>
      <c r="AB105" s="49"/>
    </row>
    <row r="106" spans="1:28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78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AB106" s="49"/>
    </row>
    <row r="107" spans="1:28" ht="30">
      <c r="A107" s="43" t="s">
        <v>80</v>
      </c>
      <c r="B107" s="43">
        <v>8457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1316</v>
      </c>
      <c r="I107" s="78">
        <v>1159</v>
      </c>
      <c r="J107" s="43">
        <v>1427</v>
      </c>
      <c r="K107" s="72">
        <v>1473</v>
      </c>
      <c r="L107" s="43">
        <v>1502</v>
      </c>
      <c r="M107" s="43">
        <v>1580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AB107" s="49"/>
    </row>
    <row r="108" spans="1:28" ht="30">
      <c r="A108" s="43" t="s">
        <v>81</v>
      </c>
      <c r="B108" s="43">
        <v>30139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4367</v>
      </c>
      <c r="I108" s="78">
        <v>4815</v>
      </c>
      <c r="J108" s="43">
        <v>5038</v>
      </c>
      <c r="K108" s="72">
        <v>5429</v>
      </c>
      <c r="L108" s="43">
        <v>5566</v>
      </c>
      <c r="M108" s="43">
        <v>4767</v>
      </c>
      <c r="N108" s="43">
        <v>157</v>
      </c>
      <c r="O108" s="43" t="s">
        <v>35</v>
      </c>
      <c r="P108" s="43" t="s">
        <v>35</v>
      </c>
      <c r="Q108" s="43" t="s">
        <v>35</v>
      </c>
      <c r="R108" s="43" t="s">
        <v>35</v>
      </c>
      <c r="AB108" s="49"/>
    </row>
    <row r="109" spans="1:28" ht="30">
      <c r="A109" s="43" t="s">
        <v>82</v>
      </c>
      <c r="B109" s="43">
        <v>46645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6454</v>
      </c>
      <c r="I109" s="78">
        <v>6232</v>
      </c>
      <c r="J109" s="43">
        <v>6019</v>
      </c>
      <c r="K109" s="72">
        <v>5934</v>
      </c>
      <c r="L109" s="43">
        <v>5812</v>
      </c>
      <c r="M109" s="43">
        <v>5802</v>
      </c>
      <c r="N109" s="43" t="s">
        <v>35</v>
      </c>
      <c r="O109" s="43">
        <v>129</v>
      </c>
      <c r="P109" s="43">
        <v>5207</v>
      </c>
      <c r="Q109" s="43">
        <v>5056</v>
      </c>
      <c r="R109" s="43" t="s">
        <v>35</v>
      </c>
      <c r="AB109" s="49"/>
    </row>
    <row r="110" spans="1:28" ht="45">
      <c r="A110" s="43" t="s">
        <v>83</v>
      </c>
      <c r="B110" s="43">
        <v>15654</v>
      </c>
      <c r="C110" s="43" t="s">
        <v>35</v>
      </c>
      <c r="D110" s="43">
        <v>232</v>
      </c>
      <c r="E110" s="43">
        <v>221</v>
      </c>
      <c r="F110" s="43">
        <v>241</v>
      </c>
      <c r="G110" s="43">
        <v>257</v>
      </c>
      <c r="H110" s="43">
        <v>2022</v>
      </c>
      <c r="I110" s="78">
        <v>2026</v>
      </c>
      <c r="J110" s="43">
        <v>2027</v>
      </c>
      <c r="K110" s="72">
        <v>1989</v>
      </c>
      <c r="L110" s="43">
        <v>2022</v>
      </c>
      <c r="M110" s="43">
        <v>1902</v>
      </c>
      <c r="N110" s="43">
        <v>9</v>
      </c>
      <c r="O110" s="43" t="s">
        <v>35</v>
      </c>
      <c r="P110" s="43">
        <v>1134</v>
      </c>
      <c r="Q110" s="43">
        <v>931</v>
      </c>
      <c r="R110" s="43">
        <v>641</v>
      </c>
      <c r="AB110" s="49"/>
    </row>
    <row r="111" spans="1:28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78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AB111" s="49"/>
    </row>
    <row r="112" spans="1:28" ht="45">
      <c r="A112" s="43" t="s">
        <v>85</v>
      </c>
      <c r="B112" s="43">
        <v>1505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168</v>
      </c>
      <c r="I112" s="78">
        <v>211</v>
      </c>
      <c r="J112" s="43">
        <v>268</v>
      </c>
      <c r="K112" s="72">
        <v>293</v>
      </c>
      <c r="L112" s="43">
        <v>314</v>
      </c>
      <c r="M112" s="43">
        <v>243</v>
      </c>
      <c r="N112" s="43">
        <v>8</v>
      </c>
      <c r="O112" s="43" t="s">
        <v>35</v>
      </c>
      <c r="P112" s="43" t="s">
        <v>35</v>
      </c>
      <c r="Q112" s="43" t="s">
        <v>35</v>
      </c>
      <c r="R112" s="43" t="s">
        <v>35</v>
      </c>
      <c r="AB112" s="49"/>
    </row>
    <row r="113" spans="1:28" ht="45">
      <c r="A113" s="43" t="s">
        <v>86</v>
      </c>
      <c r="B113" s="43">
        <v>4180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659</v>
      </c>
      <c r="I113" s="78">
        <v>637</v>
      </c>
      <c r="J113" s="43">
        <v>643</v>
      </c>
      <c r="K113" s="72">
        <v>695</v>
      </c>
      <c r="L113" s="43">
        <v>748</v>
      </c>
      <c r="M113" s="43">
        <v>798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AB113" s="49"/>
    </row>
    <row r="114" spans="1:28" ht="60">
      <c r="A114" s="43" t="s">
        <v>87</v>
      </c>
      <c r="B114" s="43">
        <v>4646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563</v>
      </c>
      <c r="I114" s="78">
        <v>539</v>
      </c>
      <c r="J114" s="43">
        <v>533</v>
      </c>
      <c r="K114" s="72">
        <v>550</v>
      </c>
      <c r="L114" s="43">
        <v>557</v>
      </c>
      <c r="M114" s="43">
        <v>556</v>
      </c>
      <c r="N114" s="43" t="s">
        <v>35</v>
      </c>
      <c r="O114" s="43">
        <v>109</v>
      </c>
      <c r="P114" s="43">
        <v>641</v>
      </c>
      <c r="Q114" s="43">
        <v>598</v>
      </c>
      <c r="R114" s="43" t="s">
        <v>35</v>
      </c>
      <c r="AB114" s="49"/>
    </row>
    <row r="115" spans="1:28" ht="75">
      <c r="A115" s="43" t="s">
        <v>88</v>
      </c>
      <c r="B115" s="43">
        <v>249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30</v>
      </c>
      <c r="I115" s="78">
        <v>35</v>
      </c>
      <c r="J115" s="43">
        <v>48</v>
      </c>
      <c r="K115" s="72">
        <v>53</v>
      </c>
      <c r="L115" s="43">
        <v>33</v>
      </c>
      <c r="M115" s="43">
        <v>50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AB115" s="49"/>
    </row>
    <row r="116" spans="1:28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78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AB116" s="49"/>
    </row>
    <row r="117" spans="1:28" ht="45">
      <c r="A117" s="43" t="s">
        <v>90</v>
      </c>
      <c r="B117" s="43">
        <v>817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112</v>
      </c>
      <c r="I117" s="78">
        <v>123</v>
      </c>
      <c r="J117" s="43">
        <v>20</v>
      </c>
      <c r="K117" s="72">
        <v>251</v>
      </c>
      <c r="L117" s="43">
        <v>219</v>
      </c>
      <c r="M117" s="43">
        <v>92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AB117" s="49"/>
    </row>
    <row r="118" spans="1:28" ht="60">
      <c r="A118" s="43" t="s">
        <v>91</v>
      </c>
      <c r="B118" s="43">
        <v>1773</v>
      </c>
      <c r="C118" s="43" t="s">
        <v>35</v>
      </c>
      <c r="D118" s="43">
        <v>467</v>
      </c>
      <c r="E118" s="43" t="s">
        <v>35</v>
      </c>
      <c r="F118" s="43" t="s">
        <v>35</v>
      </c>
      <c r="G118" s="43" t="s">
        <v>35</v>
      </c>
      <c r="H118" s="43">
        <v>839</v>
      </c>
      <c r="I118" s="78" t="s">
        <v>35</v>
      </c>
      <c r="J118" s="43" t="s">
        <v>35</v>
      </c>
      <c r="K118" s="72" t="s">
        <v>35</v>
      </c>
      <c r="L118" s="43" t="s">
        <v>35</v>
      </c>
      <c r="M118" s="43">
        <v>467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AB118" s="49"/>
    </row>
    <row r="119" spans="1:28" ht="60">
      <c r="A119" s="43" t="s">
        <v>92</v>
      </c>
      <c r="B119" s="43">
        <v>1389</v>
      </c>
      <c r="C119" s="43" t="s">
        <v>35</v>
      </c>
      <c r="D119" s="43">
        <v>224</v>
      </c>
      <c r="E119" s="43">
        <v>236</v>
      </c>
      <c r="F119" s="43">
        <v>164</v>
      </c>
      <c r="G119" s="43">
        <v>107</v>
      </c>
      <c r="H119" s="43">
        <v>100</v>
      </c>
      <c r="I119" s="78">
        <v>118</v>
      </c>
      <c r="J119" s="43">
        <v>131</v>
      </c>
      <c r="K119" s="72">
        <v>103</v>
      </c>
      <c r="L119" s="43">
        <v>153</v>
      </c>
      <c r="M119" s="43">
        <v>53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AB119" s="49"/>
    </row>
    <row r="120" spans="1:28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78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AB120" s="49"/>
    </row>
    <row r="121" spans="1:28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78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AB121" s="49"/>
    </row>
    <row r="122" spans="1:28" ht="15" customHeight="1">
      <c r="A122" s="253" t="s">
        <v>51</v>
      </c>
      <c r="B122" s="254"/>
      <c r="C122" s="254"/>
      <c r="D122" s="254"/>
      <c r="E122" s="254"/>
      <c r="F122" s="254"/>
      <c r="G122" s="254"/>
      <c r="H122" s="254"/>
      <c r="I122" s="254"/>
      <c r="J122" s="254"/>
      <c r="K122" s="254"/>
      <c r="L122" s="254"/>
      <c r="M122" s="254"/>
      <c r="N122" s="254"/>
      <c r="O122" s="254"/>
      <c r="P122" s="254"/>
      <c r="Q122" s="254"/>
      <c r="R122" s="254"/>
      <c r="S122" s="254"/>
      <c r="T122" s="254"/>
      <c r="U122" s="254"/>
      <c r="V122" s="254"/>
      <c r="W122" s="254"/>
      <c r="X122" s="254"/>
      <c r="Y122" s="254"/>
      <c r="Z122" s="254"/>
      <c r="AA122" s="254"/>
      <c r="AB122" s="255"/>
    </row>
    <row r="123" spans="1:28">
      <c r="A123" s="253"/>
      <c r="B123" s="254"/>
      <c r="C123" s="254"/>
      <c r="D123" s="254"/>
      <c r="E123" s="254"/>
      <c r="F123" s="254"/>
      <c r="G123" s="254"/>
      <c r="H123" s="254"/>
      <c r="I123" s="254"/>
      <c r="J123" s="254"/>
      <c r="K123" s="254"/>
      <c r="L123" s="254"/>
      <c r="M123" s="254"/>
      <c r="N123" s="254"/>
      <c r="O123" s="254"/>
      <c r="P123" s="254"/>
      <c r="Q123" s="254"/>
      <c r="R123" s="254"/>
      <c r="S123" s="254"/>
      <c r="T123" s="254"/>
      <c r="U123" s="254"/>
      <c r="V123" s="254"/>
      <c r="W123" s="254"/>
      <c r="X123" s="254"/>
      <c r="Y123" s="254"/>
      <c r="Z123" s="254"/>
      <c r="AA123" s="254"/>
      <c r="AB123" s="255"/>
    </row>
    <row r="124" spans="1:28" ht="30">
      <c r="A124" s="43" t="s">
        <v>40</v>
      </c>
      <c r="B124" s="43">
        <v>266223</v>
      </c>
      <c r="C124" s="43">
        <v>938</v>
      </c>
      <c r="D124" s="43">
        <v>23671</v>
      </c>
      <c r="E124" s="43">
        <v>23725</v>
      </c>
      <c r="F124" s="43">
        <v>23455</v>
      </c>
      <c r="G124" s="43">
        <v>23458</v>
      </c>
      <c r="H124" s="43">
        <v>25031</v>
      </c>
      <c r="I124" s="78">
        <v>24421</v>
      </c>
      <c r="J124" s="43">
        <v>24569</v>
      </c>
      <c r="K124" s="72">
        <v>25907</v>
      </c>
      <c r="L124" s="43">
        <v>26315</v>
      </c>
      <c r="M124" s="43">
        <v>24289</v>
      </c>
      <c r="N124" s="43">
        <v>500</v>
      </c>
      <c r="O124" s="43">
        <v>225</v>
      </c>
      <c r="P124" s="43">
        <v>9503</v>
      </c>
      <c r="Q124" s="43">
        <v>8902</v>
      </c>
      <c r="R124" s="43">
        <v>1314</v>
      </c>
      <c r="AB124" s="49"/>
    </row>
    <row r="125" spans="1:28">
      <c r="A125" s="253"/>
      <c r="B125" s="254"/>
      <c r="C125" s="254"/>
      <c r="D125" s="254"/>
      <c r="E125" s="254"/>
      <c r="F125" s="254"/>
      <c r="G125" s="254"/>
      <c r="H125" s="254"/>
      <c r="I125" s="254"/>
      <c r="J125" s="254"/>
      <c r="K125" s="254"/>
      <c r="L125" s="254"/>
      <c r="M125" s="254"/>
      <c r="N125" s="254"/>
      <c r="O125" s="254"/>
      <c r="P125" s="254"/>
      <c r="Q125" s="254"/>
      <c r="R125" s="254"/>
      <c r="S125" s="254"/>
      <c r="T125" s="254"/>
      <c r="U125" s="254"/>
      <c r="V125" s="254"/>
      <c r="W125" s="254"/>
      <c r="X125" s="254"/>
      <c r="Y125" s="254"/>
      <c r="Z125" s="254"/>
      <c r="AA125" s="254"/>
      <c r="AB125" s="255"/>
    </row>
    <row r="126" spans="1:28" ht="45">
      <c r="A126" s="43" t="s">
        <v>75</v>
      </c>
      <c r="B126" s="43">
        <v>938</v>
      </c>
      <c r="C126" s="43">
        <v>938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78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AB126" s="49"/>
    </row>
    <row r="127" spans="1:28" ht="30">
      <c r="A127" s="43" t="s">
        <v>76</v>
      </c>
      <c r="B127" s="43">
        <v>90599</v>
      </c>
      <c r="C127" s="43" t="s">
        <v>35</v>
      </c>
      <c r="D127" s="43">
        <v>22077</v>
      </c>
      <c r="E127" s="43">
        <v>22858</v>
      </c>
      <c r="F127" s="43">
        <v>22792</v>
      </c>
      <c r="G127" s="43">
        <v>22832</v>
      </c>
      <c r="H127" s="43" t="s">
        <v>35</v>
      </c>
      <c r="I127" s="78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</v>
      </c>
      <c r="O127" s="43" t="s">
        <v>35</v>
      </c>
      <c r="P127" s="43" t="s">
        <v>35</v>
      </c>
      <c r="Q127" s="43" t="s">
        <v>35</v>
      </c>
      <c r="R127" s="43" t="s">
        <v>35</v>
      </c>
      <c r="AB127" s="49"/>
    </row>
    <row r="128" spans="1:28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78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AB128" s="49"/>
    </row>
    <row r="129" spans="1:28" ht="30">
      <c r="A129" s="43" t="s">
        <v>78</v>
      </c>
      <c r="B129" s="43">
        <v>5916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702</v>
      </c>
      <c r="I129" s="78">
        <v>843</v>
      </c>
      <c r="J129" s="43">
        <v>983</v>
      </c>
      <c r="K129" s="72">
        <v>1136</v>
      </c>
      <c r="L129" s="43">
        <v>1285</v>
      </c>
      <c r="M129" s="43">
        <v>906</v>
      </c>
      <c r="N129" s="43">
        <v>61</v>
      </c>
      <c r="O129" s="43" t="s">
        <v>35</v>
      </c>
      <c r="P129" s="43" t="s">
        <v>35</v>
      </c>
      <c r="Q129" s="43" t="s">
        <v>35</v>
      </c>
      <c r="R129" s="43" t="s">
        <v>35</v>
      </c>
      <c r="AB129" s="49"/>
    </row>
    <row r="130" spans="1:28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78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AB130" s="49"/>
    </row>
    <row r="131" spans="1:28" ht="30">
      <c r="A131" s="43" t="s">
        <v>80</v>
      </c>
      <c r="B131" s="43">
        <v>15618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2382</v>
      </c>
      <c r="I131" s="78">
        <v>2453</v>
      </c>
      <c r="J131" s="43">
        <v>2346</v>
      </c>
      <c r="K131" s="72">
        <v>2553</v>
      </c>
      <c r="L131" s="43">
        <v>2692</v>
      </c>
      <c r="M131" s="43">
        <v>3108</v>
      </c>
      <c r="N131" s="43">
        <v>84</v>
      </c>
      <c r="O131" s="43" t="s">
        <v>35</v>
      </c>
      <c r="P131" s="43" t="s">
        <v>35</v>
      </c>
      <c r="Q131" s="43" t="s">
        <v>35</v>
      </c>
      <c r="R131" s="43" t="s">
        <v>35</v>
      </c>
      <c r="AB131" s="49"/>
    </row>
    <row r="132" spans="1:28" ht="30">
      <c r="A132" s="43" t="s">
        <v>81</v>
      </c>
      <c r="B132" s="43">
        <v>48417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7203</v>
      </c>
      <c r="I132" s="78">
        <v>7797</v>
      </c>
      <c r="J132" s="43">
        <v>8239</v>
      </c>
      <c r="K132" s="72">
        <v>8810</v>
      </c>
      <c r="L132" s="43">
        <v>8854</v>
      </c>
      <c r="M132" s="43">
        <v>7273</v>
      </c>
      <c r="N132" s="43">
        <v>241</v>
      </c>
      <c r="O132" s="43" t="s">
        <v>35</v>
      </c>
      <c r="P132" s="43" t="s">
        <v>35</v>
      </c>
      <c r="Q132" s="43" t="s">
        <v>35</v>
      </c>
      <c r="R132" s="43" t="s">
        <v>35</v>
      </c>
      <c r="AB132" s="49"/>
    </row>
    <row r="133" spans="1:28" ht="30">
      <c r="A133" s="43" t="s">
        <v>82</v>
      </c>
      <c r="B133" s="43">
        <v>64679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8664</v>
      </c>
      <c r="I133" s="78">
        <v>8563</v>
      </c>
      <c r="J133" s="43">
        <v>8285</v>
      </c>
      <c r="K133" s="72">
        <v>8202</v>
      </c>
      <c r="L133" s="43">
        <v>8297</v>
      </c>
      <c r="M133" s="43">
        <v>7971</v>
      </c>
      <c r="N133" s="43">
        <v>12</v>
      </c>
      <c r="O133" s="43">
        <v>194</v>
      </c>
      <c r="P133" s="43">
        <v>7484</v>
      </c>
      <c r="Q133" s="43">
        <v>7007</v>
      </c>
      <c r="R133" s="43" t="s">
        <v>35</v>
      </c>
      <c r="AB133" s="49"/>
    </row>
    <row r="134" spans="1:28" ht="45">
      <c r="A134" s="43" t="s">
        <v>83</v>
      </c>
      <c r="B134" s="43">
        <v>21740</v>
      </c>
      <c r="C134" s="43" t="s">
        <v>35</v>
      </c>
      <c r="D134" s="43">
        <v>170</v>
      </c>
      <c r="E134" s="43">
        <v>177</v>
      </c>
      <c r="F134" s="43">
        <v>165</v>
      </c>
      <c r="G134" s="43">
        <v>170</v>
      </c>
      <c r="H134" s="43">
        <v>2759</v>
      </c>
      <c r="I134" s="78">
        <v>2879</v>
      </c>
      <c r="J134" s="43">
        <v>3044</v>
      </c>
      <c r="K134" s="72">
        <v>3003</v>
      </c>
      <c r="L134" s="43">
        <v>3026</v>
      </c>
      <c r="M134" s="43">
        <v>2683</v>
      </c>
      <c r="N134" s="43">
        <v>38</v>
      </c>
      <c r="O134" s="43" t="s">
        <v>35</v>
      </c>
      <c r="P134" s="43">
        <v>1269</v>
      </c>
      <c r="Q134" s="43">
        <v>1248</v>
      </c>
      <c r="R134" s="43">
        <v>1109</v>
      </c>
      <c r="AB134" s="49"/>
    </row>
    <row r="135" spans="1:28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78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AB135" s="49"/>
    </row>
    <row r="136" spans="1:28" ht="45">
      <c r="A136" s="43" t="s">
        <v>85</v>
      </c>
      <c r="B136" s="43">
        <v>1249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136</v>
      </c>
      <c r="I136" s="78">
        <v>190</v>
      </c>
      <c r="J136" s="43">
        <v>250</v>
      </c>
      <c r="K136" s="72">
        <v>213</v>
      </c>
      <c r="L136" s="43">
        <v>271</v>
      </c>
      <c r="M136" s="43">
        <v>173</v>
      </c>
      <c r="N136" s="43">
        <v>16</v>
      </c>
      <c r="O136" s="43" t="s">
        <v>35</v>
      </c>
      <c r="P136" s="43" t="s">
        <v>35</v>
      </c>
      <c r="Q136" s="43" t="s">
        <v>35</v>
      </c>
      <c r="R136" s="43" t="s">
        <v>35</v>
      </c>
      <c r="AB136" s="49"/>
    </row>
    <row r="137" spans="1:28" ht="45">
      <c r="A137" s="43" t="s">
        <v>86</v>
      </c>
      <c r="B137" s="43">
        <v>2873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502</v>
      </c>
      <c r="I137" s="78">
        <v>445</v>
      </c>
      <c r="J137" s="43">
        <v>401</v>
      </c>
      <c r="K137" s="72">
        <v>487</v>
      </c>
      <c r="L137" s="43">
        <v>498</v>
      </c>
      <c r="M137" s="43">
        <v>540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AB137" s="49"/>
    </row>
    <row r="138" spans="1:28" ht="60">
      <c r="A138" s="43" t="s">
        <v>87</v>
      </c>
      <c r="B138" s="43">
        <v>2800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345</v>
      </c>
      <c r="I138" s="78">
        <v>366</v>
      </c>
      <c r="J138" s="43">
        <v>339</v>
      </c>
      <c r="K138" s="72">
        <v>304</v>
      </c>
      <c r="L138" s="43">
        <v>378</v>
      </c>
      <c r="M138" s="43">
        <v>351</v>
      </c>
      <c r="N138" s="43">
        <v>8</v>
      </c>
      <c r="O138" s="43">
        <v>31</v>
      </c>
      <c r="P138" s="43">
        <v>350</v>
      </c>
      <c r="Q138" s="43">
        <v>328</v>
      </c>
      <c r="R138" s="43" t="s">
        <v>35</v>
      </c>
      <c r="AB138" s="49"/>
    </row>
    <row r="139" spans="1:28" ht="75">
      <c r="A139" s="43" t="s">
        <v>88</v>
      </c>
      <c r="B139" s="43">
        <v>1299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152</v>
      </c>
      <c r="I139" s="78">
        <v>147</v>
      </c>
      <c r="J139" s="43">
        <v>155</v>
      </c>
      <c r="K139" s="72">
        <v>142</v>
      </c>
      <c r="L139" s="43">
        <v>179</v>
      </c>
      <c r="M139" s="43">
        <v>151</v>
      </c>
      <c r="N139" s="43" t="s">
        <v>35</v>
      </c>
      <c r="O139" s="43" t="s">
        <v>35</v>
      </c>
      <c r="P139" s="43">
        <v>143</v>
      </c>
      <c r="Q139" s="43">
        <v>129</v>
      </c>
      <c r="R139" s="43">
        <v>101</v>
      </c>
      <c r="AB139" s="49"/>
    </row>
    <row r="140" spans="1:28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78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AB140" s="49"/>
    </row>
    <row r="141" spans="1:28" ht="45">
      <c r="A141" s="43" t="s">
        <v>90</v>
      </c>
      <c r="B141" s="43">
        <v>2263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358</v>
      </c>
      <c r="I141" s="78">
        <v>324</v>
      </c>
      <c r="J141" s="43">
        <v>118</v>
      </c>
      <c r="K141" s="72">
        <v>634</v>
      </c>
      <c r="L141" s="43">
        <v>549</v>
      </c>
      <c r="M141" s="43">
        <v>280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AB141" s="49"/>
    </row>
    <row r="142" spans="1:28" ht="60">
      <c r="A142" s="43" t="s">
        <v>91</v>
      </c>
      <c r="B142" s="43">
        <v>3067</v>
      </c>
      <c r="C142" s="43" t="s">
        <v>35</v>
      </c>
      <c r="D142" s="43">
        <v>877</v>
      </c>
      <c r="E142" s="43" t="s">
        <v>35</v>
      </c>
      <c r="F142" s="43" t="s">
        <v>35</v>
      </c>
      <c r="G142" s="43" t="s">
        <v>35</v>
      </c>
      <c r="H142" s="43">
        <v>1440</v>
      </c>
      <c r="I142" s="78" t="s">
        <v>35</v>
      </c>
      <c r="J142" s="43" t="s">
        <v>35</v>
      </c>
      <c r="K142" s="72" t="s">
        <v>35</v>
      </c>
      <c r="L142" s="43" t="s">
        <v>35</v>
      </c>
      <c r="M142" s="43">
        <v>750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AB142" s="49"/>
    </row>
    <row r="143" spans="1:28" ht="60">
      <c r="A143" s="43" t="s">
        <v>92</v>
      </c>
      <c r="B143" s="43">
        <v>4214</v>
      </c>
      <c r="C143" s="43" t="s">
        <v>35</v>
      </c>
      <c r="D143" s="43">
        <v>547</v>
      </c>
      <c r="E143" s="43">
        <v>690</v>
      </c>
      <c r="F143" s="43">
        <v>498</v>
      </c>
      <c r="G143" s="43">
        <v>456</v>
      </c>
      <c r="H143" s="43">
        <v>388</v>
      </c>
      <c r="I143" s="78">
        <v>414</v>
      </c>
      <c r="J143" s="43">
        <v>409</v>
      </c>
      <c r="K143" s="72">
        <v>423</v>
      </c>
      <c r="L143" s="43">
        <v>286</v>
      </c>
      <c r="M143" s="43">
        <v>103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AB143" s="49"/>
    </row>
    <row r="144" spans="1:28" ht="30">
      <c r="A144" s="43" t="s">
        <v>93</v>
      </c>
      <c r="B144" s="43">
        <v>330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78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151</v>
      </c>
      <c r="Q144" s="43">
        <v>123</v>
      </c>
      <c r="R144" s="43">
        <v>56</v>
      </c>
      <c r="AB144" s="49"/>
    </row>
    <row r="145" spans="1:28">
      <c r="A145" s="43" t="s">
        <v>94</v>
      </c>
      <c r="B145" s="43">
        <v>221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78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106</v>
      </c>
      <c r="Q145" s="43">
        <v>67</v>
      </c>
      <c r="R145" s="43">
        <v>48</v>
      </c>
      <c r="S145" s="44"/>
      <c r="T145" s="44"/>
      <c r="U145" s="44"/>
      <c r="V145" s="44"/>
      <c r="W145" s="44"/>
      <c r="X145" s="44"/>
      <c r="Y145" s="44"/>
      <c r="Z145" s="44"/>
      <c r="AA145" s="44"/>
      <c r="AB145" s="50"/>
    </row>
    <row r="147" spans="1:28">
      <c r="A147" t="s">
        <v>52</v>
      </c>
    </row>
    <row r="148" spans="1:28">
      <c r="A148" t="s">
        <v>53</v>
      </c>
    </row>
    <row r="149" spans="1:28">
      <c r="A149" t="s">
        <v>122</v>
      </c>
    </row>
    <row r="151" spans="1:28">
      <c r="A151" t="s">
        <v>96</v>
      </c>
    </row>
    <row r="152" spans="1:28">
      <c r="A152" t="s">
        <v>97</v>
      </c>
    </row>
    <row r="153" spans="1:28">
      <c r="A153" t="s">
        <v>98</v>
      </c>
    </row>
    <row r="154" spans="1:28">
      <c r="A154" t="s">
        <v>123</v>
      </c>
    </row>
    <row r="155" spans="1:28">
      <c r="A155" t="s">
        <v>100</v>
      </c>
    </row>
    <row r="156" spans="1:28">
      <c r="A156" t="s">
        <v>101</v>
      </c>
    </row>
    <row r="157" spans="1:28">
      <c r="A157" t="s">
        <v>102</v>
      </c>
    </row>
  </sheetData>
  <mergeCells count="36">
    <mergeCell ref="F22:F23"/>
    <mergeCell ref="G22:G23"/>
    <mergeCell ref="H22:H23"/>
    <mergeCell ref="B16:R18"/>
    <mergeCell ref="C19:M19"/>
    <mergeCell ref="C20:M20"/>
    <mergeCell ref="C21:M21"/>
    <mergeCell ref="O19:R19"/>
    <mergeCell ref="O20:R20"/>
    <mergeCell ref="O21:R21"/>
    <mergeCell ref="A98:AB98"/>
    <mergeCell ref="Q22:Q23"/>
    <mergeCell ref="R22:R23"/>
    <mergeCell ref="A26:AB26"/>
    <mergeCell ref="A27:AB27"/>
    <mergeCell ref="A29:AB29"/>
    <mergeCell ref="A50:AB50"/>
    <mergeCell ref="I22:I23"/>
    <mergeCell ref="J22:J23"/>
    <mergeCell ref="K22:K23"/>
    <mergeCell ref="L22:L23"/>
    <mergeCell ref="M22:M23"/>
    <mergeCell ref="P22:P23"/>
    <mergeCell ref="C22:C23"/>
    <mergeCell ref="D22:D23"/>
    <mergeCell ref="E22:E23"/>
    <mergeCell ref="A51:AB51"/>
    <mergeCell ref="A53:AB53"/>
    <mergeCell ref="A74:AB74"/>
    <mergeCell ref="A75:AB75"/>
    <mergeCell ref="A77:AB77"/>
    <mergeCell ref="A99:AB99"/>
    <mergeCell ref="A101:AB101"/>
    <mergeCell ref="A122:AB122"/>
    <mergeCell ref="A123:AB123"/>
    <mergeCell ref="A125:AB125"/>
  </mergeCells>
  <hyperlinks>
    <hyperlink ref="A1" r:id="rId1" display="https://www1.nls.niedersachsen.de/Statistik/pool/K300151A/K300151A_0000173B37BEDD980F17348675C8DB557B5E44C1A32A14EBF43B.zip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R66"/>
  <sheetViews>
    <sheetView topLeftCell="A19" workbookViewId="0">
      <selection activeCell="C30" sqref="C30"/>
    </sheetView>
  </sheetViews>
  <sheetFormatPr baseColWidth="10" defaultRowHeight="15"/>
  <cols>
    <col min="8" max="8" width="12.140625" customWidth="1"/>
    <col min="10" max="10" width="12.28515625" customWidth="1"/>
    <col min="11" max="11" width="9.7109375" customWidth="1"/>
    <col min="12" max="12" width="28.85546875" customWidth="1"/>
    <col min="14" max="14" width="12.140625" customWidth="1"/>
    <col min="16" max="16" width="12.5703125" customWidth="1"/>
    <col min="17" max="17" width="17.7109375" customWidth="1"/>
    <col min="18" max="18" width="31" customWidth="1"/>
  </cols>
  <sheetData>
    <row r="1" spans="1:18" ht="45">
      <c r="A1" s="80" t="s">
        <v>47</v>
      </c>
      <c r="B1" s="147"/>
      <c r="C1" s="76"/>
      <c r="D1" s="77"/>
      <c r="E1" s="91"/>
      <c r="F1" s="91"/>
      <c r="H1" s="80" t="s">
        <v>47</v>
      </c>
      <c r="N1" s="80" t="s">
        <v>48</v>
      </c>
    </row>
    <row r="2" spans="1:18" ht="45">
      <c r="A2" s="104" t="s">
        <v>111</v>
      </c>
      <c r="B2" s="105" t="s">
        <v>3</v>
      </c>
      <c r="C2" s="106" t="s">
        <v>124</v>
      </c>
      <c r="D2" s="106" t="s">
        <v>12</v>
      </c>
      <c r="E2" s="107" t="s">
        <v>11</v>
      </c>
      <c r="F2" s="161"/>
      <c r="H2" s="105" t="s">
        <v>111</v>
      </c>
      <c r="I2" s="105" t="s">
        <v>3</v>
      </c>
      <c r="J2" s="106" t="s">
        <v>124</v>
      </c>
      <c r="K2" s="106" t="s">
        <v>11</v>
      </c>
      <c r="L2" s="150" t="s">
        <v>12</v>
      </c>
      <c r="N2" s="105" t="s">
        <v>111</v>
      </c>
      <c r="O2" s="105" t="s">
        <v>3</v>
      </c>
      <c r="P2" s="106" t="s">
        <v>124</v>
      </c>
      <c r="Q2" s="106" t="s">
        <v>11</v>
      </c>
      <c r="R2" s="150" t="s">
        <v>12</v>
      </c>
    </row>
    <row r="3" spans="1:18" ht="30">
      <c r="A3" s="43" t="s">
        <v>40</v>
      </c>
      <c r="B3" s="43">
        <v>2019</v>
      </c>
      <c r="C3" s="78">
        <f>VLOOKUP(A3,'2019_B4_Rohdaten_alle'!A28:AB145,11,FALSE)</f>
        <v>78619</v>
      </c>
      <c r="D3" s="78">
        <f>VLOOKUP($A3,'2019_B4_Rohdaten_Ausländer'!$A$28:$AB$145,11,FALSE)</f>
        <v>7296</v>
      </c>
      <c r="E3" s="103">
        <f>C3-D3</f>
        <v>71323</v>
      </c>
      <c r="F3" s="91"/>
      <c r="H3" s="148" t="s">
        <v>40</v>
      </c>
      <c r="I3" s="43">
        <v>2019</v>
      </c>
      <c r="J3" s="78">
        <f>VLOOKUP(H3,'2019_B4_Rohdaten_alle'!A28:AB145,11,FALSE)</f>
        <v>78619</v>
      </c>
      <c r="K3" s="78">
        <f t="shared" ref="K3:K14" si="0">J3-L3</f>
        <v>71323</v>
      </c>
      <c r="L3" s="151">
        <f>VLOOKUP($A3,'2019_B4_Rohdaten_Ausländer'!$A$28:$AB$145,11,FALSE)</f>
        <v>7296</v>
      </c>
      <c r="N3" s="148" t="s">
        <v>40</v>
      </c>
      <c r="O3" s="43">
        <v>2019</v>
      </c>
      <c r="P3" s="78">
        <f>VLOOKUP($N3,'2019_B4_Rohdaten_alle'!$A$52:$R$73,11,FALSE)</f>
        <v>14781</v>
      </c>
      <c r="Q3" s="79">
        <f t="shared" ref="Q3:Q14" si="1">P3-R3</f>
        <v>13411</v>
      </c>
      <c r="R3" s="151">
        <f>VLOOKUP($A3,'2019_B4_Rohdaten_Ausländer'!$A$52:$R$73,11,FALSE)</f>
        <v>1370</v>
      </c>
    </row>
    <row r="4" spans="1:18" ht="30">
      <c r="A4" s="43" t="s">
        <v>78</v>
      </c>
      <c r="B4" s="43">
        <v>2019</v>
      </c>
      <c r="C4" s="78">
        <f>VLOOKUP($A4,'2019_B4_Rohdaten_alle'!$A$28:$AB$145,11,FALSE)</f>
        <v>3620</v>
      </c>
      <c r="D4" s="78">
        <f>VLOOKUP($A4,'2019_B4_Rohdaten_Ausländer'!$A$28:$AB$145,11,FALSE)</f>
        <v>990</v>
      </c>
      <c r="E4" s="103">
        <f t="shared" ref="E4:E66" si="2">C4-D4</f>
        <v>2630</v>
      </c>
      <c r="F4" s="91"/>
      <c r="H4" s="148" t="s">
        <v>78</v>
      </c>
      <c r="I4" s="43">
        <v>2019</v>
      </c>
      <c r="J4" s="78">
        <f>VLOOKUP(H4,'2019_B4_Rohdaten_alle'!A29:AB146,11,FALSE)</f>
        <v>3620</v>
      </c>
      <c r="K4" s="78">
        <f t="shared" si="0"/>
        <v>2630</v>
      </c>
      <c r="L4" s="151">
        <f>VLOOKUP($A4,'2019_B4_Rohdaten_Ausländer'!$A$28:$AB$145,11,FALSE)</f>
        <v>990</v>
      </c>
      <c r="N4" s="148" t="s">
        <v>78</v>
      </c>
      <c r="O4" s="43">
        <v>2019</v>
      </c>
      <c r="P4" s="78">
        <f>VLOOKUP($N4,'2019_B4_Rohdaten_alle'!$A$52:$R$73,11,FALSE)</f>
        <v>1206</v>
      </c>
      <c r="Q4" s="79">
        <f t="shared" si="1"/>
        <v>850</v>
      </c>
      <c r="R4" s="151">
        <f>VLOOKUP($A4,'2019_B4_Rohdaten_Ausländer'!$A$52:$R$73,11,FALSE)</f>
        <v>356</v>
      </c>
    </row>
    <row r="5" spans="1:18" ht="30">
      <c r="A5" s="43" t="s">
        <v>80</v>
      </c>
      <c r="B5" s="43">
        <v>2019</v>
      </c>
      <c r="C5" s="78">
        <f>VLOOKUP($A5,'2019_B4_Rohdaten_alle'!$A$28:$AB$145,11,FALSE)</f>
        <v>8460</v>
      </c>
      <c r="D5" s="78">
        <f>VLOOKUP($A5,'2019_B4_Rohdaten_Ausländer'!$A$28:$AB$145,11,FALSE)</f>
        <v>971</v>
      </c>
      <c r="E5" s="103">
        <f t="shared" si="2"/>
        <v>7489</v>
      </c>
      <c r="F5" s="91"/>
      <c r="H5" s="148" t="s">
        <v>80</v>
      </c>
      <c r="I5" s="43">
        <v>2019</v>
      </c>
      <c r="J5" s="78">
        <f>VLOOKUP(H5,'2019_B4_Rohdaten_alle'!A30:AB147,11,FALSE)</f>
        <v>8460</v>
      </c>
      <c r="K5" s="78">
        <f t="shared" si="0"/>
        <v>7489</v>
      </c>
      <c r="L5" s="151">
        <f>VLOOKUP($A5,'2019_B4_Rohdaten_Ausländer'!$A$28:$AB$145,11,FALSE)</f>
        <v>971</v>
      </c>
      <c r="N5" s="148" t="s">
        <v>80</v>
      </c>
      <c r="O5" s="43">
        <v>2019</v>
      </c>
      <c r="P5" s="78">
        <f>VLOOKUP($N5,'2019_B4_Rohdaten_alle'!$A$52:$R$73,11,FALSE)</f>
        <v>2409</v>
      </c>
      <c r="Q5" s="79">
        <f t="shared" si="1"/>
        <v>2115</v>
      </c>
      <c r="R5" s="151">
        <f>VLOOKUP($A5,'2019_B4_Rohdaten_Ausländer'!$A$52:$R$73,11,FALSE)</f>
        <v>294</v>
      </c>
    </row>
    <row r="6" spans="1:18" ht="30">
      <c r="A6" s="43" t="s">
        <v>81</v>
      </c>
      <c r="B6" s="43">
        <v>2019</v>
      </c>
      <c r="C6" s="78">
        <f>VLOOKUP($A6,'2019_B4_Rohdaten_alle'!$A$28:$AB$145,11,FALSE)</f>
        <v>18827</v>
      </c>
      <c r="D6" s="78">
        <f>VLOOKUP($A6,'2019_B4_Rohdaten_Ausländer'!$A$28:$AB$145,11,FALSE)</f>
        <v>2629</v>
      </c>
      <c r="E6" s="103">
        <f t="shared" si="2"/>
        <v>16198</v>
      </c>
      <c r="F6" s="91"/>
      <c r="H6" s="148" t="s">
        <v>81</v>
      </c>
      <c r="I6" s="43">
        <v>2019</v>
      </c>
      <c r="J6" s="78">
        <f>VLOOKUP(H6,'2019_B4_Rohdaten_alle'!A31:AB148,11,FALSE)</f>
        <v>18827</v>
      </c>
      <c r="K6" s="78">
        <f t="shared" si="0"/>
        <v>16198</v>
      </c>
      <c r="L6" s="151">
        <f>VLOOKUP($A6,'2019_B4_Rohdaten_Ausländer'!$A$28:$AB$145,11,FALSE)</f>
        <v>2629</v>
      </c>
      <c r="N6" s="148" t="s">
        <v>81</v>
      </c>
      <c r="O6" s="43">
        <v>2019</v>
      </c>
      <c r="P6" s="78">
        <f>VLOOKUP($N6,'2019_B4_Rohdaten_alle'!$A$52:$R$73,11,FALSE)</f>
        <v>1621</v>
      </c>
      <c r="Q6" s="79">
        <f t="shared" si="1"/>
        <v>1426</v>
      </c>
      <c r="R6" s="151">
        <f>VLOOKUP($A6,'2019_B4_Rohdaten_Ausländer'!$A$52:$R$73,11,FALSE)</f>
        <v>195</v>
      </c>
    </row>
    <row r="7" spans="1:18" ht="30">
      <c r="A7" s="43" t="s">
        <v>82</v>
      </c>
      <c r="B7" s="43">
        <v>2019</v>
      </c>
      <c r="C7" s="78">
        <f>VLOOKUP($A7,'2019_B4_Rohdaten_alle'!$A$28:$AB$145,11,FALSE)</f>
        <v>26948</v>
      </c>
      <c r="D7" s="78">
        <f>VLOOKUP($A7,'2019_B4_Rohdaten_Ausländer'!$A$28:$AB$145,11,FALSE)</f>
        <v>1066</v>
      </c>
      <c r="E7" s="103">
        <f t="shared" si="2"/>
        <v>25882</v>
      </c>
      <c r="F7" s="91"/>
      <c r="H7" s="148" t="s">
        <v>82</v>
      </c>
      <c r="I7" s="43">
        <v>2019</v>
      </c>
      <c r="J7" s="78">
        <f>VLOOKUP(H7,'2019_B4_Rohdaten_alle'!A32:AB149,11,FALSE)</f>
        <v>26948</v>
      </c>
      <c r="K7" s="78">
        <f t="shared" si="0"/>
        <v>25882</v>
      </c>
      <c r="L7" s="151">
        <f>VLOOKUP($A7,'2019_B4_Rohdaten_Ausländer'!$A$28:$AB$145,11,FALSE)</f>
        <v>1066</v>
      </c>
      <c r="N7" s="148" t="s">
        <v>82</v>
      </c>
      <c r="O7" s="43">
        <v>2019</v>
      </c>
      <c r="P7" s="78">
        <f>VLOOKUP($N7,'2019_B4_Rohdaten_alle'!$A$52:$R$73,11,FALSE)</f>
        <v>5426</v>
      </c>
      <c r="Q7" s="79">
        <f t="shared" si="1"/>
        <v>5167</v>
      </c>
      <c r="R7" s="151">
        <f>VLOOKUP($A7,'2019_B4_Rohdaten_Ausländer'!$A$52:$R$73,11,FALSE)</f>
        <v>259</v>
      </c>
    </row>
    <row r="8" spans="1:18" ht="45">
      <c r="A8" s="43" t="s">
        <v>83</v>
      </c>
      <c r="B8" s="43">
        <v>2019</v>
      </c>
      <c r="C8" s="78">
        <f>VLOOKUP($A8,'2019_B4_Rohdaten_alle'!$A$28:$AB$145,11,FALSE)</f>
        <v>12720</v>
      </c>
      <c r="D8" s="78">
        <f>VLOOKUP($A8,'2019_B4_Rohdaten_Ausländer'!$A$28:$AB$145,11,FALSE)</f>
        <v>1068</v>
      </c>
      <c r="E8" s="103">
        <f t="shared" si="2"/>
        <v>11652</v>
      </c>
      <c r="F8" s="91"/>
      <c r="H8" s="148" t="s">
        <v>83</v>
      </c>
      <c r="I8" s="43">
        <v>2019</v>
      </c>
      <c r="J8" s="78">
        <f>VLOOKUP(H8,'2019_B4_Rohdaten_alle'!A33:AB150,11,FALSE)</f>
        <v>12720</v>
      </c>
      <c r="K8" s="78">
        <f t="shared" si="0"/>
        <v>11652</v>
      </c>
      <c r="L8" s="151">
        <f>VLOOKUP($A8,'2019_B4_Rohdaten_Ausländer'!$A$28:$AB$145,11,FALSE)</f>
        <v>1068</v>
      </c>
      <c r="N8" s="148" t="s">
        <v>83</v>
      </c>
      <c r="O8" s="43">
        <v>2019</v>
      </c>
      <c r="P8" s="78">
        <f>VLOOKUP($N8,'2019_B4_Rohdaten_alle'!$A$52:$R$73,11,FALSE)</f>
        <v>3229</v>
      </c>
      <c r="Q8" s="79">
        <f t="shared" si="1"/>
        <v>3015</v>
      </c>
      <c r="R8" s="151">
        <f>VLOOKUP($A8,'2019_B4_Rohdaten_Ausländer'!$A$52:$R$73,11,FALSE)</f>
        <v>214</v>
      </c>
    </row>
    <row r="9" spans="1:18" ht="45">
      <c r="A9" s="43" t="s">
        <v>85</v>
      </c>
      <c r="B9" s="43">
        <v>2019</v>
      </c>
      <c r="C9" s="78">
        <f>VLOOKUP($A9,'2019_B4_Rohdaten_alle'!$A$28:$AB$145,11,FALSE)</f>
        <v>998</v>
      </c>
      <c r="D9" s="78">
        <f>VLOOKUP($A9,'2019_B4_Rohdaten_Ausländer'!$A$28:$AB$145,11,FALSE)</f>
        <v>168</v>
      </c>
      <c r="E9" s="103">
        <f t="shared" si="2"/>
        <v>830</v>
      </c>
      <c r="F9" s="91"/>
      <c r="H9" s="148" t="s">
        <v>85</v>
      </c>
      <c r="I9" s="43">
        <v>2019</v>
      </c>
      <c r="J9" s="78">
        <f>VLOOKUP(H9,'2019_B4_Rohdaten_alle'!A34:AB151,11,FALSE)</f>
        <v>998</v>
      </c>
      <c r="K9" s="78">
        <f t="shared" si="0"/>
        <v>830</v>
      </c>
      <c r="L9" s="151">
        <f>VLOOKUP($A9,'2019_B4_Rohdaten_Ausländer'!$A$28:$AB$145,11,FALSE)</f>
        <v>168</v>
      </c>
      <c r="N9" s="148" t="s">
        <v>85</v>
      </c>
      <c r="O9" s="43">
        <v>2019</v>
      </c>
      <c r="P9" s="78">
        <f>VLOOKUP($N9,'2019_B4_Rohdaten_alle'!$A$52:$R$73,11,FALSE)</f>
        <v>73</v>
      </c>
      <c r="Q9" s="79">
        <f t="shared" si="1"/>
        <v>70</v>
      </c>
      <c r="R9" s="151">
        <f>VLOOKUP($A9,'2019_B4_Rohdaten_Ausländer'!$A$52:$R$73,11,FALSE)</f>
        <v>3</v>
      </c>
    </row>
    <row r="10" spans="1:18" ht="45">
      <c r="A10" s="43" t="s">
        <v>86</v>
      </c>
      <c r="B10" s="43">
        <v>2019</v>
      </c>
      <c r="C10" s="78">
        <f>VLOOKUP($A10,'2019_B4_Rohdaten_alle'!$A$28:$AB$145,11,FALSE)</f>
        <v>2477</v>
      </c>
      <c r="D10" s="78">
        <f>VLOOKUP($A10,'2019_B4_Rohdaten_Ausländer'!$A$28:$AB$145,11,FALSE)</f>
        <v>134</v>
      </c>
      <c r="E10" s="103">
        <f t="shared" si="2"/>
        <v>2343</v>
      </c>
      <c r="F10" s="91"/>
      <c r="H10" s="148" t="s">
        <v>86</v>
      </c>
      <c r="I10" s="43">
        <v>2019</v>
      </c>
      <c r="J10" s="78">
        <f>VLOOKUP(H10,'2019_B4_Rohdaten_alle'!A35:AB152,11,FALSE)</f>
        <v>2477</v>
      </c>
      <c r="K10" s="78">
        <f t="shared" si="0"/>
        <v>2343</v>
      </c>
      <c r="L10" s="151">
        <f>VLOOKUP($A10,'2019_B4_Rohdaten_Ausländer'!$A$28:$AB$145,11,FALSE)</f>
        <v>134</v>
      </c>
      <c r="N10" s="148" t="s">
        <v>86</v>
      </c>
      <c r="O10" s="43">
        <v>2019</v>
      </c>
      <c r="P10" s="78">
        <f>VLOOKUP($N10,'2019_B4_Rohdaten_alle'!$A$52:$R$73,11,FALSE)</f>
        <v>217</v>
      </c>
      <c r="Q10" s="79">
        <f t="shared" si="1"/>
        <v>214</v>
      </c>
      <c r="R10" s="151">
        <f>VLOOKUP($A10,'2019_B4_Rohdaten_Ausländer'!$A$52:$R$73,11,FALSE)</f>
        <v>3</v>
      </c>
    </row>
    <row r="11" spans="1:18" ht="60">
      <c r="A11" s="43" t="s">
        <v>87</v>
      </c>
      <c r="B11" s="43">
        <v>2019</v>
      </c>
      <c r="C11" s="78">
        <f>VLOOKUP($A11,'2019_B4_Rohdaten_alle'!$A$28:$AB$145,11,FALSE)</f>
        <v>1788</v>
      </c>
      <c r="D11" s="78">
        <f>VLOOKUP($A11,'2019_B4_Rohdaten_Ausländer'!$A$28:$AB$145,11,FALSE)</f>
        <v>63</v>
      </c>
      <c r="E11" s="103">
        <f t="shared" si="2"/>
        <v>1725</v>
      </c>
      <c r="F11" s="91"/>
      <c r="H11" s="148" t="s">
        <v>87</v>
      </c>
      <c r="I11" s="43">
        <v>2019</v>
      </c>
      <c r="J11" s="78">
        <f>VLOOKUP(H11,'2019_B4_Rohdaten_alle'!A36:AB153,11,FALSE)</f>
        <v>1788</v>
      </c>
      <c r="K11" s="78">
        <f t="shared" si="0"/>
        <v>1725</v>
      </c>
      <c r="L11" s="151">
        <f>VLOOKUP($A11,'2019_B4_Rohdaten_Ausländer'!$A$28:$AB$145,11,FALSE)</f>
        <v>63</v>
      </c>
      <c r="N11" s="148" t="s">
        <v>87</v>
      </c>
      <c r="O11" s="43">
        <v>2019</v>
      </c>
      <c r="P11" s="78">
        <f>VLOOKUP($N11,'2019_B4_Rohdaten_alle'!$A$52:$R$73,11,FALSE)</f>
        <v>91</v>
      </c>
      <c r="Q11" s="79">
        <f t="shared" si="1"/>
        <v>90</v>
      </c>
      <c r="R11" s="151">
        <f>VLOOKUP($A11,'2019_B4_Rohdaten_Ausländer'!$A$52:$R$73,11,FALSE)</f>
        <v>1</v>
      </c>
    </row>
    <row r="12" spans="1:18" ht="75">
      <c r="A12" s="43" t="s">
        <v>88</v>
      </c>
      <c r="B12" s="43">
        <v>2019</v>
      </c>
      <c r="C12" s="78">
        <f>VLOOKUP($A12,'2019_B4_Rohdaten_alle'!$A$28:$AB$145,11,FALSE)</f>
        <v>393</v>
      </c>
      <c r="D12" s="78">
        <f>VLOOKUP($A12,'2019_B4_Rohdaten_Ausländer'!$A$28:$AB$145,11,FALSE)</f>
        <v>20</v>
      </c>
      <c r="E12" s="103">
        <f t="shared" si="2"/>
        <v>373</v>
      </c>
      <c r="F12" s="91"/>
      <c r="H12" s="148" t="s">
        <v>88</v>
      </c>
      <c r="I12" s="43">
        <v>2019</v>
      </c>
      <c r="J12" s="78">
        <f>VLOOKUP(H12,'2019_B4_Rohdaten_alle'!A37:AB154,11,FALSE)</f>
        <v>393</v>
      </c>
      <c r="K12" s="78">
        <f t="shared" si="0"/>
        <v>373</v>
      </c>
      <c r="L12" s="151">
        <f>VLOOKUP($A12,'2019_B4_Rohdaten_Ausländer'!$A$28:$AB$145,11,FALSE)</f>
        <v>20</v>
      </c>
      <c r="N12" s="148" t="s">
        <v>88</v>
      </c>
      <c r="O12" s="43">
        <v>2019</v>
      </c>
      <c r="P12" s="78">
        <f>VLOOKUP($N12,'2019_B4_Rohdaten_alle'!$A$52:$R$73,11,FALSE)</f>
        <v>80</v>
      </c>
      <c r="Q12" s="79">
        <f t="shared" si="1"/>
        <v>79</v>
      </c>
      <c r="R12" s="151">
        <f>VLOOKUP($A12,'2019_B4_Rohdaten_Ausländer'!$A$52:$R$73,11,FALSE)</f>
        <v>1</v>
      </c>
    </row>
    <row r="13" spans="1:18" ht="45">
      <c r="A13" s="43" t="s">
        <v>90</v>
      </c>
      <c r="B13" s="43">
        <v>2019</v>
      </c>
      <c r="C13" s="78">
        <f>VLOOKUP($A13,'2019_B4_Rohdaten_alle'!$A$28:$AB$145,11,FALSE)</f>
        <v>1397</v>
      </c>
      <c r="D13" s="78">
        <f>VLOOKUP($A13,'2019_B4_Rohdaten_Ausländer'!$A$28:$AB$145,11,FALSE)</f>
        <v>136</v>
      </c>
      <c r="E13" s="103">
        <f t="shared" si="2"/>
        <v>1261</v>
      </c>
      <c r="F13" s="91"/>
      <c r="H13" s="148" t="s">
        <v>90</v>
      </c>
      <c r="I13" s="43">
        <v>2019</v>
      </c>
      <c r="J13" s="78">
        <f>VLOOKUP(H13,'2019_B4_Rohdaten_alle'!A38:AB155,11,FALSE)</f>
        <v>1397</v>
      </c>
      <c r="K13" s="78">
        <f t="shared" si="0"/>
        <v>1261</v>
      </c>
      <c r="L13" s="151">
        <f>VLOOKUP($A13,'2019_B4_Rohdaten_Ausländer'!$A$28:$AB$145,11,FALSE)</f>
        <v>136</v>
      </c>
      <c r="N13" s="148" t="s">
        <v>90</v>
      </c>
      <c r="O13" s="43">
        <v>2019</v>
      </c>
      <c r="P13" s="78">
        <f>VLOOKUP($N13,'2019_B4_Rohdaten_alle'!$A$52:$R$73,11,FALSE)</f>
        <v>278</v>
      </c>
      <c r="Q13" s="79">
        <f t="shared" si="1"/>
        <v>242</v>
      </c>
      <c r="R13" s="151">
        <f>VLOOKUP($A13,'2019_B4_Rohdaten_Ausländer'!$A$52:$R$73,11,FALSE)</f>
        <v>36</v>
      </c>
    </row>
    <row r="14" spans="1:18" ht="60">
      <c r="A14" s="43" t="s">
        <v>92</v>
      </c>
      <c r="B14" s="43">
        <v>2019</v>
      </c>
      <c r="C14" s="78">
        <f>VLOOKUP($A14,'2019_B4_Rohdaten_alle'!$A$28:$AB$145,11,FALSE)</f>
        <v>991</v>
      </c>
      <c r="D14" s="78">
        <f>VLOOKUP($A14,'2019_B4_Rohdaten_Ausländer'!$A$28:$AB$145,11,FALSE)</f>
        <v>51</v>
      </c>
      <c r="E14" s="103">
        <f t="shared" si="2"/>
        <v>940</v>
      </c>
      <c r="F14" s="91"/>
      <c r="H14" s="148" t="s">
        <v>92</v>
      </c>
      <c r="I14" s="43">
        <v>2019</v>
      </c>
      <c r="J14" s="78">
        <f>VLOOKUP(H14,'2019_B4_Rohdaten_alle'!A39:AB156,11,FALSE)</f>
        <v>991</v>
      </c>
      <c r="K14" s="78">
        <f t="shared" si="0"/>
        <v>940</v>
      </c>
      <c r="L14" s="151">
        <f>VLOOKUP($A14,'2019_B4_Rohdaten_Ausländer'!$A$28:$AB$145,11,FALSE)</f>
        <v>51</v>
      </c>
      <c r="N14" s="148" t="s">
        <v>92</v>
      </c>
      <c r="O14" s="43">
        <v>2019</v>
      </c>
      <c r="P14" s="78">
        <f>VLOOKUP($N14,'2019_B4_Rohdaten_alle'!$A$52:$R$73,11,FALSE)</f>
        <v>151</v>
      </c>
      <c r="Q14" s="79">
        <f t="shared" si="1"/>
        <v>143</v>
      </c>
      <c r="R14" s="151">
        <f>VLOOKUP($A14,'2019_B4_Rohdaten_Ausländer'!$A$52:$R$73,11,FALSE)</f>
        <v>8</v>
      </c>
    </row>
    <row r="15" spans="1:18" ht="45">
      <c r="A15" s="80" t="s">
        <v>48</v>
      </c>
      <c r="B15" s="43"/>
      <c r="C15" s="78" t="s">
        <v>41</v>
      </c>
      <c r="D15" s="79" t="s">
        <v>41</v>
      </c>
      <c r="E15" s="103"/>
      <c r="F15" s="91"/>
    </row>
    <row r="16" spans="1:18" ht="30">
      <c r="A16" s="43" t="s">
        <v>40</v>
      </c>
      <c r="B16" s="43">
        <v>2019</v>
      </c>
      <c r="C16" s="78">
        <f>VLOOKUP($A16,'2019_B4_Rohdaten_alle'!$A$52:$R$73,11,FALSE)</f>
        <v>14781</v>
      </c>
      <c r="D16" s="79">
        <f>VLOOKUP($A16,'2019_B4_Rohdaten_Ausländer'!$A$52:$R$73,11,FALSE)</f>
        <v>1370</v>
      </c>
      <c r="E16" s="103">
        <f t="shared" si="2"/>
        <v>13411</v>
      </c>
      <c r="F16" s="91"/>
      <c r="H16" s="80" t="s">
        <v>49</v>
      </c>
      <c r="N16" s="80" t="s">
        <v>50</v>
      </c>
    </row>
    <row r="17" spans="1:18" ht="30">
      <c r="A17" s="43" t="s">
        <v>78</v>
      </c>
      <c r="B17" s="43">
        <v>2019</v>
      </c>
      <c r="C17" s="78">
        <f>VLOOKUP($A17,'2019_B4_Rohdaten_alle'!$A$52:$R$73,11,FALSE)</f>
        <v>1206</v>
      </c>
      <c r="D17" s="79">
        <f>VLOOKUP($A17,'2019_B4_Rohdaten_Ausländer'!$A$52:$R$73,11,FALSE)</f>
        <v>356</v>
      </c>
      <c r="E17" s="103">
        <f t="shared" si="2"/>
        <v>850</v>
      </c>
      <c r="F17" s="91"/>
      <c r="H17" s="105" t="s">
        <v>111</v>
      </c>
      <c r="I17" s="105" t="s">
        <v>3</v>
      </c>
      <c r="J17" s="106" t="s">
        <v>124</v>
      </c>
      <c r="K17" s="106" t="s">
        <v>11</v>
      </c>
      <c r="L17" s="150" t="s">
        <v>12</v>
      </c>
      <c r="N17" s="105" t="s">
        <v>111</v>
      </c>
      <c r="O17" s="105" t="s">
        <v>3</v>
      </c>
      <c r="P17" s="106" t="s">
        <v>124</v>
      </c>
      <c r="Q17" s="106" t="s">
        <v>11</v>
      </c>
      <c r="R17" s="150" t="s">
        <v>12</v>
      </c>
    </row>
    <row r="18" spans="1:18" ht="30">
      <c r="A18" s="43" t="s">
        <v>80</v>
      </c>
      <c r="B18" s="43">
        <v>2019</v>
      </c>
      <c r="C18" s="78">
        <f>VLOOKUP($A18,'2019_B4_Rohdaten_alle'!$A$52:$R$73,11,FALSE)</f>
        <v>2409</v>
      </c>
      <c r="D18" s="79">
        <f>VLOOKUP($A18,'2019_B4_Rohdaten_Ausländer'!$A$52:$R$73,11,FALSE)</f>
        <v>294</v>
      </c>
      <c r="E18" s="103">
        <f t="shared" si="2"/>
        <v>2115</v>
      </c>
      <c r="F18" s="91"/>
      <c r="H18" s="148" t="s">
        <v>40</v>
      </c>
      <c r="I18" s="43">
        <v>2019</v>
      </c>
      <c r="J18" s="78">
        <f>VLOOKUP($H18,'2019_B4_Rohdaten_alle'!$A$76:$R$97,11,FALSE)</f>
        <v>20490</v>
      </c>
      <c r="K18" s="79">
        <f t="shared" ref="K18:K29" si="3">J18-L18</f>
        <v>18225</v>
      </c>
      <c r="L18" s="151">
        <f>VLOOKUP($H18,'2019_B4_Rohdaten_Ausländer'!$A$76:$R$97,11,FALSE)</f>
        <v>2265</v>
      </c>
      <c r="N18" s="148" t="s">
        <v>40</v>
      </c>
      <c r="O18" s="43">
        <v>2019</v>
      </c>
      <c r="P18" s="78">
        <f>VLOOKUP($N18,'2019_B4_Rohdaten_alle'!$A$100:$R$121,11,FALSE)</f>
        <v>17441</v>
      </c>
      <c r="Q18" s="79">
        <f t="shared" ref="Q18:Q29" si="4">P18-R18</f>
        <v>16195</v>
      </c>
      <c r="R18" s="151">
        <f>VLOOKUP($N18,'2019_B4_Rohdaten_Ausländer'!$A$100:$R$121,11,FALSE)</f>
        <v>1246</v>
      </c>
    </row>
    <row r="19" spans="1:18" ht="30">
      <c r="A19" s="43" t="s">
        <v>81</v>
      </c>
      <c r="B19" s="43">
        <v>2019</v>
      </c>
      <c r="C19" s="78">
        <f>VLOOKUP($A19,'2019_B4_Rohdaten_alle'!$A$52:$R$73,11,FALSE)</f>
        <v>1621</v>
      </c>
      <c r="D19" s="79">
        <f>VLOOKUP($A19,'2019_B4_Rohdaten_Ausländer'!$A$52:$R$73,11,FALSE)</f>
        <v>195</v>
      </c>
      <c r="E19" s="103">
        <f t="shared" si="2"/>
        <v>1426</v>
      </c>
      <c r="F19" s="91"/>
      <c r="H19" s="148" t="s">
        <v>78</v>
      </c>
      <c r="I19" s="43">
        <v>2019</v>
      </c>
      <c r="J19" s="78">
        <f>VLOOKUP($H19,'2019_B4_Rohdaten_alle'!$A$76:$R$97,11,FALSE)</f>
        <v>607</v>
      </c>
      <c r="K19" s="79">
        <f t="shared" si="3"/>
        <v>392</v>
      </c>
      <c r="L19" s="151">
        <f>VLOOKUP($H19,'2019_B4_Rohdaten_Ausländer'!$A$76:$R$97,11,FALSE)</f>
        <v>215</v>
      </c>
      <c r="N19" s="148" t="s">
        <v>78</v>
      </c>
      <c r="O19" s="43">
        <v>2019</v>
      </c>
      <c r="P19" s="78">
        <f>VLOOKUP($N19,'2019_B4_Rohdaten_alle'!$A$100:$R$121,11,FALSE)</f>
        <v>671</v>
      </c>
      <c r="Q19" s="79">
        <f t="shared" si="4"/>
        <v>540</v>
      </c>
      <c r="R19" s="151">
        <f>VLOOKUP($N19,'2019_B4_Rohdaten_Ausländer'!$A$100:$R$121,11,FALSE)</f>
        <v>131</v>
      </c>
    </row>
    <row r="20" spans="1:18" ht="30">
      <c r="A20" s="43" t="s">
        <v>82</v>
      </c>
      <c r="B20" s="43">
        <v>2019</v>
      </c>
      <c r="C20" s="78">
        <f>VLOOKUP($A20,'2019_B4_Rohdaten_alle'!$A$52:$R$73,11,FALSE)</f>
        <v>5426</v>
      </c>
      <c r="D20" s="79">
        <f>VLOOKUP($A20,'2019_B4_Rohdaten_Ausländer'!$A$52:$R$73,11,FALSE)</f>
        <v>259</v>
      </c>
      <c r="E20" s="103">
        <f t="shared" si="2"/>
        <v>5167</v>
      </c>
      <c r="F20" s="91"/>
      <c r="H20" s="148" t="s">
        <v>80</v>
      </c>
      <c r="I20" s="43">
        <v>2019</v>
      </c>
      <c r="J20" s="78">
        <f>VLOOKUP($H20,'2019_B4_Rohdaten_alle'!$A$76:$R$97,11,FALSE)</f>
        <v>2025</v>
      </c>
      <c r="K20" s="79">
        <f t="shared" si="3"/>
        <v>1708</v>
      </c>
      <c r="L20" s="151">
        <f>VLOOKUP($H20,'2019_B4_Rohdaten_Ausländer'!$A$76:$R$97,11,FALSE)</f>
        <v>317</v>
      </c>
      <c r="N20" s="148" t="s">
        <v>80</v>
      </c>
      <c r="O20" s="43">
        <v>2019</v>
      </c>
      <c r="P20" s="78">
        <f>VLOOKUP($N20,'2019_B4_Rohdaten_alle'!$A$100:$R$121,11,FALSE)</f>
        <v>1473</v>
      </c>
      <c r="Q20" s="79">
        <f t="shared" si="4"/>
        <v>1341</v>
      </c>
      <c r="R20" s="151">
        <f>VLOOKUP($N20,'2019_B4_Rohdaten_Ausländer'!$A$100:$R$121,11,FALSE)</f>
        <v>132</v>
      </c>
    </row>
    <row r="21" spans="1:18" ht="45">
      <c r="A21" s="43" t="s">
        <v>83</v>
      </c>
      <c r="B21" s="43">
        <v>2019</v>
      </c>
      <c r="C21" s="78">
        <f>VLOOKUP($A21,'2019_B4_Rohdaten_alle'!$A$52:$R$73,11,FALSE)</f>
        <v>3229</v>
      </c>
      <c r="D21" s="79">
        <f>VLOOKUP($A21,'2019_B4_Rohdaten_Ausländer'!$A$52:$R$73,11,FALSE)</f>
        <v>214</v>
      </c>
      <c r="E21" s="103">
        <f t="shared" si="2"/>
        <v>3015</v>
      </c>
      <c r="F21" s="91"/>
      <c r="H21" s="148" t="s">
        <v>81</v>
      </c>
      <c r="I21" s="43">
        <v>2019</v>
      </c>
      <c r="J21" s="78">
        <f>VLOOKUP($H21,'2019_B4_Rohdaten_alle'!$A$76:$R$97,11,FALSE)</f>
        <v>2967</v>
      </c>
      <c r="K21" s="79">
        <f t="shared" si="3"/>
        <v>2379</v>
      </c>
      <c r="L21" s="151">
        <f>VLOOKUP($H21,'2019_B4_Rohdaten_Ausländer'!$A$76:$R$97,11,FALSE)</f>
        <v>588</v>
      </c>
      <c r="N21" s="148" t="s">
        <v>81</v>
      </c>
      <c r="O21" s="43">
        <v>2019</v>
      </c>
      <c r="P21" s="78">
        <f>VLOOKUP($N21,'2019_B4_Rohdaten_alle'!$A$100:$R$121,11,FALSE)</f>
        <v>5429</v>
      </c>
      <c r="Q21" s="79">
        <f t="shared" si="4"/>
        <v>4863</v>
      </c>
      <c r="R21" s="151">
        <f>VLOOKUP($N21,'2019_B4_Rohdaten_Ausländer'!$A$100:$R$121,11,FALSE)</f>
        <v>566</v>
      </c>
    </row>
    <row r="22" spans="1:18" ht="45">
      <c r="A22" s="43" t="s">
        <v>85</v>
      </c>
      <c r="B22" s="43">
        <v>2019</v>
      </c>
      <c r="C22" s="78">
        <f>VLOOKUP($A22,'2019_B4_Rohdaten_alle'!$A$52:$R$73,11,FALSE)</f>
        <v>73</v>
      </c>
      <c r="D22" s="79">
        <f>VLOOKUP($A22,'2019_B4_Rohdaten_Ausländer'!$A$52:$R$73,11,FALSE)</f>
        <v>3</v>
      </c>
      <c r="E22" s="103">
        <f t="shared" si="2"/>
        <v>70</v>
      </c>
      <c r="F22" s="91"/>
      <c r="H22" s="148" t="s">
        <v>82</v>
      </c>
      <c r="I22" s="43">
        <v>2019</v>
      </c>
      <c r="J22" s="78">
        <f>VLOOKUP($H22,'2019_B4_Rohdaten_alle'!$A$76:$R$97,11,FALSE)</f>
        <v>7386</v>
      </c>
      <c r="K22" s="79">
        <f t="shared" si="3"/>
        <v>7030</v>
      </c>
      <c r="L22" s="151">
        <f>VLOOKUP($H22,'2019_B4_Rohdaten_Ausländer'!$A$76:$R$97,11,FALSE)</f>
        <v>356</v>
      </c>
      <c r="N22" s="148" t="s">
        <v>82</v>
      </c>
      <c r="O22" s="43">
        <v>2019</v>
      </c>
      <c r="P22" s="78">
        <f>VLOOKUP($N22,'2019_B4_Rohdaten_alle'!$A$100:$R$121,11,FALSE)</f>
        <v>5934</v>
      </c>
      <c r="Q22" s="79">
        <f t="shared" si="4"/>
        <v>5766</v>
      </c>
      <c r="R22" s="151">
        <f>VLOOKUP($N22,'2019_B4_Rohdaten_Ausländer'!$A$100:$R$121,11,FALSE)</f>
        <v>168</v>
      </c>
    </row>
    <row r="23" spans="1:18" ht="45">
      <c r="A23" s="43" t="s">
        <v>86</v>
      </c>
      <c r="B23" s="43">
        <v>2019</v>
      </c>
      <c r="C23" s="78">
        <f>VLOOKUP($A23,'2019_B4_Rohdaten_alle'!$A$52:$R$73,11,FALSE)</f>
        <v>217</v>
      </c>
      <c r="D23" s="79">
        <f>VLOOKUP($A23,'2019_B4_Rohdaten_Ausländer'!$A$52:$R$73,11,FALSE)</f>
        <v>3</v>
      </c>
      <c r="E23" s="103">
        <f t="shared" si="2"/>
        <v>214</v>
      </c>
      <c r="F23" s="91"/>
      <c r="H23" s="148" t="s">
        <v>83</v>
      </c>
      <c r="I23" s="43">
        <v>2019</v>
      </c>
      <c r="J23" s="78">
        <f>VLOOKUP($H23,'2019_B4_Rohdaten_alle'!$A$76:$R$97,11,FALSE)</f>
        <v>4499</v>
      </c>
      <c r="K23" s="79">
        <f t="shared" si="3"/>
        <v>3963</v>
      </c>
      <c r="L23" s="151">
        <f>VLOOKUP($H23,'2019_B4_Rohdaten_Ausländer'!$A$76:$R$97,11,FALSE)</f>
        <v>536</v>
      </c>
      <c r="N23" s="148" t="s">
        <v>83</v>
      </c>
      <c r="O23" s="43">
        <v>2019</v>
      </c>
      <c r="P23" s="78">
        <f>VLOOKUP($N23,'2019_B4_Rohdaten_alle'!$A$100:$R$121,11,FALSE)</f>
        <v>1989</v>
      </c>
      <c r="Q23" s="79">
        <f t="shared" si="4"/>
        <v>1860</v>
      </c>
      <c r="R23" s="151">
        <f>VLOOKUP($N23,'2019_B4_Rohdaten_Ausländer'!$A$100:$R$121,11,FALSE)</f>
        <v>129</v>
      </c>
    </row>
    <row r="24" spans="1:18" ht="60">
      <c r="A24" s="43" t="s">
        <v>87</v>
      </c>
      <c r="B24" s="43">
        <v>2019</v>
      </c>
      <c r="C24" s="78">
        <f>VLOOKUP($A24,'2019_B4_Rohdaten_alle'!$A$52:$R$73,11,FALSE)</f>
        <v>91</v>
      </c>
      <c r="D24" s="79">
        <f>VLOOKUP($A24,'2019_B4_Rohdaten_Ausländer'!$A$52:$R$73,11,FALSE)</f>
        <v>1</v>
      </c>
      <c r="E24" s="103">
        <f t="shared" si="2"/>
        <v>90</v>
      </c>
      <c r="F24" s="91"/>
      <c r="H24" s="148" t="s">
        <v>85</v>
      </c>
      <c r="I24" s="43">
        <v>2019</v>
      </c>
      <c r="J24" s="78">
        <f>VLOOKUP($H24,'2019_B4_Rohdaten_alle'!$A$76:$R$97,11,FALSE)</f>
        <v>419</v>
      </c>
      <c r="K24" s="79">
        <f t="shared" si="3"/>
        <v>326</v>
      </c>
      <c r="L24" s="151">
        <f>VLOOKUP($H24,'2019_B4_Rohdaten_Ausländer'!$A$76:$R$97,11,FALSE)</f>
        <v>93</v>
      </c>
      <c r="N24" s="148" t="s">
        <v>85</v>
      </c>
      <c r="O24" s="43">
        <v>2019</v>
      </c>
      <c r="P24" s="78">
        <f>VLOOKUP($N24,'2019_B4_Rohdaten_alle'!$A$100:$R$121,11,FALSE)</f>
        <v>293</v>
      </c>
      <c r="Q24" s="79">
        <f t="shared" si="4"/>
        <v>248</v>
      </c>
      <c r="R24" s="151">
        <f>VLOOKUP($N24,'2019_B4_Rohdaten_Ausländer'!$A$100:$R$121,11,FALSE)</f>
        <v>45</v>
      </c>
    </row>
    <row r="25" spans="1:18" ht="75">
      <c r="A25" s="43" t="s">
        <v>88</v>
      </c>
      <c r="B25" s="43">
        <v>2019</v>
      </c>
      <c r="C25" s="78">
        <f>VLOOKUP($A25,'2019_B4_Rohdaten_alle'!$A$52:$R$73,11,FALSE)</f>
        <v>80</v>
      </c>
      <c r="D25" s="79">
        <f>VLOOKUP($A25,'2019_B4_Rohdaten_Ausländer'!$A$52:$R$73,11,FALSE)</f>
        <v>1</v>
      </c>
      <c r="E25" s="103">
        <f t="shared" si="2"/>
        <v>79</v>
      </c>
      <c r="F25" s="91"/>
      <c r="H25" s="148" t="s">
        <v>86</v>
      </c>
      <c r="I25" s="43">
        <v>2019</v>
      </c>
      <c r="J25" s="78">
        <f>VLOOKUP($H25,'2019_B4_Rohdaten_alle'!$A$76:$R$97,11,FALSE)</f>
        <v>1078</v>
      </c>
      <c r="K25" s="79">
        <f t="shared" si="3"/>
        <v>995</v>
      </c>
      <c r="L25" s="151">
        <f>VLOOKUP($H25,'2019_B4_Rohdaten_Ausländer'!$A$76:$R$97,11,FALSE)</f>
        <v>83</v>
      </c>
      <c r="N25" s="148" t="s">
        <v>86</v>
      </c>
      <c r="O25" s="43">
        <v>2019</v>
      </c>
      <c r="P25" s="78">
        <f>VLOOKUP($N25,'2019_B4_Rohdaten_alle'!$A$100:$R$121,11,FALSE)</f>
        <v>695</v>
      </c>
      <c r="Q25" s="79">
        <f t="shared" si="4"/>
        <v>668</v>
      </c>
      <c r="R25" s="151">
        <f>VLOOKUP($N25,'2019_B4_Rohdaten_Ausländer'!$A$100:$R$121,11,FALSE)</f>
        <v>27</v>
      </c>
    </row>
    <row r="26" spans="1:18" ht="45">
      <c r="A26" s="43" t="s">
        <v>90</v>
      </c>
      <c r="B26" s="43">
        <v>2019</v>
      </c>
      <c r="C26" s="78">
        <f>VLOOKUP($A26,'2019_B4_Rohdaten_alle'!$A$52:$R$73,11,FALSE)</f>
        <v>278</v>
      </c>
      <c r="D26" s="79">
        <f>VLOOKUP($A26,'2019_B4_Rohdaten_Ausländer'!$A$52:$R$73,11,FALSE)</f>
        <v>36</v>
      </c>
      <c r="E26" s="103">
        <f t="shared" si="2"/>
        <v>242</v>
      </c>
      <c r="F26" s="91"/>
      <c r="H26" s="148" t="s">
        <v>87</v>
      </c>
      <c r="I26" s="43">
        <v>2019</v>
      </c>
      <c r="J26" s="78">
        <f>VLOOKUP($H26,'2019_B4_Rohdaten_alle'!$A$76:$R$97,11,FALSE)</f>
        <v>843</v>
      </c>
      <c r="K26" s="79">
        <f t="shared" si="3"/>
        <v>810</v>
      </c>
      <c r="L26" s="151">
        <f>VLOOKUP($H26,'2019_B4_Rohdaten_Ausländer'!$A$76:$R$97,11,FALSE)</f>
        <v>33</v>
      </c>
      <c r="N26" s="148" t="s">
        <v>87</v>
      </c>
      <c r="O26" s="43">
        <v>2019</v>
      </c>
      <c r="P26" s="78">
        <f>VLOOKUP($N26,'2019_B4_Rohdaten_alle'!$A$100:$R$121,11,FALSE)</f>
        <v>550</v>
      </c>
      <c r="Q26" s="79">
        <f t="shared" si="4"/>
        <v>532</v>
      </c>
      <c r="R26" s="151">
        <f>VLOOKUP($N26,'2019_B4_Rohdaten_Ausländer'!$A$100:$R$121,11,FALSE)</f>
        <v>18</v>
      </c>
    </row>
    <row r="27" spans="1:18" ht="75">
      <c r="A27" s="43" t="s">
        <v>92</v>
      </c>
      <c r="B27" s="43">
        <v>2019</v>
      </c>
      <c r="C27" s="78">
        <f>VLOOKUP($A27,'2019_B4_Rohdaten_alle'!$A$52:$R$73,11,FALSE)</f>
        <v>151</v>
      </c>
      <c r="D27" s="79">
        <f>VLOOKUP($A27,'2019_B4_Rohdaten_Ausländer'!$A$52:$R$73,11,FALSE)</f>
        <v>8</v>
      </c>
      <c r="E27" s="103">
        <f t="shared" si="2"/>
        <v>143</v>
      </c>
      <c r="F27" s="91"/>
      <c r="H27" s="148" t="s">
        <v>88</v>
      </c>
      <c r="I27" s="43">
        <v>2019</v>
      </c>
      <c r="J27" s="78">
        <f>VLOOKUP($H27,'2019_B4_Rohdaten_alle'!$A$76:$R$97,11,FALSE)</f>
        <v>118</v>
      </c>
      <c r="K27" s="79">
        <f t="shared" si="3"/>
        <v>110</v>
      </c>
      <c r="L27" s="151">
        <f>VLOOKUP($H27,'2019_B4_Rohdaten_Ausländer'!$A$76:$R$97,11,FALSE)</f>
        <v>8</v>
      </c>
      <c r="N27" s="148" t="s">
        <v>88</v>
      </c>
      <c r="O27" s="43">
        <v>2019</v>
      </c>
      <c r="P27" s="78">
        <f>VLOOKUP($N27,'2019_B4_Rohdaten_alle'!$A$100:$R$121,11,FALSE)</f>
        <v>53</v>
      </c>
      <c r="Q27" s="79">
        <f t="shared" si="4"/>
        <v>52</v>
      </c>
      <c r="R27" s="151">
        <f>VLOOKUP($N27,'2019_B4_Rohdaten_Ausländer'!$A$100:$R$121,11,FALSE)</f>
        <v>1</v>
      </c>
    </row>
    <row r="28" spans="1:18" ht="30">
      <c r="A28" s="80" t="s">
        <v>49</v>
      </c>
      <c r="B28" s="43"/>
      <c r="C28" s="78" t="s">
        <v>41</v>
      </c>
      <c r="D28" s="79" t="s">
        <v>41</v>
      </c>
      <c r="E28" s="103"/>
      <c r="F28" s="91"/>
      <c r="H28" s="148" t="s">
        <v>90</v>
      </c>
      <c r="I28" s="43">
        <v>2019</v>
      </c>
      <c r="J28" s="78">
        <f>VLOOKUP($H28,'2019_B4_Rohdaten_alle'!$A$76:$R$97,11,FALSE)</f>
        <v>234</v>
      </c>
      <c r="K28" s="79">
        <f t="shared" si="3"/>
        <v>220</v>
      </c>
      <c r="L28" s="151">
        <f>VLOOKUP($H28,'2019_B4_Rohdaten_Ausländer'!$A$76:$R$97,11,FALSE)</f>
        <v>14</v>
      </c>
      <c r="N28" s="148" t="s">
        <v>90</v>
      </c>
      <c r="O28" s="43">
        <v>2019</v>
      </c>
      <c r="P28" s="78">
        <f>VLOOKUP($N28,'2019_B4_Rohdaten_alle'!$A$100:$R$121,11,FALSE)</f>
        <v>251</v>
      </c>
      <c r="Q28" s="79">
        <f t="shared" si="4"/>
        <v>228</v>
      </c>
      <c r="R28" s="151">
        <f>VLOOKUP($N28,'2019_B4_Rohdaten_Ausländer'!$A$100:$R$121,11,FALSE)</f>
        <v>23</v>
      </c>
    </row>
    <row r="29" spans="1:18" ht="60">
      <c r="A29" s="43" t="s">
        <v>40</v>
      </c>
      <c r="B29" s="43">
        <v>2019</v>
      </c>
      <c r="C29" s="78">
        <f>VLOOKUP($A29,'2019_B4_Rohdaten_alle'!$A$76:$R$97,11,FALSE)</f>
        <v>20490</v>
      </c>
      <c r="D29" s="79">
        <f>VLOOKUP($A29,'2019_B4_Rohdaten_Ausländer'!$A$76:$R$97,11,FALSE)</f>
        <v>2265</v>
      </c>
      <c r="E29" s="103">
        <f t="shared" si="2"/>
        <v>18225</v>
      </c>
      <c r="F29" s="91"/>
      <c r="H29" s="148" t="s">
        <v>92</v>
      </c>
      <c r="I29" s="43">
        <v>2019</v>
      </c>
      <c r="J29" s="78">
        <f>VLOOKUP($H29,'2019_B4_Rohdaten_alle'!$A$76:$R$97,11,FALSE)</f>
        <v>314</v>
      </c>
      <c r="K29" s="79">
        <f t="shared" si="3"/>
        <v>292</v>
      </c>
      <c r="L29" s="151">
        <f>VLOOKUP($H29,'2019_B4_Rohdaten_Ausländer'!$A$76:$R$97,11,FALSE)</f>
        <v>22</v>
      </c>
      <c r="N29" s="148" t="s">
        <v>92</v>
      </c>
      <c r="O29" s="43">
        <v>2019</v>
      </c>
      <c r="P29" s="78">
        <f>VLOOKUP($N29,'2019_B4_Rohdaten_alle'!$A$100:$R$121,11,FALSE)</f>
        <v>103</v>
      </c>
      <c r="Q29" s="79">
        <f t="shared" si="4"/>
        <v>97</v>
      </c>
      <c r="R29" s="151">
        <f>VLOOKUP($N29,'2019_B4_Rohdaten_Ausländer'!$A$100:$R$121,11,FALSE)</f>
        <v>6</v>
      </c>
    </row>
    <row r="30" spans="1:18" ht="30">
      <c r="A30" s="43" t="s">
        <v>78</v>
      </c>
      <c r="B30" s="43">
        <v>2019</v>
      </c>
      <c r="C30" s="78">
        <f>VLOOKUP($A30,'2019_B4_Rohdaten_alle'!$A$76:$R$97,11,FALSE)</f>
        <v>607</v>
      </c>
      <c r="D30" s="79">
        <f>VLOOKUP($A30,'2019_B4_Rohdaten_Ausländer'!$A$76:$R$97,11,FALSE)</f>
        <v>215</v>
      </c>
      <c r="E30" s="103">
        <f t="shared" si="2"/>
        <v>392</v>
      </c>
      <c r="F30" s="91"/>
    </row>
    <row r="31" spans="1:18" ht="30">
      <c r="A31" s="43" t="s">
        <v>80</v>
      </c>
      <c r="B31" s="43">
        <v>2019</v>
      </c>
      <c r="C31" s="78">
        <f>VLOOKUP($A31,'2019_B4_Rohdaten_alle'!$A$76:$R$97,11,FALSE)</f>
        <v>2025</v>
      </c>
      <c r="D31" s="79">
        <f>VLOOKUP($A31,'2019_B4_Rohdaten_Ausländer'!$A$76:$R$97,11,FALSE)</f>
        <v>317</v>
      </c>
      <c r="E31" s="103">
        <f t="shared" si="2"/>
        <v>1708</v>
      </c>
      <c r="F31" s="91"/>
      <c r="N31" s="80" t="s">
        <v>51</v>
      </c>
    </row>
    <row r="32" spans="1:18" ht="30">
      <c r="A32" s="43" t="s">
        <v>81</v>
      </c>
      <c r="B32" s="43">
        <v>2019</v>
      </c>
      <c r="C32" s="78">
        <f>VLOOKUP($A32,'2019_B4_Rohdaten_alle'!$A$76:$R$97,11,FALSE)</f>
        <v>2967</v>
      </c>
      <c r="D32" s="79">
        <f>VLOOKUP($A32,'2019_B4_Rohdaten_Ausländer'!$A$76:$R$97,11,FALSE)</f>
        <v>588</v>
      </c>
      <c r="E32" s="103">
        <f t="shared" si="2"/>
        <v>2379</v>
      </c>
      <c r="F32" s="91"/>
      <c r="N32" s="105" t="s">
        <v>111</v>
      </c>
      <c r="O32" s="105" t="s">
        <v>3</v>
      </c>
      <c r="P32" s="106" t="s">
        <v>124</v>
      </c>
      <c r="Q32" s="106" t="s">
        <v>11</v>
      </c>
      <c r="R32" s="150" t="s">
        <v>12</v>
      </c>
    </row>
    <row r="33" spans="1:18" ht="30">
      <c r="A33" s="43" t="s">
        <v>82</v>
      </c>
      <c r="B33" s="43">
        <v>2019</v>
      </c>
      <c r="C33" s="78">
        <f>VLOOKUP($A33,'2019_B4_Rohdaten_alle'!$A$76:$R$97,11,FALSE)</f>
        <v>7386</v>
      </c>
      <c r="D33" s="79">
        <f>VLOOKUP($A33,'2019_B4_Rohdaten_Ausländer'!$A$76:$R$97,11,FALSE)</f>
        <v>356</v>
      </c>
      <c r="E33" s="103">
        <f t="shared" si="2"/>
        <v>7030</v>
      </c>
      <c r="F33" s="91"/>
      <c r="N33" s="148" t="s">
        <v>40</v>
      </c>
      <c r="O33" s="43">
        <v>2019</v>
      </c>
      <c r="P33" s="78">
        <f>VLOOKUP($N33,'2019_B4_Rohdaten_alle'!$A$124:$R$145,11,FALSE)</f>
        <v>25907</v>
      </c>
      <c r="Q33" s="79">
        <f t="shared" ref="Q33:Q44" si="5">P33-R33</f>
        <v>23492</v>
      </c>
      <c r="R33" s="151">
        <f>VLOOKUP($N33,'2019_B4_Rohdaten_Ausländer'!$A$124:$R$145,11,FALSE)</f>
        <v>2415</v>
      </c>
    </row>
    <row r="34" spans="1:18" ht="45">
      <c r="A34" s="43" t="s">
        <v>83</v>
      </c>
      <c r="B34" s="43">
        <v>2019</v>
      </c>
      <c r="C34" s="78">
        <f>VLOOKUP($A34,'2019_B4_Rohdaten_alle'!$A$76:$R$97,11,FALSE)</f>
        <v>4499</v>
      </c>
      <c r="D34" s="79">
        <f>VLOOKUP($A34,'2019_B4_Rohdaten_Ausländer'!$A$76:$R$97,11,FALSE)</f>
        <v>536</v>
      </c>
      <c r="E34" s="103">
        <f t="shared" si="2"/>
        <v>3963</v>
      </c>
      <c r="F34" s="91"/>
      <c r="N34" s="148" t="s">
        <v>78</v>
      </c>
      <c r="O34" s="43">
        <v>2019</v>
      </c>
      <c r="P34" s="78">
        <f>VLOOKUP($N34,'2019_B4_Rohdaten_alle'!$A$124:$R$145,11,FALSE)</f>
        <v>1136</v>
      </c>
      <c r="Q34" s="79">
        <f t="shared" si="5"/>
        <v>848</v>
      </c>
      <c r="R34" s="151">
        <f>VLOOKUP($N34,'2019_B4_Rohdaten_Ausländer'!$A$124:$R$145,11,FALSE)</f>
        <v>288</v>
      </c>
    </row>
    <row r="35" spans="1:18" ht="45">
      <c r="A35" s="43" t="s">
        <v>85</v>
      </c>
      <c r="B35" s="43">
        <v>2019</v>
      </c>
      <c r="C35" s="78">
        <f>VLOOKUP($A35,'2019_B4_Rohdaten_alle'!$A$76:$R$97,11,FALSE)</f>
        <v>419</v>
      </c>
      <c r="D35" s="79">
        <f>VLOOKUP($A35,'2019_B4_Rohdaten_Ausländer'!$A$76:$R$97,11,FALSE)</f>
        <v>93</v>
      </c>
      <c r="E35" s="103">
        <f t="shared" si="2"/>
        <v>326</v>
      </c>
      <c r="F35" s="91"/>
      <c r="N35" s="148" t="s">
        <v>80</v>
      </c>
      <c r="O35" s="43">
        <v>2019</v>
      </c>
      <c r="P35" s="78">
        <f>VLOOKUP($N35,'2019_B4_Rohdaten_alle'!$A$124:$R$145,11,FALSE)</f>
        <v>2553</v>
      </c>
      <c r="Q35" s="79">
        <f t="shared" si="5"/>
        <v>2325</v>
      </c>
      <c r="R35" s="151">
        <f>VLOOKUP($N35,'2019_B4_Rohdaten_Ausländer'!$A$124:$R$145,11,FALSE)</f>
        <v>228</v>
      </c>
    </row>
    <row r="36" spans="1:18" ht="45">
      <c r="A36" s="43" t="s">
        <v>86</v>
      </c>
      <c r="B36" s="43">
        <v>2019</v>
      </c>
      <c r="C36" s="78">
        <f>VLOOKUP($A36,'2019_B4_Rohdaten_alle'!$A$76:$R$97,11,FALSE)</f>
        <v>1078</v>
      </c>
      <c r="D36" s="79">
        <f>VLOOKUP($A36,'2019_B4_Rohdaten_Ausländer'!$A$76:$R$97,11,FALSE)</f>
        <v>83</v>
      </c>
      <c r="E36" s="103">
        <f t="shared" si="2"/>
        <v>995</v>
      </c>
      <c r="F36" s="91"/>
      <c r="N36" s="148" t="s">
        <v>81</v>
      </c>
      <c r="O36" s="43">
        <v>2019</v>
      </c>
      <c r="P36" s="78">
        <f>VLOOKUP($N36,'2019_B4_Rohdaten_alle'!$A$124:$R$145,11,FALSE)</f>
        <v>8810</v>
      </c>
      <c r="Q36" s="79">
        <f t="shared" si="5"/>
        <v>7530</v>
      </c>
      <c r="R36" s="151">
        <f>VLOOKUP($N36,'2019_B4_Rohdaten_Ausländer'!$A$124:$R$145,11,FALSE)</f>
        <v>1280</v>
      </c>
    </row>
    <row r="37" spans="1:18" ht="60">
      <c r="A37" s="43" t="s">
        <v>87</v>
      </c>
      <c r="B37" s="43">
        <v>2019</v>
      </c>
      <c r="C37" s="78">
        <f>VLOOKUP($A37,'2019_B4_Rohdaten_alle'!$A$76:$R$97,11,FALSE)</f>
        <v>843</v>
      </c>
      <c r="D37" s="79">
        <f>VLOOKUP($A37,'2019_B4_Rohdaten_Ausländer'!$A$76:$R$97,11,FALSE)</f>
        <v>33</v>
      </c>
      <c r="E37" s="103">
        <f t="shared" si="2"/>
        <v>810</v>
      </c>
      <c r="F37" s="91"/>
      <c r="N37" s="148" t="s">
        <v>82</v>
      </c>
      <c r="O37" s="43">
        <v>2019</v>
      </c>
      <c r="P37" s="78">
        <f>VLOOKUP($N37,'2019_B4_Rohdaten_alle'!$A$124:$R$145,11,FALSE)</f>
        <v>8202</v>
      </c>
      <c r="Q37" s="79">
        <f t="shared" si="5"/>
        <v>7919</v>
      </c>
      <c r="R37" s="151">
        <f>VLOOKUP($N37,'2019_B4_Rohdaten_Ausländer'!$A$124:$R$145,11,FALSE)</f>
        <v>283</v>
      </c>
    </row>
    <row r="38" spans="1:18" ht="75">
      <c r="A38" s="43" t="s">
        <v>88</v>
      </c>
      <c r="B38" s="43">
        <v>2019</v>
      </c>
      <c r="C38" s="78">
        <f>VLOOKUP($A38,'2019_B4_Rohdaten_alle'!$A$76:$R$97,11,FALSE)</f>
        <v>118</v>
      </c>
      <c r="D38" s="79">
        <f>VLOOKUP($A38,'2019_B4_Rohdaten_Ausländer'!$A$76:$R$97,11,FALSE)</f>
        <v>8</v>
      </c>
      <c r="E38" s="103">
        <f t="shared" si="2"/>
        <v>110</v>
      </c>
      <c r="F38" s="91"/>
      <c r="N38" s="148" t="s">
        <v>83</v>
      </c>
      <c r="O38" s="43">
        <v>2019</v>
      </c>
      <c r="P38" s="78">
        <f>VLOOKUP($N38,'2019_B4_Rohdaten_alle'!$A$124:$R$145,11,FALSE)</f>
        <v>3003</v>
      </c>
      <c r="Q38" s="79">
        <f t="shared" si="5"/>
        <v>2814</v>
      </c>
      <c r="R38" s="151">
        <f>VLOOKUP($N38,'2019_B4_Rohdaten_Ausländer'!$A$124:$R$145,11,FALSE)</f>
        <v>189</v>
      </c>
    </row>
    <row r="39" spans="1:18" ht="45">
      <c r="A39" s="43" t="s">
        <v>90</v>
      </c>
      <c r="B39" s="43">
        <v>2019</v>
      </c>
      <c r="C39" s="78">
        <f>VLOOKUP($A39,'2019_B4_Rohdaten_alle'!$A$76:$R$97,11,FALSE)</f>
        <v>234</v>
      </c>
      <c r="D39" s="79">
        <f>VLOOKUP($A39,'2019_B4_Rohdaten_Ausländer'!$A$76:$R$97,11,FALSE)</f>
        <v>14</v>
      </c>
      <c r="E39" s="103">
        <f t="shared" si="2"/>
        <v>220</v>
      </c>
      <c r="F39" s="91"/>
      <c r="N39" s="148" t="s">
        <v>85</v>
      </c>
      <c r="O39" s="43">
        <v>2019</v>
      </c>
      <c r="P39" s="78">
        <f>VLOOKUP($N39,'2019_B4_Rohdaten_alle'!$A$124:$R$145,11,FALSE)</f>
        <v>213</v>
      </c>
      <c r="Q39" s="79">
        <f t="shared" si="5"/>
        <v>186</v>
      </c>
      <c r="R39" s="151">
        <f>VLOOKUP($N39,'2019_B4_Rohdaten_Ausländer'!$A$124:$R$145,11,FALSE)</f>
        <v>27</v>
      </c>
    </row>
    <row r="40" spans="1:18" ht="60">
      <c r="A40" s="43" t="s">
        <v>92</v>
      </c>
      <c r="B40" s="43">
        <v>2019</v>
      </c>
      <c r="C40" s="78">
        <f>VLOOKUP($A40,'2019_B4_Rohdaten_alle'!$A$76:$R$97,11,FALSE)</f>
        <v>314</v>
      </c>
      <c r="D40" s="79">
        <f>VLOOKUP($A40,'2019_B4_Rohdaten_Ausländer'!$A$76:$R$97,11,FALSE)</f>
        <v>22</v>
      </c>
      <c r="E40" s="103">
        <f t="shared" si="2"/>
        <v>292</v>
      </c>
      <c r="F40" s="91"/>
      <c r="N40" s="148" t="s">
        <v>86</v>
      </c>
      <c r="O40" s="43">
        <v>2019</v>
      </c>
      <c r="P40" s="78">
        <f>VLOOKUP($N40,'2019_B4_Rohdaten_alle'!$A$124:$R$145,11,FALSE)</f>
        <v>487</v>
      </c>
      <c r="Q40" s="79">
        <f t="shared" si="5"/>
        <v>466</v>
      </c>
      <c r="R40" s="151">
        <f>VLOOKUP($N40,'2019_B4_Rohdaten_Ausländer'!$A$124:$R$145,11,FALSE)</f>
        <v>21</v>
      </c>
    </row>
    <row r="41" spans="1:18" ht="45">
      <c r="A41" s="80" t="s">
        <v>50</v>
      </c>
      <c r="B41" s="43"/>
      <c r="C41" s="78" t="s">
        <v>41</v>
      </c>
      <c r="D41" s="79" t="s">
        <v>41</v>
      </c>
      <c r="E41" s="103"/>
      <c r="F41" s="91"/>
      <c r="N41" s="148" t="s">
        <v>87</v>
      </c>
      <c r="O41" s="43">
        <v>2019</v>
      </c>
      <c r="P41" s="78">
        <f>VLOOKUP($N41,'2019_B4_Rohdaten_alle'!$A$124:$R$145,11,FALSE)</f>
        <v>304</v>
      </c>
      <c r="Q41" s="79">
        <f t="shared" si="5"/>
        <v>293</v>
      </c>
      <c r="R41" s="151">
        <f>VLOOKUP($N41,'2019_B4_Rohdaten_Ausländer'!$A$124:$R$145,11,FALSE)</f>
        <v>11</v>
      </c>
    </row>
    <row r="42" spans="1:18" ht="75">
      <c r="A42" s="43" t="s">
        <v>40</v>
      </c>
      <c r="B42" s="43">
        <v>2019</v>
      </c>
      <c r="C42" s="78">
        <f>VLOOKUP($A42,'2019_B4_Rohdaten_alle'!$A$100:$R$121,11,FALSE)</f>
        <v>17441</v>
      </c>
      <c r="D42" s="79">
        <f>VLOOKUP($A42,'2019_B4_Rohdaten_Ausländer'!$A$100:$R$121,11,FALSE)</f>
        <v>1246</v>
      </c>
      <c r="E42" s="103">
        <f t="shared" si="2"/>
        <v>16195</v>
      </c>
      <c r="F42" s="91"/>
      <c r="N42" s="148" t="s">
        <v>88</v>
      </c>
      <c r="O42" s="43">
        <v>2019</v>
      </c>
      <c r="P42" s="78">
        <f>VLOOKUP($N42,'2019_B4_Rohdaten_alle'!$A$124:$R$145,11,FALSE)</f>
        <v>142</v>
      </c>
      <c r="Q42" s="79">
        <f t="shared" si="5"/>
        <v>132</v>
      </c>
      <c r="R42" s="151">
        <f>VLOOKUP($N42,'2019_B4_Rohdaten_Ausländer'!$A$124:$R$145,11,FALSE)</f>
        <v>10</v>
      </c>
    </row>
    <row r="43" spans="1:18" ht="30">
      <c r="A43" s="43" t="s">
        <v>78</v>
      </c>
      <c r="B43" s="43">
        <v>2019</v>
      </c>
      <c r="C43" s="78">
        <f>VLOOKUP($A43,'2019_B4_Rohdaten_alle'!$A$100:$R$121,11,FALSE)</f>
        <v>671</v>
      </c>
      <c r="D43" s="79">
        <f>VLOOKUP($A43,'2019_B4_Rohdaten_Ausländer'!$A$100:$R$121,11,FALSE)</f>
        <v>131</v>
      </c>
      <c r="E43" s="103">
        <f t="shared" si="2"/>
        <v>540</v>
      </c>
      <c r="F43" s="91"/>
      <c r="N43" s="148" t="s">
        <v>90</v>
      </c>
      <c r="O43" s="43">
        <v>2019</v>
      </c>
      <c r="P43" s="78">
        <f>VLOOKUP($N43,'2019_B4_Rohdaten_alle'!$A$124:$R$145,11,FALSE)</f>
        <v>634</v>
      </c>
      <c r="Q43" s="79">
        <f t="shared" si="5"/>
        <v>571</v>
      </c>
      <c r="R43" s="151">
        <f>VLOOKUP($N43,'2019_B4_Rohdaten_Ausländer'!$A$124:$R$145,11,FALSE)</f>
        <v>63</v>
      </c>
    </row>
    <row r="44" spans="1:18" ht="60">
      <c r="A44" s="43" t="s">
        <v>80</v>
      </c>
      <c r="B44" s="43">
        <v>2019</v>
      </c>
      <c r="C44" s="78">
        <f>VLOOKUP($A44,'2019_B4_Rohdaten_alle'!$A$100:$R$121,11,FALSE)</f>
        <v>1473</v>
      </c>
      <c r="D44" s="79">
        <f>VLOOKUP($A44,'2019_B4_Rohdaten_Ausländer'!$A$100:$R$121,11,FALSE)</f>
        <v>132</v>
      </c>
      <c r="E44" s="103">
        <f t="shared" si="2"/>
        <v>1341</v>
      </c>
      <c r="F44" s="91"/>
      <c r="N44" s="148" t="s">
        <v>92</v>
      </c>
      <c r="O44" s="43">
        <v>2019</v>
      </c>
      <c r="P44" s="78">
        <f>VLOOKUP($N44,'2019_B4_Rohdaten_alle'!$A$124:$R$145,11,FALSE)</f>
        <v>423</v>
      </c>
      <c r="Q44" s="79">
        <f t="shared" si="5"/>
        <v>408</v>
      </c>
      <c r="R44" s="151">
        <f>VLOOKUP($N44,'2019_B4_Rohdaten_Ausländer'!$A$124:$R$145,11,FALSE)</f>
        <v>15</v>
      </c>
    </row>
    <row r="45" spans="1:18" ht="30">
      <c r="A45" s="43" t="s">
        <v>81</v>
      </c>
      <c r="B45" s="43">
        <v>2019</v>
      </c>
      <c r="C45" s="78">
        <f>VLOOKUP($A45,'2019_B4_Rohdaten_alle'!$A$100:$R$121,11,FALSE)</f>
        <v>5429</v>
      </c>
      <c r="D45" s="79">
        <f>VLOOKUP($A45,'2019_B4_Rohdaten_Ausländer'!$A$100:$R$121,11,FALSE)</f>
        <v>566</v>
      </c>
      <c r="E45" s="103">
        <f t="shared" si="2"/>
        <v>4863</v>
      </c>
      <c r="F45" s="91"/>
    </row>
    <row r="46" spans="1:18" ht="30">
      <c r="A46" s="43" t="s">
        <v>82</v>
      </c>
      <c r="B46" s="43">
        <v>2019</v>
      </c>
      <c r="C46" s="78">
        <f>VLOOKUP($A46,'2019_B4_Rohdaten_alle'!$A$100:$R$121,11,FALSE)</f>
        <v>5934</v>
      </c>
      <c r="D46" s="79">
        <f>VLOOKUP($A46,'2019_B4_Rohdaten_Ausländer'!$A$100:$R$121,11,FALSE)</f>
        <v>168</v>
      </c>
      <c r="E46" s="103">
        <f t="shared" si="2"/>
        <v>5766</v>
      </c>
      <c r="F46" s="91"/>
    </row>
    <row r="47" spans="1:18" ht="45">
      <c r="A47" s="43" t="s">
        <v>83</v>
      </c>
      <c r="B47" s="43">
        <v>2019</v>
      </c>
      <c r="C47" s="78">
        <f>VLOOKUP($A47,'2019_B4_Rohdaten_alle'!$A$100:$R$121,11,FALSE)</f>
        <v>1989</v>
      </c>
      <c r="D47" s="79">
        <f>VLOOKUP($A47,'2019_B4_Rohdaten_Ausländer'!$A$100:$R$121,11,FALSE)</f>
        <v>129</v>
      </c>
      <c r="E47" s="103">
        <f t="shared" si="2"/>
        <v>1860</v>
      </c>
      <c r="F47" s="91"/>
    </row>
    <row r="48" spans="1:18" ht="45">
      <c r="A48" s="43" t="s">
        <v>85</v>
      </c>
      <c r="B48" s="43">
        <v>2019</v>
      </c>
      <c r="C48" s="78">
        <f>VLOOKUP($A48,'2019_B4_Rohdaten_alle'!$A$100:$R$121,11,FALSE)</f>
        <v>293</v>
      </c>
      <c r="D48" s="79">
        <f>VLOOKUP($A48,'2019_B4_Rohdaten_Ausländer'!$A$100:$R$121,11,FALSE)</f>
        <v>45</v>
      </c>
      <c r="E48" s="103">
        <f t="shared" si="2"/>
        <v>248</v>
      </c>
      <c r="F48" s="91"/>
    </row>
    <row r="49" spans="1:6" ht="45">
      <c r="A49" s="43" t="s">
        <v>86</v>
      </c>
      <c r="B49" s="43">
        <v>2019</v>
      </c>
      <c r="C49" s="78">
        <f>VLOOKUP($A49,'2019_B4_Rohdaten_alle'!$A$100:$R$121,11,FALSE)</f>
        <v>695</v>
      </c>
      <c r="D49" s="79">
        <f>VLOOKUP($A49,'2019_B4_Rohdaten_Ausländer'!$A$100:$R$121,11,FALSE)</f>
        <v>27</v>
      </c>
      <c r="E49" s="103">
        <f t="shared" si="2"/>
        <v>668</v>
      </c>
      <c r="F49" s="91"/>
    </row>
    <row r="50" spans="1:6" ht="60">
      <c r="A50" s="43" t="s">
        <v>87</v>
      </c>
      <c r="B50" s="43">
        <v>2019</v>
      </c>
      <c r="C50" s="78">
        <f>VLOOKUP($A50,'2019_B4_Rohdaten_alle'!$A$100:$R$121,11,FALSE)</f>
        <v>550</v>
      </c>
      <c r="D50" s="79">
        <f>VLOOKUP($A50,'2019_B4_Rohdaten_Ausländer'!$A$100:$R$121,11,FALSE)</f>
        <v>18</v>
      </c>
      <c r="E50" s="103">
        <f t="shared" si="2"/>
        <v>532</v>
      </c>
      <c r="F50" s="91"/>
    </row>
    <row r="51" spans="1:6" ht="75">
      <c r="A51" s="43" t="s">
        <v>88</v>
      </c>
      <c r="B51" s="43">
        <v>2019</v>
      </c>
      <c r="C51" s="78">
        <f>VLOOKUP($A51,'2019_B4_Rohdaten_alle'!$A$100:$R$121,11,FALSE)</f>
        <v>53</v>
      </c>
      <c r="D51" s="79">
        <f>VLOOKUP($A51,'2019_B4_Rohdaten_Ausländer'!$A$100:$R$121,11,FALSE)</f>
        <v>1</v>
      </c>
      <c r="E51" s="103">
        <f t="shared" si="2"/>
        <v>52</v>
      </c>
      <c r="F51" s="91"/>
    </row>
    <row r="52" spans="1:6" ht="45">
      <c r="A52" s="43" t="s">
        <v>90</v>
      </c>
      <c r="B52" s="43">
        <v>2019</v>
      </c>
      <c r="C52" s="78">
        <f>VLOOKUP($A52,'2019_B4_Rohdaten_alle'!$A$100:$R$121,11,FALSE)</f>
        <v>251</v>
      </c>
      <c r="D52" s="79">
        <f>VLOOKUP($A52,'2019_B4_Rohdaten_Ausländer'!$A$100:$R$121,11,FALSE)</f>
        <v>23</v>
      </c>
      <c r="E52" s="103">
        <f t="shared" si="2"/>
        <v>228</v>
      </c>
      <c r="F52" s="91"/>
    </row>
    <row r="53" spans="1:6" ht="60">
      <c r="A53" s="43" t="s">
        <v>92</v>
      </c>
      <c r="B53" s="43">
        <v>2019</v>
      </c>
      <c r="C53" s="78">
        <f>VLOOKUP($A53,'2019_B4_Rohdaten_alle'!$A$100:$R$121,11,FALSE)</f>
        <v>103</v>
      </c>
      <c r="D53" s="79">
        <f>VLOOKUP($A53,'2019_B4_Rohdaten_Ausländer'!$A$100:$R$121,11,FALSE)</f>
        <v>6</v>
      </c>
      <c r="E53" s="103">
        <f t="shared" si="2"/>
        <v>97</v>
      </c>
      <c r="F53" s="91"/>
    </row>
    <row r="54" spans="1:6" ht="30">
      <c r="A54" s="80" t="s">
        <v>51</v>
      </c>
      <c r="B54" s="43"/>
      <c r="C54" s="78" t="s">
        <v>41</v>
      </c>
      <c r="D54" s="79" t="s">
        <v>41</v>
      </c>
      <c r="E54" s="103"/>
      <c r="F54" s="91"/>
    </row>
    <row r="55" spans="1:6" ht="30">
      <c r="A55" s="43" t="s">
        <v>40</v>
      </c>
      <c r="B55" s="43">
        <v>2019</v>
      </c>
      <c r="C55" s="78">
        <f>VLOOKUP($A55,'2019_B4_Rohdaten_alle'!$A$124:$R$145,11,FALSE)</f>
        <v>25907</v>
      </c>
      <c r="D55" s="79">
        <f>VLOOKUP($A55,'2019_B4_Rohdaten_Ausländer'!$A$124:$R$145,11,FALSE)</f>
        <v>2415</v>
      </c>
      <c r="E55" s="103">
        <f t="shared" si="2"/>
        <v>23492</v>
      </c>
      <c r="F55" s="91"/>
    </row>
    <row r="56" spans="1:6" ht="30">
      <c r="A56" s="43" t="s">
        <v>78</v>
      </c>
      <c r="B56" s="43">
        <v>2019</v>
      </c>
      <c r="C56" s="78">
        <f>VLOOKUP($A56,'2019_B4_Rohdaten_alle'!$A$124:$R$145,11,FALSE)</f>
        <v>1136</v>
      </c>
      <c r="D56" s="79">
        <f>VLOOKUP($A56,'2019_B4_Rohdaten_Ausländer'!$A$124:$R$145,11,FALSE)</f>
        <v>288</v>
      </c>
      <c r="E56" s="103">
        <f t="shared" si="2"/>
        <v>848</v>
      </c>
      <c r="F56" s="91"/>
    </row>
    <row r="57" spans="1:6" ht="30">
      <c r="A57" s="43" t="s">
        <v>80</v>
      </c>
      <c r="B57" s="43">
        <v>2019</v>
      </c>
      <c r="C57" s="78">
        <f>VLOOKUP($A57,'2019_B4_Rohdaten_alle'!$A$124:$R$145,11,FALSE)</f>
        <v>2553</v>
      </c>
      <c r="D57" s="79">
        <f>VLOOKUP($A57,'2019_B4_Rohdaten_Ausländer'!$A$124:$R$145,11,FALSE)</f>
        <v>228</v>
      </c>
      <c r="E57" s="103">
        <f t="shared" si="2"/>
        <v>2325</v>
      </c>
      <c r="F57" s="91"/>
    </row>
    <row r="58" spans="1:6" ht="30">
      <c r="A58" s="43" t="s">
        <v>81</v>
      </c>
      <c r="B58" s="43">
        <v>2019</v>
      </c>
      <c r="C58" s="78">
        <f>VLOOKUP($A58,'2019_B4_Rohdaten_alle'!$A$124:$R$145,11,FALSE)</f>
        <v>8810</v>
      </c>
      <c r="D58" s="79">
        <f>VLOOKUP($A58,'2019_B4_Rohdaten_Ausländer'!$A$124:$R$145,11,FALSE)</f>
        <v>1280</v>
      </c>
      <c r="E58" s="103">
        <f t="shared" si="2"/>
        <v>7530</v>
      </c>
      <c r="F58" s="91"/>
    </row>
    <row r="59" spans="1:6" ht="30">
      <c r="A59" s="43" t="s">
        <v>82</v>
      </c>
      <c r="B59" s="43">
        <v>2019</v>
      </c>
      <c r="C59" s="78">
        <f>VLOOKUP($A59,'2019_B4_Rohdaten_alle'!$A$124:$R$145,11,FALSE)</f>
        <v>8202</v>
      </c>
      <c r="D59" s="79">
        <f>VLOOKUP($A59,'2019_B4_Rohdaten_Ausländer'!$A$124:$R$145,11,FALSE)</f>
        <v>283</v>
      </c>
      <c r="E59" s="103">
        <f t="shared" si="2"/>
        <v>7919</v>
      </c>
      <c r="F59" s="91"/>
    </row>
    <row r="60" spans="1:6" ht="45">
      <c r="A60" s="43" t="s">
        <v>83</v>
      </c>
      <c r="B60" s="43">
        <v>2019</v>
      </c>
      <c r="C60" s="78">
        <f>VLOOKUP($A60,'2019_B4_Rohdaten_alle'!$A$124:$R$145,11,FALSE)</f>
        <v>3003</v>
      </c>
      <c r="D60" s="79">
        <f>VLOOKUP($A60,'2019_B4_Rohdaten_Ausländer'!$A$124:$R$145,11,FALSE)</f>
        <v>189</v>
      </c>
      <c r="E60" s="103">
        <f t="shared" si="2"/>
        <v>2814</v>
      </c>
      <c r="F60" s="91"/>
    </row>
    <row r="61" spans="1:6" ht="45">
      <c r="A61" s="43" t="s">
        <v>85</v>
      </c>
      <c r="B61" s="43">
        <v>2019</v>
      </c>
      <c r="C61" s="78">
        <f>VLOOKUP($A61,'2019_B4_Rohdaten_alle'!$A$124:$R$145,11,FALSE)</f>
        <v>213</v>
      </c>
      <c r="D61" s="79">
        <f>VLOOKUP($A61,'2019_B4_Rohdaten_Ausländer'!$A$124:$R$145,11,FALSE)</f>
        <v>27</v>
      </c>
      <c r="E61" s="103">
        <f t="shared" si="2"/>
        <v>186</v>
      </c>
      <c r="F61" s="91"/>
    </row>
    <row r="62" spans="1:6" ht="45">
      <c r="A62" s="43" t="s">
        <v>86</v>
      </c>
      <c r="B62" s="43">
        <v>2019</v>
      </c>
      <c r="C62" s="78">
        <f>VLOOKUP($A62,'2019_B4_Rohdaten_alle'!$A$124:$R$145,11,FALSE)</f>
        <v>487</v>
      </c>
      <c r="D62" s="79">
        <f>VLOOKUP($A62,'2019_B4_Rohdaten_Ausländer'!$A$124:$R$145,11,FALSE)</f>
        <v>21</v>
      </c>
      <c r="E62" s="103">
        <f t="shared" si="2"/>
        <v>466</v>
      </c>
      <c r="F62" s="91"/>
    </row>
    <row r="63" spans="1:6" ht="60">
      <c r="A63" s="43" t="s">
        <v>87</v>
      </c>
      <c r="B63" s="43">
        <v>2019</v>
      </c>
      <c r="C63" s="78">
        <f>VLOOKUP($A63,'2019_B4_Rohdaten_alle'!$A$124:$R$145,11,FALSE)</f>
        <v>304</v>
      </c>
      <c r="D63" s="79">
        <f>VLOOKUP($A63,'2019_B4_Rohdaten_Ausländer'!$A$124:$R$145,11,FALSE)</f>
        <v>11</v>
      </c>
      <c r="E63" s="103">
        <f t="shared" si="2"/>
        <v>293</v>
      </c>
      <c r="F63" s="91"/>
    </row>
    <row r="64" spans="1:6" ht="75">
      <c r="A64" s="43" t="s">
        <v>88</v>
      </c>
      <c r="B64" s="43">
        <v>2019</v>
      </c>
      <c r="C64" s="78">
        <f>VLOOKUP($A64,'2019_B4_Rohdaten_alle'!$A$124:$R$145,11,FALSE)</f>
        <v>142</v>
      </c>
      <c r="D64" s="79">
        <f>VLOOKUP($A64,'2019_B4_Rohdaten_Ausländer'!$A$124:$R$145,11,FALSE)</f>
        <v>10</v>
      </c>
      <c r="E64" s="103">
        <f t="shared" si="2"/>
        <v>132</v>
      </c>
      <c r="F64" s="91"/>
    </row>
    <row r="65" spans="1:6" ht="45">
      <c r="A65" s="43" t="s">
        <v>90</v>
      </c>
      <c r="B65" s="43">
        <v>2019</v>
      </c>
      <c r="C65" s="78">
        <f>VLOOKUP($A65,'2019_B4_Rohdaten_alle'!$A$124:$R$145,11,FALSE)</f>
        <v>634</v>
      </c>
      <c r="D65" s="79">
        <f>VLOOKUP($A65,'2019_B4_Rohdaten_Ausländer'!$A$124:$R$145,11,FALSE)</f>
        <v>63</v>
      </c>
      <c r="E65" s="103">
        <f t="shared" si="2"/>
        <v>571</v>
      </c>
      <c r="F65" s="91"/>
    </row>
    <row r="66" spans="1:6" ht="60">
      <c r="A66" s="43" t="s">
        <v>92</v>
      </c>
      <c r="B66" s="43">
        <v>2019</v>
      </c>
      <c r="C66" s="78">
        <f>VLOOKUP($A66,'2019_B4_Rohdaten_alle'!$A$124:$R$145,11,FALSE)</f>
        <v>423</v>
      </c>
      <c r="D66" s="79">
        <f>VLOOKUP($A66,'2019_B4_Rohdaten_Ausländer'!$A$124:$R$145,11,FALSE)</f>
        <v>15</v>
      </c>
      <c r="E66" s="103">
        <f t="shared" si="2"/>
        <v>408</v>
      </c>
      <c r="F66" s="91"/>
    </row>
  </sheetData>
  <pageMargins left="0.7" right="0.7" top="0.78740157499999996" bottom="0.78740157499999996" header="0.3" footer="0.3"/>
  <tableParts count="5">
    <tablePart r:id="rId1"/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F391"/>
  <sheetViews>
    <sheetView workbookViewId="0"/>
  </sheetViews>
  <sheetFormatPr baseColWidth="10" defaultRowHeight="15"/>
  <cols>
    <col min="1" max="2" width="19" customWidth="1"/>
    <col min="3" max="3" width="13" style="77" customWidth="1"/>
    <col min="4" max="4" width="11.42578125" style="77"/>
    <col min="5" max="5" width="11.42578125" style="91"/>
    <col min="6" max="6" width="8.28515625" style="77" customWidth="1"/>
  </cols>
  <sheetData>
    <row r="1" spans="1:5" ht="15" customHeight="1">
      <c r="A1" s="80" t="s">
        <v>47</v>
      </c>
      <c r="B1" s="51"/>
      <c r="C1" s="76"/>
    </row>
    <row r="2" spans="1:5" ht="45">
      <c r="A2" s="104" t="s">
        <v>111</v>
      </c>
      <c r="B2" s="105" t="s">
        <v>3</v>
      </c>
      <c r="C2" s="106" t="s">
        <v>110</v>
      </c>
      <c r="D2" s="106" t="s">
        <v>12</v>
      </c>
      <c r="E2" s="107" t="s">
        <v>11</v>
      </c>
    </row>
    <row r="3" spans="1:5">
      <c r="A3" s="43" t="s">
        <v>40</v>
      </c>
      <c r="B3" s="43">
        <v>2011</v>
      </c>
      <c r="C3" s="78">
        <v>91658</v>
      </c>
      <c r="D3" s="79">
        <v>5502</v>
      </c>
      <c r="E3" s="103">
        <f>C3-D3</f>
        <v>86156</v>
      </c>
    </row>
    <row r="4" spans="1:5">
      <c r="A4" s="43" t="s">
        <v>78</v>
      </c>
      <c r="B4" s="43">
        <v>2011</v>
      </c>
      <c r="C4" s="78">
        <v>14689</v>
      </c>
      <c r="D4" s="79">
        <v>1712</v>
      </c>
      <c r="E4" s="103">
        <f>C4-D4</f>
        <v>12977</v>
      </c>
    </row>
    <row r="5" spans="1:5">
      <c r="A5" s="43" t="s">
        <v>80</v>
      </c>
      <c r="B5" s="43">
        <v>2011</v>
      </c>
      <c r="C5" s="78">
        <v>30920</v>
      </c>
      <c r="D5" s="79">
        <v>1767</v>
      </c>
      <c r="E5" s="103">
        <f>C5-D5</f>
        <v>29153</v>
      </c>
    </row>
    <row r="6" spans="1:5">
      <c r="A6" s="43" t="s">
        <v>81</v>
      </c>
      <c r="B6" s="43">
        <v>2011</v>
      </c>
      <c r="C6" s="78"/>
      <c r="D6" s="79"/>
      <c r="E6" s="103"/>
    </row>
    <row r="7" spans="1:5" ht="30">
      <c r="A7" s="43" t="s">
        <v>82</v>
      </c>
      <c r="B7" s="43">
        <v>2011</v>
      </c>
      <c r="C7" s="78">
        <v>30889</v>
      </c>
      <c r="D7" s="79">
        <v>963</v>
      </c>
      <c r="E7" s="103">
        <f t="shared" ref="E7:E14" si="0">C7-D7</f>
        <v>29926</v>
      </c>
    </row>
    <row r="8" spans="1:5" ht="30">
      <c r="A8" s="43" t="s">
        <v>83</v>
      </c>
      <c r="B8" s="43">
        <v>2011</v>
      </c>
      <c r="C8" s="78">
        <v>4954</v>
      </c>
      <c r="D8" s="79">
        <v>273</v>
      </c>
      <c r="E8" s="103">
        <f t="shared" si="0"/>
        <v>4681</v>
      </c>
    </row>
    <row r="9" spans="1:5" ht="30">
      <c r="A9" s="43" t="s">
        <v>85</v>
      </c>
      <c r="B9" s="43">
        <v>2011</v>
      </c>
      <c r="C9" s="78">
        <v>1050</v>
      </c>
      <c r="D9" s="79">
        <v>77</v>
      </c>
      <c r="E9" s="103">
        <f t="shared" si="0"/>
        <v>973</v>
      </c>
    </row>
    <row r="10" spans="1:5" ht="30">
      <c r="A10" s="43" t="s">
        <v>86</v>
      </c>
      <c r="B10" s="43">
        <v>2011</v>
      </c>
      <c r="C10" s="78">
        <v>2748</v>
      </c>
      <c r="D10" s="79">
        <v>124</v>
      </c>
      <c r="E10" s="103">
        <f t="shared" si="0"/>
        <v>2624</v>
      </c>
    </row>
    <row r="11" spans="1:5" ht="45">
      <c r="A11" s="43" t="s">
        <v>87</v>
      </c>
      <c r="B11" s="43">
        <v>2011</v>
      </c>
      <c r="C11" s="78">
        <v>1963</v>
      </c>
      <c r="D11" s="79">
        <v>35</v>
      </c>
      <c r="E11" s="103">
        <f t="shared" si="0"/>
        <v>1928</v>
      </c>
    </row>
    <row r="12" spans="1:5" ht="60">
      <c r="A12" s="43" t="s">
        <v>88</v>
      </c>
      <c r="B12" s="43">
        <v>2011</v>
      </c>
      <c r="C12" s="78">
        <v>707</v>
      </c>
      <c r="D12" s="79">
        <v>15</v>
      </c>
      <c r="E12" s="103">
        <f t="shared" si="0"/>
        <v>692</v>
      </c>
    </row>
    <row r="13" spans="1:5" ht="30">
      <c r="A13" s="43" t="s">
        <v>90</v>
      </c>
      <c r="B13" s="43">
        <v>2011</v>
      </c>
      <c r="C13" s="78">
        <v>2836</v>
      </c>
      <c r="D13" s="79">
        <v>475</v>
      </c>
      <c r="E13" s="103">
        <f t="shared" si="0"/>
        <v>2361</v>
      </c>
    </row>
    <row r="14" spans="1:5" ht="30">
      <c r="A14" s="43" t="s">
        <v>92</v>
      </c>
      <c r="B14" s="43">
        <v>2011</v>
      </c>
      <c r="C14" s="78">
        <v>902</v>
      </c>
      <c r="D14" s="79">
        <v>61</v>
      </c>
      <c r="E14" s="103">
        <f t="shared" si="0"/>
        <v>841</v>
      </c>
    </row>
    <row r="15" spans="1:5">
      <c r="A15" s="80" t="s">
        <v>48</v>
      </c>
      <c r="B15" s="43">
        <v>2011</v>
      </c>
      <c r="C15" s="76"/>
      <c r="D15" s="76"/>
      <c r="E15" s="103" t="s">
        <v>41</v>
      </c>
    </row>
    <row r="16" spans="1:5">
      <c r="A16" s="43" t="s">
        <v>40</v>
      </c>
      <c r="B16" s="43">
        <v>2011</v>
      </c>
      <c r="C16" s="78">
        <v>17035</v>
      </c>
      <c r="D16" s="79">
        <v>1087</v>
      </c>
      <c r="E16" s="103">
        <f>C16-D16</f>
        <v>15948</v>
      </c>
    </row>
    <row r="17" spans="1:5">
      <c r="A17" s="43" t="s">
        <v>78</v>
      </c>
      <c r="B17" s="43">
        <v>2011</v>
      </c>
      <c r="C17" s="78">
        <v>2501</v>
      </c>
      <c r="D17" s="79">
        <v>326</v>
      </c>
      <c r="E17" s="103">
        <f>C17-D17</f>
        <v>2175</v>
      </c>
    </row>
    <row r="18" spans="1:5">
      <c r="A18" s="43" t="s">
        <v>80</v>
      </c>
      <c r="B18" s="43">
        <v>2011</v>
      </c>
      <c r="C18" s="78">
        <v>5643</v>
      </c>
      <c r="D18" s="79">
        <v>399</v>
      </c>
      <c r="E18" s="103">
        <f>C18-D18</f>
        <v>5244</v>
      </c>
    </row>
    <row r="19" spans="1:5">
      <c r="A19" s="43" t="s">
        <v>81</v>
      </c>
      <c r="B19" s="43">
        <v>2011</v>
      </c>
      <c r="C19" s="78"/>
      <c r="D19" s="79"/>
      <c r="E19" s="103"/>
    </row>
    <row r="20" spans="1:5" ht="30">
      <c r="A20" s="43" t="s">
        <v>82</v>
      </c>
      <c r="B20" s="43">
        <v>2011</v>
      </c>
      <c r="C20" s="78">
        <v>6427</v>
      </c>
      <c r="D20" s="79">
        <v>188</v>
      </c>
      <c r="E20" s="103">
        <f>C20-D20</f>
        <v>6239</v>
      </c>
    </row>
    <row r="21" spans="1:5" ht="30">
      <c r="A21" s="43" t="s">
        <v>83</v>
      </c>
      <c r="B21" s="43">
        <v>2011</v>
      </c>
      <c r="C21" s="78">
        <v>1271</v>
      </c>
      <c r="D21" s="79">
        <v>66</v>
      </c>
      <c r="E21" s="103">
        <f>C21-D21</f>
        <v>1205</v>
      </c>
    </row>
    <row r="22" spans="1:5" ht="30">
      <c r="A22" s="43" t="s">
        <v>85</v>
      </c>
      <c r="B22" s="43">
        <v>2011</v>
      </c>
      <c r="C22" s="78">
        <v>94</v>
      </c>
      <c r="D22" s="79">
        <v>2</v>
      </c>
      <c r="E22" s="103">
        <f>C22-D22</f>
        <v>92</v>
      </c>
    </row>
    <row r="23" spans="1:5" ht="30">
      <c r="A23" s="43" t="s">
        <v>86</v>
      </c>
      <c r="B23" s="43">
        <v>2011</v>
      </c>
      <c r="C23" s="78">
        <v>237</v>
      </c>
      <c r="D23" s="79"/>
      <c r="E23" s="103"/>
    </row>
    <row r="24" spans="1:5" ht="45">
      <c r="A24" s="43" t="s">
        <v>87</v>
      </c>
      <c r="B24" s="43">
        <v>2011</v>
      </c>
      <c r="C24" s="78">
        <v>41</v>
      </c>
      <c r="D24" s="79">
        <v>1</v>
      </c>
      <c r="E24" s="103">
        <f>C24-D24</f>
        <v>40</v>
      </c>
    </row>
    <row r="25" spans="1:5" ht="60">
      <c r="A25" s="43" t="s">
        <v>88</v>
      </c>
      <c r="B25" s="43">
        <v>2011</v>
      </c>
      <c r="C25" s="78">
        <v>196</v>
      </c>
      <c r="D25" s="79"/>
      <c r="E25" s="103"/>
    </row>
    <row r="26" spans="1:5" ht="30">
      <c r="A26" s="43" t="s">
        <v>90</v>
      </c>
      <c r="B26" s="43">
        <v>2011</v>
      </c>
      <c r="C26" s="78">
        <v>476</v>
      </c>
      <c r="D26" s="79">
        <v>93</v>
      </c>
      <c r="E26" s="103">
        <f>C26-D26</f>
        <v>383</v>
      </c>
    </row>
    <row r="27" spans="1:5" ht="30">
      <c r="A27" s="43" t="s">
        <v>92</v>
      </c>
      <c r="B27" s="43">
        <v>2011</v>
      </c>
      <c r="C27" s="78">
        <v>149</v>
      </c>
      <c r="D27" s="79">
        <v>12</v>
      </c>
      <c r="E27" s="103">
        <f>C27-D27</f>
        <v>137</v>
      </c>
    </row>
    <row r="28" spans="1:5">
      <c r="A28" s="80" t="s">
        <v>49</v>
      </c>
      <c r="B28" s="43">
        <v>2011</v>
      </c>
      <c r="C28" s="76"/>
      <c r="D28" s="76"/>
      <c r="E28" s="103" t="s">
        <v>41</v>
      </c>
    </row>
    <row r="29" spans="1:5">
      <c r="A29" s="43" t="s">
        <v>40</v>
      </c>
      <c r="B29" s="43">
        <v>2011</v>
      </c>
      <c r="C29" s="78">
        <v>23135</v>
      </c>
      <c r="D29" s="79">
        <v>1988</v>
      </c>
      <c r="E29" s="103">
        <f>C29-D29</f>
        <v>21147</v>
      </c>
    </row>
    <row r="30" spans="1:5">
      <c r="A30" s="43" t="s">
        <v>78</v>
      </c>
      <c r="B30" s="43">
        <v>2011</v>
      </c>
      <c r="C30" s="78">
        <v>2844</v>
      </c>
      <c r="D30" s="79">
        <v>458</v>
      </c>
      <c r="E30" s="103">
        <f>C30-D30</f>
        <v>2386</v>
      </c>
    </row>
    <row r="31" spans="1:5">
      <c r="A31" s="43" t="s">
        <v>80</v>
      </c>
      <c r="B31" s="43">
        <v>2011</v>
      </c>
      <c r="C31" s="78">
        <v>6613</v>
      </c>
      <c r="D31" s="79">
        <v>597</v>
      </c>
      <c r="E31" s="103">
        <f>C31-D31</f>
        <v>6016</v>
      </c>
    </row>
    <row r="32" spans="1:5">
      <c r="A32" s="43" t="s">
        <v>81</v>
      </c>
      <c r="B32" s="43">
        <v>2011</v>
      </c>
      <c r="C32" s="78"/>
      <c r="D32" s="79"/>
      <c r="E32" s="103"/>
    </row>
    <row r="33" spans="1:5" ht="30">
      <c r="A33" s="43" t="s">
        <v>82</v>
      </c>
      <c r="B33" s="43">
        <v>2011</v>
      </c>
      <c r="C33" s="78">
        <v>8015</v>
      </c>
      <c r="D33" s="79">
        <v>417</v>
      </c>
      <c r="E33" s="103">
        <f t="shared" ref="E33:E40" si="1">C33-D33</f>
        <v>7598</v>
      </c>
    </row>
    <row r="34" spans="1:5" ht="30">
      <c r="A34" s="43" t="s">
        <v>83</v>
      </c>
      <c r="B34" s="43">
        <v>2011</v>
      </c>
      <c r="C34" s="78">
        <v>1843</v>
      </c>
      <c r="D34" s="79">
        <v>185</v>
      </c>
      <c r="E34" s="103">
        <f t="shared" si="1"/>
        <v>1658</v>
      </c>
    </row>
    <row r="35" spans="1:5" ht="30">
      <c r="A35" s="43" t="s">
        <v>85</v>
      </c>
      <c r="B35" s="43">
        <v>2011</v>
      </c>
      <c r="C35" s="78">
        <v>402</v>
      </c>
      <c r="D35" s="79">
        <v>39</v>
      </c>
      <c r="E35" s="103">
        <f t="shared" si="1"/>
        <v>363</v>
      </c>
    </row>
    <row r="36" spans="1:5" ht="30">
      <c r="A36" s="43" t="s">
        <v>86</v>
      </c>
      <c r="B36" s="43">
        <v>2011</v>
      </c>
      <c r="C36" s="78">
        <v>1210</v>
      </c>
      <c r="D36" s="79">
        <v>70</v>
      </c>
      <c r="E36" s="103">
        <f t="shared" si="1"/>
        <v>1140</v>
      </c>
    </row>
    <row r="37" spans="1:5" ht="45">
      <c r="A37" s="43" t="s">
        <v>87</v>
      </c>
      <c r="B37" s="43">
        <v>2011</v>
      </c>
      <c r="C37" s="78">
        <v>1002</v>
      </c>
      <c r="D37" s="79">
        <v>21</v>
      </c>
      <c r="E37" s="103">
        <f t="shared" si="1"/>
        <v>981</v>
      </c>
    </row>
    <row r="38" spans="1:5" ht="60">
      <c r="A38" s="43" t="s">
        <v>88</v>
      </c>
      <c r="B38" s="43">
        <v>2011</v>
      </c>
      <c r="C38" s="78">
        <v>162</v>
      </c>
      <c r="D38" s="79">
        <v>5</v>
      </c>
      <c r="E38" s="103">
        <f t="shared" si="1"/>
        <v>157</v>
      </c>
    </row>
    <row r="39" spans="1:5" ht="30">
      <c r="A39" s="43" t="s">
        <v>90</v>
      </c>
      <c r="B39" s="43">
        <v>2011</v>
      </c>
      <c r="C39" s="78">
        <v>730</v>
      </c>
      <c r="D39" s="79">
        <v>166</v>
      </c>
      <c r="E39" s="103">
        <f t="shared" si="1"/>
        <v>564</v>
      </c>
    </row>
    <row r="40" spans="1:5" ht="30">
      <c r="A40" s="43" t="s">
        <v>92</v>
      </c>
      <c r="B40" s="43">
        <v>2011</v>
      </c>
      <c r="C40" s="78">
        <v>314</v>
      </c>
      <c r="D40" s="79">
        <v>30</v>
      </c>
      <c r="E40" s="103">
        <f t="shared" si="1"/>
        <v>284</v>
      </c>
    </row>
    <row r="41" spans="1:5">
      <c r="A41" s="80" t="s">
        <v>50</v>
      </c>
      <c r="B41" s="43">
        <v>2011</v>
      </c>
      <c r="C41" s="76"/>
      <c r="D41" s="76"/>
      <c r="E41" s="103" t="s">
        <v>41</v>
      </c>
    </row>
    <row r="42" spans="1:5">
      <c r="A42" s="43" t="s">
        <v>40</v>
      </c>
      <c r="B42" s="43">
        <v>2011</v>
      </c>
      <c r="C42" s="78">
        <v>20745</v>
      </c>
      <c r="D42" s="79">
        <v>862</v>
      </c>
      <c r="E42" s="103">
        <f>C42-D42</f>
        <v>19883</v>
      </c>
    </row>
    <row r="43" spans="1:5">
      <c r="A43" s="43" t="s">
        <v>78</v>
      </c>
      <c r="B43" s="43">
        <v>2011</v>
      </c>
      <c r="C43" s="78">
        <v>3469</v>
      </c>
      <c r="D43" s="79">
        <v>334</v>
      </c>
      <c r="E43" s="103">
        <f>C43-D43</f>
        <v>3135</v>
      </c>
    </row>
    <row r="44" spans="1:5">
      <c r="A44" s="43" t="s">
        <v>80</v>
      </c>
      <c r="B44" s="43">
        <v>2011</v>
      </c>
      <c r="C44" s="78">
        <v>7405</v>
      </c>
      <c r="D44" s="79">
        <v>262</v>
      </c>
      <c r="E44" s="103">
        <f>C44-D44</f>
        <v>7143</v>
      </c>
    </row>
    <row r="45" spans="1:5">
      <c r="A45" s="43" t="s">
        <v>81</v>
      </c>
      <c r="B45" s="43">
        <v>2011</v>
      </c>
      <c r="C45" s="78"/>
      <c r="D45" s="79"/>
      <c r="E45" s="103"/>
    </row>
    <row r="46" spans="1:5" ht="30">
      <c r="A46" s="43" t="s">
        <v>82</v>
      </c>
      <c r="B46" s="43">
        <v>2011</v>
      </c>
      <c r="C46" s="78">
        <v>7103</v>
      </c>
      <c r="D46" s="79">
        <v>128</v>
      </c>
      <c r="E46" s="103">
        <f t="shared" ref="E46:E53" si="2">C46-D46</f>
        <v>6975</v>
      </c>
    </row>
    <row r="47" spans="1:5" ht="30">
      <c r="A47" s="43" t="s">
        <v>83</v>
      </c>
      <c r="B47" s="43">
        <v>2011</v>
      </c>
      <c r="C47" s="78">
        <v>384</v>
      </c>
      <c r="D47" s="79">
        <v>1</v>
      </c>
      <c r="E47" s="103">
        <f t="shared" si="2"/>
        <v>383</v>
      </c>
    </row>
    <row r="48" spans="1:5" ht="30">
      <c r="A48" s="43" t="s">
        <v>85</v>
      </c>
      <c r="B48" s="43">
        <v>2011</v>
      </c>
      <c r="C48" s="78">
        <v>342</v>
      </c>
      <c r="D48" s="79">
        <v>17</v>
      </c>
      <c r="E48" s="103">
        <f t="shared" si="2"/>
        <v>325</v>
      </c>
    </row>
    <row r="49" spans="1:5" ht="30">
      <c r="A49" s="43" t="s">
        <v>86</v>
      </c>
      <c r="B49" s="43">
        <v>2011</v>
      </c>
      <c r="C49" s="78">
        <v>734</v>
      </c>
      <c r="D49" s="79">
        <v>26</v>
      </c>
      <c r="E49" s="103">
        <f t="shared" si="2"/>
        <v>708</v>
      </c>
    </row>
    <row r="50" spans="1:5" ht="45">
      <c r="A50" s="43" t="s">
        <v>87</v>
      </c>
      <c r="B50" s="43">
        <v>2011</v>
      </c>
      <c r="C50" s="78">
        <v>480</v>
      </c>
      <c r="D50" s="79">
        <v>8</v>
      </c>
      <c r="E50" s="103">
        <f t="shared" si="2"/>
        <v>472</v>
      </c>
    </row>
    <row r="51" spans="1:5" ht="60">
      <c r="A51" s="43" t="s">
        <v>88</v>
      </c>
      <c r="B51" s="43">
        <v>2011</v>
      </c>
      <c r="C51" s="78">
        <v>135</v>
      </c>
      <c r="D51" s="79">
        <v>2</v>
      </c>
      <c r="E51" s="103">
        <f t="shared" si="2"/>
        <v>133</v>
      </c>
    </row>
    <row r="52" spans="1:5" ht="30">
      <c r="A52" s="43" t="s">
        <v>90</v>
      </c>
      <c r="B52" s="43">
        <v>2011</v>
      </c>
      <c r="C52" s="78">
        <v>604</v>
      </c>
      <c r="D52" s="79">
        <v>81</v>
      </c>
      <c r="E52" s="103">
        <f t="shared" si="2"/>
        <v>523</v>
      </c>
    </row>
    <row r="53" spans="1:5" ht="30">
      <c r="A53" s="43" t="s">
        <v>92</v>
      </c>
      <c r="B53" s="43">
        <v>2011</v>
      </c>
      <c r="C53" s="78">
        <v>89</v>
      </c>
      <c r="D53" s="79">
        <v>3</v>
      </c>
      <c r="E53" s="103">
        <f t="shared" si="2"/>
        <v>86</v>
      </c>
    </row>
    <row r="54" spans="1:5">
      <c r="A54" s="80" t="s">
        <v>51</v>
      </c>
      <c r="B54" s="43">
        <v>2011</v>
      </c>
      <c r="C54" s="76"/>
      <c r="D54" s="76"/>
      <c r="E54" s="103" t="s">
        <v>41</v>
      </c>
    </row>
    <row r="55" spans="1:5">
      <c r="A55" s="43" t="s">
        <v>40</v>
      </c>
      <c r="B55" s="43">
        <v>2011</v>
      </c>
      <c r="C55" s="78">
        <v>30743</v>
      </c>
      <c r="D55" s="79">
        <v>1565</v>
      </c>
      <c r="E55" s="103">
        <f>C55-D55</f>
        <v>29178</v>
      </c>
    </row>
    <row r="56" spans="1:5">
      <c r="A56" s="43" t="s">
        <v>78</v>
      </c>
      <c r="B56" s="43">
        <v>2011</v>
      </c>
      <c r="C56" s="78">
        <v>5875</v>
      </c>
      <c r="D56" s="79">
        <v>594</v>
      </c>
      <c r="E56" s="103">
        <f>C56-D56</f>
        <v>5281</v>
      </c>
    </row>
    <row r="57" spans="1:5">
      <c r="A57" s="43" t="s">
        <v>80</v>
      </c>
      <c r="B57" s="43">
        <v>2011</v>
      </c>
      <c r="C57" s="78">
        <v>11259</v>
      </c>
      <c r="D57" s="79">
        <v>509</v>
      </c>
      <c r="E57" s="103">
        <f>C57-D57</f>
        <v>10750</v>
      </c>
    </row>
    <row r="58" spans="1:5">
      <c r="A58" s="43" t="s">
        <v>81</v>
      </c>
      <c r="B58" s="43">
        <v>2011</v>
      </c>
      <c r="C58" s="78"/>
      <c r="D58" s="79"/>
      <c r="E58" s="103"/>
    </row>
    <row r="59" spans="1:5" ht="30">
      <c r="A59" s="43" t="s">
        <v>82</v>
      </c>
      <c r="B59" s="43">
        <v>2011</v>
      </c>
      <c r="C59" s="78">
        <v>9344</v>
      </c>
      <c r="D59" s="79">
        <v>230</v>
      </c>
      <c r="E59" s="103">
        <f t="shared" ref="E59:E66" si="3">C59-D59</f>
        <v>9114</v>
      </c>
    </row>
    <row r="60" spans="1:5" ht="30">
      <c r="A60" s="43" t="s">
        <v>83</v>
      </c>
      <c r="B60" s="43">
        <v>2011</v>
      </c>
      <c r="C60" s="78">
        <v>1456</v>
      </c>
      <c r="D60" s="79">
        <v>21</v>
      </c>
      <c r="E60" s="103">
        <f t="shared" si="3"/>
        <v>1435</v>
      </c>
    </row>
    <row r="61" spans="1:5" ht="30">
      <c r="A61" s="43" t="s">
        <v>85</v>
      </c>
      <c r="B61" s="43">
        <v>2011</v>
      </c>
      <c r="C61" s="78">
        <v>212</v>
      </c>
      <c r="D61" s="79">
        <v>19</v>
      </c>
      <c r="E61" s="103">
        <f t="shared" si="3"/>
        <v>193</v>
      </c>
    </row>
    <row r="62" spans="1:5" ht="30">
      <c r="A62" s="43" t="s">
        <v>86</v>
      </c>
      <c r="B62" s="43">
        <v>2011</v>
      </c>
      <c r="C62" s="78">
        <v>567</v>
      </c>
      <c r="D62" s="79">
        <v>28</v>
      </c>
      <c r="E62" s="103">
        <f t="shared" si="3"/>
        <v>539</v>
      </c>
    </row>
    <row r="63" spans="1:5" ht="45">
      <c r="A63" s="43" t="s">
        <v>87</v>
      </c>
      <c r="B63" s="43">
        <v>2011</v>
      </c>
      <c r="C63" s="78">
        <v>440</v>
      </c>
      <c r="D63" s="79">
        <v>5</v>
      </c>
      <c r="E63" s="103">
        <f t="shared" si="3"/>
        <v>435</v>
      </c>
    </row>
    <row r="64" spans="1:5" ht="60">
      <c r="A64" s="43" t="s">
        <v>88</v>
      </c>
      <c r="B64" s="43">
        <v>2011</v>
      </c>
      <c r="C64" s="78">
        <v>214</v>
      </c>
      <c r="D64" s="79">
        <v>8</v>
      </c>
      <c r="E64" s="103">
        <f t="shared" si="3"/>
        <v>206</v>
      </c>
    </row>
    <row r="65" spans="1:5" ht="30">
      <c r="A65" s="43" t="s">
        <v>90</v>
      </c>
      <c r="B65" s="43">
        <v>2011</v>
      </c>
      <c r="C65" s="78">
        <v>1026</v>
      </c>
      <c r="D65" s="79">
        <v>135</v>
      </c>
      <c r="E65" s="103">
        <f t="shared" si="3"/>
        <v>891</v>
      </c>
    </row>
    <row r="66" spans="1:5" ht="30">
      <c r="A66" s="43" t="s">
        <v>92</v>
      </c>
      <c r="B66" s="43">
        <v>2011</v>
      </c>
      <c r="C66" s="78">
        <v>350</v>
      </c>
      <c r="D66" s="79">
        <v>16</v>
      </c>
      <c r="E66" s="103">
        <f t="shared" si="3"/>
        <v>334</v>
      </c>
    </row>
    <row r="67" spans="1:5">
      <c r="A67" s="80" t="s">
        <v>47</v>
      </c>
      <c r="B67" s="51"/>
      <c r="C67" s="83"/>
      <c r="D67" s="83"/>
      <c r="E67" s="103" t="s">
        <v>41</v>
      </c>
    </row>
    <row r="68" spans="1:5">
      <c r="A68" s="43" t="s">
        <v>40</v>
      </c>
      <c r="B68" s="43">
        <v>2013</v>
      </c>
      <c r="C68" s="78">
        <v>86385</v>
      </c>
      <c r="D68" s="79">
        <v>4634</v>
      </c>
      <c r="E68" s="103">
        <f>C68-D68</f>
        <v>81751</v>
      </c>
    </row>
    <row r="69" spans="1:5">
      <c r="A69" s="43" t="s">
        <v>78</v>
      </c>
      <c r="B69" s="43">
        <v>2013</v>
      </c>
      <c r="C69" s="78">
        <v>12056</v>
      </c>
      <c r="D69" s="79">
        <v>1388</v>
      </c>
      <c r="E69" s="103">
        <f>C69-D69</f>
        <v>10668</v>
      </c>
    </row>
    <row r="70" spans="1:5">
      <c r="A70" s="43" t="s">
        <v>80</v>
      </c>
      <c r="B70" s="43">
        <v>2013</v>
      </c>
      <c r="C70" s="78">
        <v>26518</v>
      </c>
      <c r="D70" s="79">
        <v>1498</v>
      </c>
      <c r="E70" s="103">
        <f>C70-D70</f>
        <v>25020</v>
      </c>
    </row>
    <row r="71" spans="1:5">
      <c r="A71" s="43" t="s">
        <v>81</v>
      </c>
      <c r="B71" s="43">
        <v>2013</v>
      </c>
      <c r="C71" s="78" t="s">
        <v>35</v>
      </c>
      <c r="D71" s="79" t="s">
        <v>35</v>
      </c>
      <c r="E71" s="103" t="s">
        <v>35</v>
      </c>
    </row>
    <row r="72" spans="1:5" ht="30">
      <c r="A72" s="43" t="s">
        <v>82</v>
      </c>
      <c r="B72" s="43">
        <v>2013</v>
      </c>
      <c r="C72" s="78">
        <v>28557</v>
      </c>
      <c r="D72" s="79">
        <v>796</v>
      </c>
      <c r="E72" s="103">
        <f t="shared" ref="E72:E79" si="4">C72-D72</f>
        <v>27761</v>
      </c>
    </row>
    <row r="73" spans="1:5" ht="30">
      <c r="A73" s="43" t="s">
        <v>83</v>
      </c>
      <c r="B73" s="43">
        <v>2013</v>
      </c>
      <c r="C73" s="78">
        <v>9326</v>
      </c>
      <c r="D73" s="79">
        <v>389</v>
      </c>
      <c r="E73" s="103">
        <f t="shared" si="4"/>
        <v>8937</v>
      </c>
    </row>
    <row r="74" spans="1:5" ht="30">
      <c r="A74" s="43" t="s">
        <v>85</v>
      </c>
      <c r="B74" s="43">
        <v>2013</v>
      </c>
      <c r="C74" s="78">
        <v>1137</v>
      </c>
      <c r="D74" s="79">
        <v>82</v>
      </c>
      <c r="E74" s="103">
        <f t="shared" si="4"/>
        <v>1055</v>
      </c>
    </row>
    <row r="75" spans="1:5" ht="30">
      <c r="A75" s="43" t="s">
        <v>86</v>
      </c>
      <c r="B75" s="43">
        <v>2013</v>
      </c>
      <c r="C75" s="78">
        <v>2849</v>
      </c>
      <c r="D75" s="79">
        <v>95</v>
      </c>
      <c r="E75" s="103">
        <f t="shared" si="4"/>
        <v>2754</v>
      </c>
    </row>
    <row r="76" spans="1:5" ht="45">
      <c r="A76" s="43" t="s">
        <v>87</v>
      </c>
      <c r="B76" s="43">
        <v>2013</v>
      </c>
      <c r="C76" s="78">
        <v>2092</v>
      </c>
      <c r="D76" s="79">
        <v>32</v>
      </c>
      <c r="E76" s="103">
        <f t="shared" si="4"/>
        <v>2060</v>
      </c>
    </row>
    <row r="77" spans="1:5" ht="60">
      <c r="A77" s="43" t="s">
        <v>88</v>
      </c>
      <c r="B77" s="43">
        <v>2013</v>
      </c>
      <c r="C77" s="78">
        <v>524</v>
      </c>
      <c r="D77" s="79">
        <v>9</v>
      </c>
      <c r="E77" s="103">
        <f t="shared" si="4"/>
        <v>515</v>
      </c>
    </row>
    <row r="78" spans="1:5" ht="30">
      <c r="A78" s="43" t="s">
        <v>90</v>
      </c>
      <c r="B78" s="43">
        <v>2013</v>
      </c>
      <c r="C78" s="78">
        <v>2349</v>
      </c>
      <c r="D78" s="79">
        <v>300</v>
      </c>
      <c r="E78" s="103">
        <f t="shared" si="4"/>
        <v>2049</v>
      </c>
    </row>
    <row r="79" spans="1:5" ht="30">
      <c r="A79" s="43" t="s">
        <v>92</v>
      </c>
      <c r="B79" s="43">
        <v>2013</v>
      </c>
      <c r="C79" s="78">
        <v>977</v>
      </c>
      <c r="D79" s="79">
        <v>45</v>
      </c>
      <c r="E79" s="103">
        <f t="shared" si="4"/>
        <v>932</v>
      </c>
    </row>
    <row r="80" spans="1:5">
      <c r="A80" s="80" t="s">
        <v>48</v>
      </c>
      <c r="B80" s="43">
        <v>2013</v>
      </c>
      <c r="D80" s="79" t="s">
        <v>41</v>
      </c>
      <c r="E80" s="103" t="s">
        <v>41</v>
      </c>
    </row>
    <row r="81" spans="1:5">
      <c r="A81" s="43" t="s">
        <v>40</v>
      </c>
      <c r="B81" s="43">
        <v>2013</v>
      </c>
      <c r="C81" s="78">
        <v>16169</v>
      </c>
      <c r="D81" s="79">
        <v>943</v>
      </c>
      <c r="E81" s="103">
        <f>C81-D81</f>
        <v>15226</v>
      </c>
    </row>
    <row r="82" spans="1:5">
      <c r="A82" s="43" t="s">
        <v>78</v>
      </c>
      <c r="B82" s="43">
        <v>2013</v>
      </c>
      <c r="C82" s="78">
        <v>2002</v>
      </c>
      <c r="D82" s="79">
        <v>258</v>
      </c>
      <c r="E82" s="103">
        <f>C82-D82</f>
        <v>1744</v>
      </c>
    </row>
    <row r="83" spans="1:5">
      <c r="A83" s="43" t="s">
        <v>80</v>
      </c>
      <c r="B83" s="43">
        <v>2013</v>
      </c>
      <c r="C83" s="78">
        <v>4435</v>
      </c>
      <c r="D83" s="79">
        <v>357</v>
      </c>
      <c r="E83" s="103">
        <f>C83-D83</f>
        <v>4078</v>
      </c>
    </row>
    <row r="84" spans="1:5">
      <c r="A84" s="43" t="s">
        <v>81</v>
      </c>
      <c r="B84" s="43">
        <v>2013</v>
      </c>
      <c r="C84" s="78" t="s">
        <v>35</v>
      </c>
      <c r="D84" s="79" t="s">
        <v>35</v>
      </c>
      <c r="E84" s="103" t="s">
        <v>35</v>
      </c>
    </row>
    <row r="85" spans="1:5" ht="30">
      <c r="A85" s="43" t="s">
        <v>82</v>
      </c>
      <c r="B85" s="43">
        <v>2013</v>
      </c>
      <c r="C85" s="78">
        <v>5885</v>
      </c>
      <c r="D85" s="79">
        <v>161</v>
      </c>
      <c r="E85" s="103">
        <f t="shared" ref="E85:E92" si="5">C85-D85</f>
        <v>5724</v>
      </c>
    </row>
    <row r="86" spans="1:5" ht="30">
      <c r="A86" s="43" t="s">
        <v>83</v>
      </c>
      <c r="B86" s="43">
        <v>2013</v>
      </c>
      <c r="C86" s="78">
        <v>2541</v>
      </c>
      <c r="D86" s="79">
        <v>80</v>
      </c>
      <c r="E86" s="103">
        <f t="shared" si="5"/>
        <v>2461</v>
      </c>
    </row>
    <row r="87" spans="1:5" ht="30">
      <c r="A87" s="43" t="s">
        <v>85</v>
      </c>
      <c r="B87" s="43">
        <v>2013</v>
      </c>
      <c r="C87" s="78">
        <v>114</v>
      </c>
      <c r="D87" s="79">
        <v>3</v>
      </c>
      <c r="E87" s="103">
        <f t="shared" si="5"/>
        <v>111</v>
      </c>
    </row>
    <row r="88" spans="1:5" ht="30">
      <c r="A88" s="43" t="s">
        <v>86</v>
      </c>
      <c r="B88" s="43">
        <v>2013</v>
      </c>
      <c r="C88" s="78">
        <v>326</v>
      </c>
      <c r="D88" s="79">
        <v>10</v>
      </c>
      <c r="E88" s="103">
        <f t="shared" si="5"/>
        <v>316</v>
      </c>
    </row>
    <row r="89" spans="1:5" ht="45">
      <c r="A89" s="43" t="s">
        <v>87</v>
      </c>
      <c r="B89" s="43">
        <v>2013</v>
      </c>
      <c r="C89" s="78">
        <v>82</v>
      </c>
      <c r="D89" s="79">
        <v>1</v>
      </c>
      <c r="E89" s="103">
        <f t="shared" si="5"/>
        <v>81</v>
      </c>
    </row>
    <row r="90" spans="1:5" ht="60">
      <c r="A90" s="43" t="s">
        <v>88</v>
      </c>
      <c r="B90" s="43">
        <v>2013</v>
      </c>
      <c r="C90" s="78">
        <v>190</v>
      </c>
      <c r="D90" s="79">
        <v>2</v>
      </c>
      <c r="E90" s="103">
        <f t="shared" si="5"/>
        <v>188</v>
      </c>
    </row>
    <row r="91" spans="1:5" ht="30">
      <c r="A91" s="43" t="s">
        <v>90</v>
      </c>
      <c r="B91" s="43">
        <v>2013</v>
      </c>
      <c r="C91" s="78">
        <v>414</v>
      </c>
      <c r="D91" s="79">
        <v>65</v>
      </c>
      <c r="E91" s="103">
        <f t="shared" si="5"/>
        <v>349</v>
      </c>
    </row>
    <row r="92" spans="1:5" ht="30">
      <c r="A92" s="43" t="s">
        <v>92</v>
      </c>
      <c r="B92" s="43">
        <v>2013</v>
      </c>
      <c r="C92" s="78">
        <v>180</v>
      </c>
      <c r="D92" s="79">
        <v>6</v>
      </c>
      <c r="E92" s="103">
        <f t="shared" si="5"/>
        <v>174</v>
      </c>
    </row>
    <row r="93" spans="1:5">
      <c r="A93" s="80" t="s">
        <v>49</v>
      </c>
      <c r="B93" s="43">
        <v>2013</v>
      </c>
      <c r="D93" s="79" t="s">
        <v>41</v>
      </c>
      <c r="E93" s="103" t="s">
        <v>41</v>
      </c>
    </row>
    <row r="94" spans="1:5">
      <c r="A94" s="43" t="s">
        <v>40</v>
      </c>
      <c r="B94" s="43">
        <v>2013</v>
      </c>
      <c r="C94" s="78">
        <v>21690</v>
      </c>
      <c r="D94" s="79">
        <v>1672</v>
      </c>
      <c r="E94" s="103">
        <f>C94-D94</f>
        <v>20018</v>
      </c>
    </row>
    <row r="95" spans="1:5">
      <c r="A95" s="43" t="s">
        <v>78</v>
      </c>
      <c r="B95" s="43">
        <v>2013</v>
      </c>
      <c r="C95" s="78">
        <v>2278</v>
      </c>
      <c r="D95" s="79">
        <v>389</v>
      </c>
      <c r="E95" s="103">
        <f>C95-D95</f>
        <v>1889</v>
      </c>
    </row>
    <row r="96" spans="1:5">
      <c r="A96" s="43" t="s">
        <v>80</v>
      </c>
      <c r="B96" s="43">
        <v>2013</v>
      </c>
      <c r="C96" s="78">
        <v>5060</v>
      </c>
      <c r="D96" s="79">
        <v>465</v>
      </c>
      <c r="E96" s="103">
        <f>C96-D96</f>
        <v>4595</v>
      </c>
    </row>
    <row r="97" spans="1:5">
      <c r="A97" s="43" t="s">
        <v>81</v>
      </c>
      <c r="B97" s="43">
        <v>2013</v>
      </c>
      <c r="C97" s="78" t="s">
        <v>35</v>
      </c>
      <c r="D97" s="79" t="s">
        <v>35</v>
      </c>
      <c r="E97" s="103" t="s">
        <v>35</v>
      </c>
    </row>
    <row r="98" spans="1:5" ht="30">
      <c r="A98" s="43" t="s">
        <v>82</v>
      </c>
      <c r="B98" s="43">
        <v>2013</v>
      </c>
      <c r="C98" s="78">
        <v>7385</v>
      </c>
      <c r="D98" s="79">
        <v>328</v>
      </c>
      <c r="E98" s="103">
        <f t="shared" ref="E98:E105" si="6">C98-D98</f>
        <v>7057</v>
      </c>
    </row>
    <row r="99" spans="1:5" ht="30">
      <c r="A99" s="43" t="s">
        <v>83</v>
      </c>
      <c r="B99" s="43">
        <v>2013</v>
      </c>
      <c r="C99" s="78">
        <v>3409</v>
      </c>
      <c r="D99" s="79">
        <v>249</v>
      </c>
      <c r="E99" s="103">
        <f t="shared" si="6"/>
        <v>3160</v>
      </c>
    </row>
    <row r="100" spans="1:5" ht="30">
      <c r="A100" s="43" t="s">
        <v>85</v>
      </c>
      <c r="B100" s="43">
        <v>2013</v>
      </c>
      <c r="C100" s="78">
        <v>426</v>
      </c>
      <c r="D100" s="79">
        <v>42</v>
      </c>
      <c r="E100" s="103">
        <f t="shared" si="6"/>
        <v>384</v>
      </c>
    </row>
    <row r="101" spans="1:5" ht="30">
      <c r="A101" s="43" t="s">
        <v>86</v>
      </c>
      <c r="B101" s="43">
        <v>2013</v>
      </c>
      <c r="C101" s="78">
        <v>1182</v>
      </c>
      <c r="D101" s="79">
        <v>58</v>
      </c>
      <c r="E101" s="103">
        <f t="shared" si="6"/>
        <v>1124</v>
      </c>
    </row>
    <row r="102" spans="1:5" ht="45">
      <c r="A102" s="43" t="s">
        <v>87</v>
      </c>
      <c r="B102" s="43">
        <v>2013</v>
      </c>
      <c r="C102" s="78">
        <v>1013</v>
      </c>
      <c r="D102" s="79">
        <v>27</v>
      </c>
      <c r="E102" s="103">
        <f t="shared" si="6"/>
        <v>986</v>
      </c>
    </row>
    <row r="103" spans="1:5" ht="60">
      <c r="A103" s="43" t="s">
        <v>88</v>
      </c>
      <c r="B103" s="43">
        <v>2013</v>
      </c>
      <c r="C103" s="78">
        <v>113</v>
      </c>
      <c r="D103" s="79">
        <v>5</v>
      </c>
      <c r="E103" s="103">
        <f t="shared" si="6"/>
        <v>108</v>
      </c>
    </row>
    <row r="104" spans="1:5" ht="30">
      <c r="A104" s="43" t="s">
        <v>90</v>
      </c>
      <c r="B104" s="43">
        <v>2013</v>
      </c>
      <c r="C104" s="78">
        <v>521</v>
      </c>
      <c r="D104" s="79">
        <v>86</v>
      </c>
      <c r="E104" s="103">
        <f t="shared" si="6"/>
        <v>435</v>
      </c>
    </row>
    <row r="105" spans="1:5" ht="30">
      <c r="A105" s="43" t="s">
        <v>92</v>
      </c>
      <c r="B105" s="43">
        <v>2013</v>
      </c>
      <c r="C105" s="78">
        <v>303</v>
      </c>
      <c r="D105" s="79">
        <v>23</v>
      </c>
      <c r="E105" s="103">
        <f t="shared" si="6"/>
        <v>280</v>
      </c>
    </row>
    <row r="106" spans="1:5">
      <c r="A106" s="80" t="s">
        <v>50</v>
      </c>
      <c r="B106" s="43">
        <v>2013</v>
      </c>
      <c r="D106" s="79" t="s">
        <v>41</v>
      </c>
      <c r="E106" s="103" t="s">
        <v>41</v>
      </c>
    </row>
    <row r="107" spans="1:5">
      <c r="A107" s="43" t="s">
        <v>40</v>
      </c>
      <c r="B107" s="43">
        <v>2013</v>
      </c>
      <c r="C107" s="78">
        <v>19452</v>
      </c>
      <c r="D107" s="79">
        <v>677</v>
      </c>
      <c r="E107" s="103">
        <f>C107-D107</f>
        <v>18775</v>
      </c>
    </row>
    <row r="108" spans="1:5">
      <c r="A108" s="43" t="s">
        <v>78</v>
      </c>
      <c r="B108" s="43">
        <v>2013</v>
      </c>
      <c r="C108" s="78">
        <v>2927</v>
      </c>
      <c r="D108" s="79">
        <v>265</v>
      </c>
      <c r="E108" s="103">
        <f>C108-D108</f>
        <v>2662</v>
      </c>
    </row>
    <row r="109" spans="1:5">
      <c r="A109" s="43" t="s">
        <v>80</v>
      </c>
      <c r="B109" s="43">
        <v>2013</v>
      </c>
      <c r="C109" s="78">
        <v>6923</v>
      </c>
      <c r="D109" s="79">
        <v>222</v>
      </c>
      <c r="E109" s="103">
        <f>C109-D109</f>
        <v>6701</v>
      </c>
    </row>
    <row r="110" spans="1:5">
      <c r="A110" s="43" t="s">
        <v>81</v>
      </c>
      <c r="B110" s="43">
        <v>2013</v>
      </c>
      <c r="C110" s="78"/>
      <c r="D110" s="79"/>
      <c r="E110" s="103"/>
    </row>
    <row r="111" spans="1:5" ht="30">
      <c r="A111" s="43" t="s">
        <v>82</v>
      </c>
      <c r="B111" s="43">
        <v>2013</v>
      </c>
      <c r="C111" s="78">
        <v>6526</v>
      </c>
      <c r="D111" s="79">
        <v>92</v>
      </c>
      <c r="E111" s="103">
        <f t="shared" ref="E111:E118" si="7">C111-D111</f>
        <v>6434</v>
      </c>
    </row>
    <row r="112" spans="1:5" ht="30">
      <c r="A112" s="43" t="s">
        <v>83</v>
      </c>
      <c r="B112" s="43">
        <v>2013</v>
      </c>
      <c r="C112" s="78">
        <v>825</v>
      </c>
      <c r="D112" s="79">
        <v>14</v>
      </c>
      <c r="E112" s="103">
        <f t="shared" si="7"/>
        <v>811</v>
      </c>
    </row>
    <row r="113" spans="1:5" ht="30">
      <c r="A113" s="43" t="s">
        <v>85</v>
      </c>
      <c r="B113" s="43">
        <v>2013</v>
      </c>
      <c r="C113" s="78">
        <v>331</v>
      </c>
      <c r="D113" s="79">
        <v>22</v>
      </c>
      <c r="E113" s="103">
        <f t="shared" si="7"/>
        <v>309</v>
      </c>
    </row>
    <row r="114" spans="1:5" ht="30">
      <c r="A114" s="43" t="s">
        <v>86</v>
      </c>
      <c r="B114" s="43">
        <v>2013</v>
      </c>
      <c r="C114" s="78">
        <v>759</v>
      </c>
      <c r="D114" s="79">
        <v>11</v>
      </c>
      <c r="E114" s="103">
        <f t="shared" si="7"/>
        <v>748</v>
      </c>
    </row>
    <row r="115" spans="1:5" ht="45">
      <c r="A115" s="43" t="s">
        <v>87</v>
      </c>
      <c r="B115" s="43">
        <v>2013</v>
      </c>
      <c r="C115" s="78">
        <v>568</v>
      </c>
      <c r="D115" s="79">
        <v>2</v>
      </c>
      <c r="E115" s="103">
        <f t="shared" si="7"/>
        <v>566</v>
      </c>
    </row>
    <row r="116" spans="1:5" ht="60">
      <c r="A116" s="43" t="s">
        <v>88</v>
      </c>
      <c r="B116" s="43">
        <v>2013</v>
      </c>
      <c r="C116" s="78">
        <v>44</v>
      </c>
      <c r="D116" s="79">
        <v>1</v>
      </c>
      <c r="E116" s="103">
        <f t="shared" si="7"/>
        <v>43</v>
      </c>
    </row>
    <row r="117" spans="1:5" ht="30">
      <c r="A117" s="43" t="s">
        <v>90</v>
      </c>
      <c r="B117" s="43">
        <v>2013</v>
      </c>
      <c r="C117" s="78">
        <v>450</v>
      </c>
      <c r="D117" s="79">
        <v>46</v>
      </c>
      <c r="E117" s="103">
        <f t="shared" si="7"/>
        <v>404</v>
      </c>
    </row>
    <row r="118" spans="1:5" ht="30">
      <c r="A118" s="43" t="s">
        <v>92</v>
      </c>
      <c r="B118" s="43">
        <v>2013</v>
      </c>
      <c r="C118" s="78">
        <v>99</v>
      </c>
      <c r="D118" s="79">
        <v>2</v>
      </c>
      <c r="E118" s="103">
        <f t="shared" si="7"/>
        <v>97</v>
      </c>
    </row>
    <row r="119" spans="1:5">
      <c r="A119" s="80" t="s">
        <v>51</v>
      </c>
      <c r="B119" s="43">
        <v>2013</v>
      </c>
      <c r="C119" s="78" t="s">
        <v>41</v>
      </c>
      <c r="D119" s="79" t="s">
        <v>41</v>
      </c>
      <c r="E119" s="103" t="s">
        <v>41</v>
      </c>
    </row>
    <row r="120" spans="1:5">
      <c r="A120" s="43" t="s">
        <v>40</v>
      </c>
      <c r="B120" s="43">
        <v>2013</v>
      </c>
      <c r="C120" s="78">
        <v>29074</v>
      </c>
      <c r="D120" s="79">
        <v>1342</v>
      </c>
      <c r="E120" s="103">
        <f>C120-D120</f>
        <v>27732</v>
      </c>
    </row>
    <row r="121" spans="1:5">
      <c r="A121" s="43" t="s">
        <v>78</v>
      </c>
      <c r="B121" s="43">
        <v>2013</v>
      </c>
      <c r="C121" s="78">
        <v>4849</v>
      </c>
      <c r="D121" s="79">
        <v>476</v>
      </c>
      <c r="E121" s="103">
        <f>C121-D121</f>
        <v>4373</v>
      </c>
    </row>
    <row r="122" spans="1:5">
      <c r="A122" s="43" t="s">
        <v>80</v>
      </c>
      <c r="B122" s="43">
        <v>2013</v>
      </c>
      <c r="C122" s="78">
        <v>10100</v>
      </c>
      <c r="D122" s="79">
        <v>454</v>
      </c>
      <c r="E122" s="103">
        <f>C122-D122</f>
        <v>9646</v>
      </c>
    </row>
    <row r="123" spans="1:5">
      <c r="A123" s="43" t="s">
        <v>81</v>
      </c>
      <c r="B123" s="43">
        <v>2013</v>
      </c>
      <c r="C123" s="78"/>
      <c r="D123" s="79"/>
      <c r="E123" s="103"/>
    </row>
    <row r="124" spans="1:5" ht="30">
      <c r="A124" s="43" t="s">
        <v>82</v>
      </c>
      <c r="B124" s="43">
        <v>2013</v>
      </c>
      <c r="C124" s="78">
        <v>8761</v>
      </c>
      <c r="D124" s="79">
        <v>215</v>
      </c>
      <c r="E124" s="103">
        <f t="shared" ref="E124:E131" si="8">C124-D124</f>
        <v>8546</v>
      </c>
    </row>
    <row r="125" spans="1:5" ht="30">
      <c r="A125" s="43" t="s">
        <v>83</v>
      </c>
      <c r="B125" s="43">
        <v>2013</v>
      </c>
      <c r="C125" s="78">
        <v>2551</v>
      </c>
      <c r="D125" s="79">
        <v>46</v>
      </c>
      <c r="E125" s="103">
        <f t="shared" si="8"/>
        <v>2505</v>
      </c>
    </row>
    <row r="126" spans="1:5" ht="30">
      <c r="A126" s="43" t="s">
        <v>85</v>
      </c>
      <c r="B126" s="43">
        <v>2013</v>
      </c>
      <c r="C126" s="78">
        <v>266</v>
      </c>
      <c r="D126" s="79">
        <v>15</v>
      </c>
      <c r="E126" s="103">
        <f t="shared" si="8"/>
        <v>251</v>
      </c>
    </row>
    <row r="127" spans="1:5" ht="30">
      <c r="A127" s="43" t="s">
        <v>86</v>
      </c>
      <c r="B127" s="43">
        <v>2013</v>
      </c>
      <c r="C127" s="78">
        <v>582</v>
      </c>
      <c r="D127" s="79">
        <v>16</v>
      </c>
      <c r="E127" s="103">
        <f t="shared" si="8"/>
        <v>566</v>
      </c>
    </row>
    <row r="128" spans="1:5" ht="45">
      <c r="A128" s="43" t="s">
        <v>87</v>
      </c>
      <c r="B128" s="43">
        <v>2013</v>
      </c>
      <c r="C128" s="78">
        <v>429</v>
      </c>
      <c r="D128" s="79">
        <v>2</v>
      </c>
      <c r="E128" s="103">
        <f t="shared" si="8"/>
        <v>427</v>
      </c>
    </row>
    <row r="129" spans="1:5" ht="60">
      <c r="A129" s="43" t="s">
        <v>88</v>
      </c>
      <c r="B129" s="43">
        <v>2013</v>
      </c>
      <c r="C129" s="78">
        <v>177</v>
      </c>
      <c r="D129" s="79">
        <v>1</v>
      </c>
      <c r="E129" s="103">
        <f t="shared" si="8"/>
        <v>176</v>
      </c>
    </row>
    <row r="130" spans="1:5" ht="30">
      <c r="A130" s="43" t="s">
        <v>90</v>
      </c>
      <c r="B130" s="43">
        <v>2013</v>
      </c>
      <c r="C130" s="78">
        <v>964</v>
      </c>
      <c r="D130" s="79">
        <v>103</v>
      </c>
      <c r="E130" s="103">
        <f t="shared" si="8"/>
        <v>861</v>
      </c>
    </row>
    <row r="131" spans="1:5" ht="30">
      <c r="A131" s="43" t="s">
        <v>92</v>
      </c>
      <c r="B131" s="43">
        <v>2013</v>
      </c>
      <c r="C131" s="78">
        <v>395</v>
      </c>
      <c r="D131" s="79">
        <v>14</v>
      </c>
      <c r="E131" s="103">
        <f t="shared" si="8"/>
        <v>381</v>
      </c>
    </row>
    <row r="132" spans="1:5">
      <c r="A132" s="80" t="s">
        <v>47</v>
      </c>
      <c r="B132" s="51"/>
      <c r="E132" s="103" t="s">
        <v>41</v>
      </c>
    </row>
    <row r="133" spans="1:5">
      <c r="A133" s="43" t="s">
        <v>40</v>
      </c>
      <c r="B133" s="43">
        <v>2015</v>
      </c>
      <c r="C133" s="78">
        <v>80182</v>
      </c>
      <c r="D133" s="79">
        <v>4479</v>
      </c>
      <c r="E133" s="103">
        <f t="shared" ref="E133:E144" si="9">C133-D133</f>
        <v>75703</v>
      </c>
    </row>
    <row r="134" spans="1:5">
      <c r="A134" s="43" t="s">
        <v>78</v>
      </c>
      <c r="B134" s="43">
        <v>2015</v>
      </c>
      <c r="C134" s="78">
        <v>5714</v>
      </c>
      <c r="D134" s="79">
        <v>963</v>
      </c>
      <c r="E134" s="103">
        <f t="shared" si="9"/>
        <v>4751</v>
      </c>
    </row>
    <row r="135" spans="1:5">
      <c r="A135" s="43" t="s">
        <v>80</v>
      </c>
      <c r="B135" s="43">
        <v>2015</v>
      </c>
      <c r="C135" s="78">
        <v>12506</v>
      </c>
      <c r="D135" s="79">
        <v>829</v>
      </c>
      <c r="E135" s="103">
        <f t="shared" si="9"/>
        <v>11677</v>
      </c>
    </row>
    <row r="136" spans="1:5">
      <c r="A136" s="43" t="s">
        <v>81</v>
      </c>
      <c r="B136" s="43">
        <v>2015</v>
      </c>
      <c r="C136" s="78">
        <v>15542</v>
      </c>
      <c r="D136" s="79">
        <v>1012</v>
      </c>
      <c r="E136" s="103">
        <f t="shared" si="9"/>
        <v>14530</v>
      </c>
    </row>
    <row r="137" spans="1:5" ht="30">
      <c r="A137" s="43" t="s">
        <v>82</v>
      </c>
      <c r="B137" s="43">
        <v>2015</v>
      </c>
      <c r="C137" s="78">
        <v>26841</v>
      </c>
      <c r="D137" s="79">
        <v>660</v>
      </c>
      <c r="E137" s="103">
        <f t="shared" si="9"/>
        <v>26181</v>
      </c>
    </row>
    <row r="138" spans="1:5" ht="30">
      <c r="A138" s="43" t="s">
        <v>83</v>
      </c>
      <c r="B138" s="43">
        <v>2015</v>
      </c>
      <c r="C138" s="78">
        <v>10547</v>
      </c>
      <c r="D138" s="79">
        <v>529</v>
      </c>
      <c r="E138" s="103">
        <f t="shared" si="9"/>
        <v>10018</v>
      </c>
    </row>
    <row r="139" spans="1:5" ht="30">
      <c r="A139" s="43" t="s">
        <v>85</v>
      </c>
      <c r="B139" s="43">
        <v>2015</v>
      </c>
      <c r="C139" s="78">
        <v>1019</v>
      </c>
      <c r="D139" s="79">
        <v>103</v>
      </c>
      <c r="E139" s="103">
        <f t="shared" si="9"/>
        <v>916</v>
      </c>
    </row>
    <row r="140" spans="1:5" ht="30">
      <c r="A140" s="43" t="s">
        <v>86</v>
      </c>
      <c r="B140" s="43">
        <v>2015</v>
      </c>
      <c r="C140" s="78">
        <v>2660</v>
      </c>
      <c r="D140" s="79">
        <v>89</v>
      </c>
      <c r="E140" s="103">
        <f t="shared" si="9"/>
        <v>2571</v>
      </c>
    </row>
    <row r="141" spans="1:5" ht="45">
      <c r="A141" s="43" t="s">
        <v>87</v>
      </c>
      <c r="B141" s="43">
        <v>2015</v>
      </c>
      <c r="C141" s="78">
        <v>1983</v>
      </c>
      <c r="D141" s="79">
        <v>47</v>
      </c>
      <c r="E141" s="103">
        <f t="shared" si="9"/>
        <v>1936</v>
      </c>
    </row>
    <row r="142" spans="1:5" ht="60">
      <c r="A142" s="43" t="s">
        <v>88</v>
      </c>
      <c r="B142" s="43">
        <v>2015</v>
      </c>
      <c r="C142" s="78">
        <v>566</v>
      </c>
      <c r="D142" s="79">
        <v>19</v>
      </c>
      <c r="E142" s="103">
        <f t="shared" si="9"/>
        <v>547</v>
      </c>
    </row>
    <row r="143" spans="1:5" ht="30">
      <c r="A143" s="43" t="s">
        <v>90</v>
      </c>
      <c r="B143" s="43">
        <v>2015</v>
      </c>
      <c r="C143" s="78">
        <v>1870</v>
      </c>
      <c r="D143" s="79">
        <v>183</v>
      </c>
      <c r="E143" s="103">
        <f t="shared" si="9"/>
        <v>1687</v>
      </c>
    </row>
    <row r="144" spans="1:5" ht="30">
      <c r="A144" s="43" t="s">
        <v>92</v>
      </c>
      <c r="B144" s="43">
        <v>2015</v>
      </c>
      <c r="C144" s="78">
        <v>934</v>
      </c>
      <c r="D144" s="79">
        <v>45</v>
      </c>
      <c r="E144" s="103">
        <f t="shared" si="9"/>
        <v>889</v>
      </c>
    </row>
    <row r="145" spans="1:5">
      <c r="A145" s="80" t="s">
        <v>48</v>
      </c>
      <c r="B145" s="43">
        <v>2015</v>
      </c>
      <c r="E145" s="103" t="s">
        <v>41</v>
      </c>
    </row>
    <row r="146" spans="1:5">
      <c r="A146" s="43" t="s">
        <v>40</v>
      </c>
      <c r="B146" s="43">
        <v>2015</v>
      </c>
      <c r="C146" s="78">
        <v>14807</v>
      </c>
      <c r="D146" s="79">
        <v>828</v>
      </c>
      <c r="E146" s="103">
        <f t="shared" ref="E146:E154" si="10">C146-D146</f>
        <v>13979</v>
      </c>
    </row>
    <row r="147" spans="1:5">
      <c r="A147" s="43" t="s">
        <v>78</v>
      </c>
      <c r="B147" s="43">
        <v>2015</v>
      </c>
      <c r="C147" s="78">
        <v>1330</v>
      </c>
      <c r="D147" s="79">
        <v>219</v>
      </c>
      <c r="E147" s="103">
        <f t="shared" si="10"/>
        <v>1111</v>
      </c>
    </row>
    <row r="148" spans="1:5">
      <c r="A148" s="43" t="s">
        <v>80</v>
      </c>
      <c r="B148" s="43">
        <v>2015</v>
      </c>
      <c r="C148" s="78">
        <v>2819</v>
      </c>
      <c r="D148" s="79">
        <v>207</v>
      </c>
      <c r="E148" s="103">
        <f t="shared" si="10"/>
        <v>2612</v>
      </c>
    </row>
    <row r="149" spans="1:5">
      <c r="A149" s="43" t="s">
        <v>81</v>
      </c>
      <c r="B149" s="43">
        <v>2015</v>
      </c>
      <c r="C149" s="78">
        <v>1498</v>
      </c>
      <c r="D149" s="79">
        <v>77</v>
      </c>
      <c r="E149" s="103">
        <f t="shared" si="10"/>
        <v>1421</v>
      </c>
    </row>
    <row r="150" spans="1:5" ht="30">
      <c r="A150" s="43" t="s">
        <v>82</v>
      </c>
      <c r="B150" s="43">
        <v>2015</v>
      </c>
      <c r="C150" s="78">
        <v>5316</v>
      </c>
      <c r="D150" s="79">
        <v>146</v>
      </c>
      <c r="E150" s="103">
        <f t="shared" si="10"/>
        <v>5170</v>
      </c>
    </row>
    <row r="151" spans="1:5" ht="30">
      <c r="A151" s="43" t="s">
        <v>83</v>
      </c>
      <c r="B151" s="43">
        <v>2015</v>
      </c>
      <c r="C151" s="78">
        <v>2709</v>
      </c>
      <c r="D151" s="79">
        <v>118</v>
      </c>
      <c r="E151" s="103">
        <f t="shared" si="10"/>
        <v>2591</v>
      </c>
    </row>
    <row r="152" spans="1:5" ht="30">
      <c r="A152" s="43" t="s">
        <v>85</v>
      </c>
      <c r="B152" s="43">
        <v>2015</v>
      </c>
      <c r="C152" s="78">
        <v>108</v>
      </c>
      <c r="D152" s="79">
        <v>4</v>
      </c>
      <c r="E152" s="103">
        <f t="shared" si="10"/>
        <v>104</v>
      </c>
    </row>
    <row r="153" spans="1:5" ht="30">
      <c r="A153" s="43" t="s">
        <v>86</v>
      </c>
      <c r="B153" s="43">
        <v>2015</v>
      </c>
      <c r="C153" s="78">
        <v>246</v>
      </c>
      <c r="D153" s="79">
        <v>2</v>
      </c>
      <c r="E153" s="103">
        <f t="shared" si="10"/>
        <v>244</v>
      </c>
    </row>
    <row r="154" spans="1:5" ht="45">
      <c r="A154" s="43" t="s">
        <v>87</v>
      </c>
      <c r="B154" s="43">
        <v>2015</v>
      </c>
      <c r="C154" s="78">
        <v>71</v>
      </c>
      <c r="D154" s="79">
        <v>1</v>
      </c>
      <c r="E154" s="103">
        <f t="shared" si="10"/>
        <v>70</v>
      </c>
    </row>
    <row r="155" spans="1:5" ht="60">
      <c r="A155" s="43" t="s">
        <v>88</v>
      </c>
      <c r="B155" s="43">
        <v>2015</v>
      </c>
      <c r="C155" s="78">
        <v>193</v>
      </c>
      <c r="D155" s="79"/>
      <c r="E155" s="103"/>
    </row>
    <row r="156" spans="1:5" ht="30">
      <c r="A156" s="43" t="s">
        <v>90</v>
      </c>
      <c r="B156" s="43">
        <v>2015</v>
      </c>
      <c r="C156" s="78">
        <v>329</v>
      </c>
      <c r="D156" s="79">
        <v>41</v>
      </c>
      <c r="E156" s="103">
        <f>C156-D156</f>
        <v>288</v>
      </c>
    </row>
    <row r="157" spans="1:5" ht="30">
      <c r="A157" s="43" t="s">
        <v>92</v>
      </c>
      <c r="B157" s="43">
        <v>2015</v>
      </c>
      <c r="C157" s="78">
        <v>188</v>
      </c>
      <c r="D157" s="79">
        <v>13</v>
      </c>
      <c r="E157" s="103">
        <f>C157-D157</f>
        <v>175</v>
      </c>
    </row>
    <row r="158" spans="1:5">
      <c r="A158" s="80" t="s">
        <v>49</v>
      </c>
      <c r="B158" s="43">
        <v>2015</v>
      </c>
      <c r="C158" s="78" t="s">
        <v>41</v>
      </c>
      <c r="D158" s="79" t="s">
        <v>41</v>
      </c>
      <c r="E158" s="103" t="s">
        <v>41</v>
      </c>
    </row>
    <row r="159" spans="1:5">
      <c r="A159" s="43" t="s">
        <v>40</v>
      </c>
      <c r="B159" s="43">
        <v>2015</v>
      </c>
      <c r="C159" s="78">
        <v>20317</v>
      </c>
      <c r="D159" s="79">
        <v>1526</v>
      </c>
      <c r="E159" s="103">
        <f t="shared" ref="E159:E170" si="11">C159-D159</f>
        <v>18791</v>
      </c>
    </row>
    <row r="160" spans="1:5">
      <c r="A160" s="43" t="s">
        <v>78</v>
      </c>
      <c r="B160" s="43">
        <v>2015</v>
      </c>
      <c r="C160" s="78">
        <v>1147</v>
      </c>
      <c r="D160" s="79">
        <v>273</v>
      </c>
      <c r="E160" s="103">
        <f t="shared" si="11"/>
        <v>874</v>
      </c>
    </row>
    <row r="161" spans="1:5">
      <c r="A161" s="43" t="s">
        <v>80</v>
      </c>
      <c r="B161" s="43">
        <v>2015</v>
      </c>
      <c r="C161" s="78">
        <v>3033</v>
      </c>
      <c r="D161" s="79">
        <v>310</v>
      </c>
      <c r="E161" s="103">
        <f t="shared" si="11"/>
        <v>2723</v>
      </c>
    </row>
    <row r="162" spans="1:5">
      <c r="A162" s="43" t="s">
        <v>81</v>
      </c>
      <c r="B162" s="43">
        <v>2015</v>
      </c>
      <c r="C162" s="78">
        <v>2371</v>
      </c>
      <c r="D162" s="79">
        <v>219</v>
      </c>
      <c r="E162" s="103">
        <f t="shared" si="11"/>
        <v>2152</v>
      </c>
    </row>
    <row r="163" spans="1:5" ht="30">
      <c r="A163" s="43" t="s">
        <v>82</v>
      </c>
      <c r="B163" s="43">
        <v>2015</v>
      </c>
      <c r="C163" s="78">
        <v>7070</v>
      </c>
      <c r="D163" s="79">
        <v>254</v>
      </c>
      <c r="E163" s="103">
        <f t="shared" si="11"/>
        <v>6816</v>
      </c>
    </row>
    <row r="164" spans="1:5" ht="30">
      <c r="A164" s="43" t="s">
        <v>83</v>
      </c>
      <c r="B164" s="43">
        <v>2015</v>
      </c>
      <c r="C164" s="78">
        <v>3496</v>
      </c>
      <c r="D164" s="79">
        <v>291</v>
      </c>
      <c r="E164" s="103">
        <f t="shared" si="11"/>
        <v>3205</v>
      </c>
    </row>
    <row r="165" spans="1:5" ht="30">
      <c r="A165" s="43" t="s">
        <v>85</v>
      </c>
      <c r="B165" s="43">
        <v>2015</v>
      </c>
      <c r="C165" s="78">
        <v>387</v>
      </c>
      <c r="D165" s="79">
        <v>36</v>
      </c>
      <c r="E165" s="103">
        <f t="shared" si="11"/>
        <v>351</v>
      </c>
    </row>
    <row r="166" spans="1:5" ht="30">
      <c r="A166" s="43" t="s">
        <v>86</v>
      </c>
      <c r="B166" s="43">
        <v>2015</v>
      </c>
      <c r="C166" s="78">
        <v>1108</v>
      </c>
      <c r="D166" s="79">
        <v>49</v>
      </c>
      <c r="E166" s="103">
        <f t="shared" si="11"/>
        <v>1059</v>
      </c>
    </row>
    <row r="167" spans="1:5" ht="45">
      <c r="A167" s="43" t="s">
        <v>87</v>
      </c>
      <c r="B167" s="43">
        <v>2015</v>
      </c>
      <c r="C167" s="78">
        <v>921</v>
      </c>
      <c r="D167" s="79">
        <v>28</v>
      </c>
      <c r="E167" s="103">
        <f t="shared" si="11"/>
        <v>893</v>
      </c>
    </row>
    <row r="168" spans="1:5" ht="60">
      <c r="A168" s="43" t="s">
        <v>88</v>
      </c>
      <c r="B168" s="43">
        <v>2015</v>
      </c>
      <c r="C168" s="78">
        <v>128</v>
      </c>
      <c r="D168" s="79">
        <v>5</v>
      </c>
      <c r="E168" s="103">
        <f t="shared" si="11"/>
        <v>123</v>
      </c>
    </row>
    <row r="169" spans="1:5" ht="30">
      <c r="A169" s="43" t="s">
        <v>90</v>
      </c>
      <c r="B169" s="43">
        <v>2015</v>
      </c>
      <c r="C169" s="78">
        <v>372</v>
      </c>
      <c r="D169" s="79">
        <v>45</v>
      </c>
      <c r="E169" s="103">
        <f t="shared" si="11"/>
        <v>327</v>
      </c>
    </row>
    <row r="170" spans="1:5" ht="30">
      <c r="A170" s="43" t="s">
        <v>92</v>
      </c>
      <c r="B170" s="43">
        <v>2015</v>
      </c>
      <c r="C170" s="78">
        <v>284</v>
      </c>
      <c r="D170" s="79">
        <v>16</v>
      </c>
      <c r="E170" s="103">
        <f t="shared" si="11"/>
        <v>268</v>
      </c>
    </row>
    <row r="171" spans="1:5">
      <c r="A171" s="80" t="s">
        <v>50</v>
      </c>
      <c r="B171" s="43">
        <v>2015</v>
      </c>
      <c r="E171" s="103" t="s">
        <v>41</v>
      </c>
    </row>
    <row r="172" spans="1:5">
      <c r="A172" s="43" t="s">
        <v>40</v>
      </c>
      <c r="B172" s="43">
        <v>2015</v>
      </c>
      <c r="C172" s="78">
        <v>17941</v>
      </c>
      <c r="D172" s="79">
        <v>730</v>
      </c>
      <c r="E172" s="103">
        <f t="shared" ref="E172:E183" si="12">C172-D172</f>
        <v>17211</v>
      </c>
    </row>
    <row r="173" spans="1:5">
      <c r="A173" s="43" t="s">
        <v>78</v>
      </c>
      <c r="B173" s="43">
        <v>2015</v>
      </c>
      <c r="C173" s="78">
        <v>1000</v>
      </c>
      <c r="D173" s="79">
        <v>147</v>
      </c>
      <c r="E173" s="103">
        <f t="shared" si="12"/>
        <v>853</v>
      </c>
    </row>
    <row r="174" spans="1:5">
      <c r="A174" s="43" t="s">
        <v>80</v>
      </c>
      <c r="B174" s="43">
        <v>2015</v>
      </c>
      <c r="C174" s="78">
        <v>2147</v>
      </c>
      <c r="D174" s="79">
        <v>91</v>
      </c>
      <c r="E174" s="103">
        <f t="shared" si="12"/>
        <v>2056</v>
      </c>
    </row>
    <row r="175" spans="1:5">
      <c r="A175" s="43" t="s">
        <v>81</v>
      </c>
      <c r="B175" s="43">
        <v>2015</v>
      </c>
      <c r="C175" s="78">
        <v>5016</v>
      </c>
      <c r="D175" s="79">
        <v>257</v>
      </c>
      <c r="E175" s="103">
        <f t="shared" si="12"/>
        <v>4759</v>
      </c>
    </row>
    <row r="176" spans="1:5" ht="30">
      <c r="A176" s="43" t="s">
        <v>82</v>
      </c>
      <c r="B176" s="43">
        <v>2015</v>
      </c>
      <c r="C176" s="78">
        <v>6026</v>
      </c>
      <c r="D176" s="79">
        <v>84</v>
      </c>
      <c r="E176" s="103">
        <f t="shared" si="12"/>
        <v>5942</v>
      </c>
    </row>
    <row r="177" spans="1:5" ht="30">
      <c r="A177" s="43" t="s">
        <v>83</v>
      </c>
      <c r="B177" s="43">
        <v>2015</v>
      </c>
      <c r="C177" s="78">
        <v>1544</v>
      </c>
      <c r="D177" s="79">
        <v>45</v>
      </c>
      <c r="E177" s="103">
        <f t="shared" si="12"/>
        <v>1499</v>
      </c>
    </row>
    <row r="178" spans="1:5" ht="30">
      <c r="A178" s="43" t="s">
        <v>85</v>
      </c>
      <c r="B178" s="43">
        <v>2015</v>
      </c>
      <c r="C178" s="78">
        <v>308</v>
      </c>
      <c r="D178" s="79">
        <v>44</v>
      </c>
      <c r="E178" s="103">
        <f t="shared" si="12"/>
        <v>264</v>
      </c>
    </row>
    <row r="179" spans="1:5" ht="30">
      <c r="A179" s="43" t="s">
        <v>86</v>
      </c>
      <c r="B179" s="43">
        <v>2015</v>
      </c>
      <c r="C179" s="78">
        <v>783</v>
      </c>
      <c r="D179" s="79">
        <v>15</v>
      </c>
      <c r="E179" s="103">
        <f t="shared" si="12"/>
        <v>768</v>
      </c>
    </row>
    <row r="180" spans="1:5" ht="45">
      <c r="A180" s="43" t="s">
        <v>87</v>
      </c>
      <c r="B180" s="43">
        <v>2015</v>
      </c>
      <c r="C180" s="78">
        <v>589</v>
      </c>
      <c r="D180" s="79">
        <v>12</v>
      </c>
      <c r="E180" s="103">
        <f t="shared" si="12"/>
        <v>577</v>
      </c>
    </row>
    <row r="181" spans="1:5" ht="60">
      <c r="A181" s="43" t="s">
        <v>88</v>
      </c>
      <c r="B181" s="43">
        <v>2015</v>
      </c>
      <c r="C181" s="78">
        <v>63</v>
      </c>
      <c r="D181" s="79">
        <v>1</v>
      </c>
      <c r="E181" s="103">
        <f t="shared" si="12"/>
        <v>62</v>
      </c>
    </row>
    <row r="182" spans="1:5" ht="30">
      <c r="A182" s="43" t="s">
        <v>90</v>
      </c>
      <c r="B182" s="43">
        <v>2015</v>
      </c>
      <c r="C182" s="78">
        <v>385</v>
      </c>
      <c r="D182" s="79">
        <v>32</v>
      </c>
      <c r="E182" s="103">
        <f t="shared" si="12"/>
        <v>353</v>
      </c>
    </row>
    <row r="183" spans="1:5" ht="30">
      <c r="A183" s="43" t="s">
        <v>92</v>
      </c>
      <c r="B183" s="43">
        <v>2015</v>
      </c>
      <c r="C183" s="78">
        <v>80</v>
      </c>
      <c r="D183" s="79">
        <v>2</v>
      </c>
      <c r="E183" s="103">
        <f t="shared" si="12"/>
        <v>78</v>
      </c>
    </row>
    <row r="184" spans="1:5">
      <c r="A184" s="80" t="s">
        <v>51</v>
      </c>
      <c r="B184" s="43">
        <v>2015</v>
      </c>
      <c r="E184" s="103" t="s">
        <v>41</v>
      </c>
    </row>
    <row r="185" spans="1:5">
      <c r="A185" s="43" t="s">
        <v>40</v>
      </c>
      <c r="B185" s="43">
        <v>2015</v>
      </c>
      <c r="C185" s="78">
        <v>27117</v>
      </c>
      <c r="D185" s="79">
        <v>1395</v>
      </c>
      <c r="E185" s="103">
        <f t="shared" ref="E185:E196" si="13">C185-D185</f>
        <v>25722</v>
      </c>
    </row>
    <row r="186" spans="1:5">
      <c r="A186" s="43" t="s">
        <v>78</v>
      </c>
      <c r="B186" s="43">
        <v>2015</v>
      </c>
      <c r="C186" s="78">
        <v>2237</v>
      </c>
      <c r="D186" s="79">
        <v>324</v>
      </c>
      <c r="E186" s="103">
        <f t="shared" si="13"/>
        <v>1913</v>
      </c>
    </row>
    <row r="187" spans="1:5">
      <c r="A187" s="43" t="s">
        <v>80</v>
      </c>
      <c r="B187" s="43">
        <v>2015</v>
      </c>
      <c r="C187" s="78">
        <v>4507</v>
      </c>
      <c r="D187" s="79">
        <v>221</v>
      </c>
      <c r="E187" s="103">
        <f t="shared" si="13"/>
        <v>4286</v>
      </c>
    </row>
    <row r="188" spans="1:5">
      <c r="A188" s="43" t="s">
        <v>81</v>
      </c>
      <c r="B188" s="43">
        <v>2015</v>
      </c>
      <c r="C188" s="78">
        <v>6657</v>
      </c>
      <c r="D188" s="79">
        <v>459</v>
      </c>
      <c r="E188" s="103">
        <f t="shared" si="13"/>
        <v>6198</v>
      </c>
    </row>
    <row r="189" spans="1:5" ht="30">
      <c r="A189" s="43" t="s">
        <v>82</v>
      </c>
      <c r="B189" s="43">
        <v>2015</v>
      </c>
      <c r="C189" s="78">
        <v>8429</v>
      </c>
      <c r="D189" s="79">
        <v>176</v>
      </c>
      <c r="E189" s="103">
        <f t="shared" si="13"/>
        <v>8253</v>
      </c>
    </row>
    <row r="190" spans="1:5" ht="30">
      <c r="A190" s="43" t="s">
        <v>83</v>
      </c>
      <c r="B190" s="43">
        <v>2015</v>
      </c>
      <c r="C190" s="78">
        <v>2798</v>
      </c>
      <c r="D190" s="79">
        <v>75</v>
      </c>
      <c r="E190" s="103">
        <f t="shared" si="13"/>
        <v>2723</v>
      </c>
    </row>
    <row r="191" spans="1:5" ht="30">
      <c r="A191" s="43" t="s">
        <v>85</v>
      </c>
      <c r="B191" s="43">
        <v>2015</v>
      </c>
      <c r="C191" s="78">
        <v>216</v>
      </c>
      <c r="D191" s="79">
        <v>19</v>
      </c>
      <c r="E191" s="103">
        <f t="shared" si="13"/>
        <v>197</v>
      </c>
    </row>
    <row r="192" spans="1:5" ht="30">
      <c r="A192" s="43" t="s">
        <v>86</v>
      </c>
      <c r="B192" s="43">
        <v>2015</v>
      </c>
      <c r="C192" s="78">
        <v>523</v>
      </c>
      <c r="D192" s="79">
        <v>23</v>
      </c>
      <c r="E192" s="103">
        <f t="shared" si="13"/>
        <v>500</v>
      </c>
    </row>
    <row r="193" spans="1:6" ht="45">
      <c r="A193" s="43" t="s">
        <v>87</v>
      </c>
      <c r="B193" s="43">
        <v>2015</v>
      </c>
      <c r="C193" s="78">
        <v>402</v>
      </c>
      <c r="D193" s="79">
        <v>6</v>
      </c>
      <c r="E193" s="103">
        <f t="shared" si="13"/>
        <v>396</v>
      </c>
    </row>
    <row r="194" spans="1:6" ht="60">
      <c r="A194" s="43" t="s">
        <v>88</v>
      </c>
      <c r="B194" s="43">
        <v>2015</v>
      </c>
      <c r="C194" s="78">
        <v>182</v>
      </c>
      <c r="D194" s="79">
        <v>13</v>
      </c>
      <c r="E194" s="103">
        <f t="shared" si="13"/>
        <v>169</v>
      </c>
    </row>
    <row r="195" spans="1:6" ht="30">
      <c r="A195" s="43" t="s">
        <v>90</v>
      </c>
      <c r="B195" s="43">
        <v>2015</v>
      </c>
      <c r="C195" s="78">
        <v>784</v>
      </c>
      <c r="D195" s="79">
        <v>65</v>
      </c>
      <c r="E195" s="103">
        <f t="shared" si="13"/>
        <v>719</v>
      </c>
    </row>
    <row r="196" spans="1:6" ht="30">
      <c r="A196" s="43" t="s">
        <v>92</v>
      </c>
      <c r="B196" s="43">
        <v>2015</v>
      </c>
      <c r="C196" s="78">
        <v>382</v>
      </c>
      <c r="D196" s="79">
        <v>14</v>
      </c>
      <c r="E196" s="103">
        <f t="shared" si="13"/>
        <v>368</v>
      </c>
    </row>
    <row r="197" spans="1:6">
      <c r="A197" s="80" t="s">
        <v>47</v>
      </c>
      <c r="B197" s="51"/>
      <c r="E197" s="103" t="s">
        <v>41</v>
      </c>
    </row>
    <row r="198" spans="1:6">
      <c r="A198" s="43" t="s">
        <v>40</v>
      </c>
      <c r="B198" s="43">
        <v>2016</v>
      </c>
      <c r="C198" s="78">
        <v>78665</v>
      </c>
      <c r="D198" s="79">
        <v>5203</v>
      </c>
      <c r="E198" s="103">
        <f t="shared" ref="E198:E209" si="14">C198-D198</f>
        <v>73462</v>
      </c>
      <c r="F198" s="89"/>
    </row>
    <row r="199" spans="1:6">
      <c r="A199" s="43" t="s">
        <v>78</v>
      </c>
      <c r="B199" s="43">
        <v>2016</v>
      </c>
      <c r="C199" s="78">
        <v>4983</v>
      </c>
      <c r="D199" s="79">
        <v>958</v>
      </c>
      <c r="E199" s="103">
        <f t="shared" si="14"/>
        <v>4025</v>
      </c>
      <c r="F199" s="89"/>
    </row>
    <row r="200" spans="1:6">
      <c r="A200" s="43" t="s">
        <v>80</v>
      </c>
      <c r="B200" s="43">
        <v>2016</v>
      </c>
      <c r="C200" s="78">
        <v>11048</v>
      </c>
      <c r="D200" s="79">
        <v>970</v>
      </c>
      <c r="E200" s="103">
        <f t="shared" si="14"/>
        <v>10078</v>
      </c>
      <c r="F200" s="90"/>
    </row>
    <row r="201" spans="1:6">
      <c r="A201" s="43" t="s">
        <v>81</v>
      </c>
      <c r="B201" s="43">
        <v>2016</v>
      </c>
      <c r="C201" s="78">
        <v>16511</v>
      </c>
      <c r="D201" s="79">
        <v>1415</v>
      </c>
      <c r="E201" s="103">
        <f t="shared" si="14"/>
        <v>15096</v>
      </c>
      <c r="F201" s="91"/>
    </row>
    <row r="202" spans="1:6" ht="30">
      <c r="A202" s="43" t="s">
        <v>82</v>
      </c>
      <c r="B202" s="43">
        <v>2016</v>
      </c>
      <c r="C202" s="78">
        <v>26726</v>
      </c>
      <c r="D202" s="79">
        <v>829</v>
      </c>
      <c r="E202" s="103">
        <f t="shared" si="14"/>
        <v>25897</v>
      </c>
      <c r="F202" s="83"/>
    </row>
    <row r="203" spans="1:6" ht="30">
      <c r="A203" s="43" t="s">
        <v>83</v>
      </c>
      <c r="B203" s="43">
        <v>2016</v>
      </c>
      <c r="C203" s="78">
        <v>10689</v>
      </c>
      <c r="D203" s="79">
        <v>547</v>
      </c>
      <c r="E203" s="103">
        <f t="shared" si="14"/>
        <v>10142</v>
      </c>
      <c r="F203" s="83"/>
    </row>
    <row r="204" spans="1:6" ht="30">
      <c r="A204" s="43" t="s">
        <v>85</v>
      </c>
      <c r="B204" s="43">
        <v>2016</v>
      </c>
      <c r="C204" s="78">
        <v>1069</v>
      </c>
      <c r="D204" s="79">
        <v>108</v>
      </c>
      <c r="E204" s="103">
        <f t="shared" si="14"/>
        <v>961</v>
      </c>
    </row>
    <row r="205" spans="1:6" ht="30">
      <c r="A205" s="43" t="s">
        <v>86</v>
      </c>
      <c r="B205" s="43">
        <v>2016</v>
      </c>
      <c r="C205" s="78">
        <v>2689</v>
      </c>
      <c r="D205" s="79">
        <v>137</v>
      </c>
      <c r="E205" s="103">
        <f t="shared" si="14"/>
        <v>2552</v>
      </c>
    </row>
    <row r="206" spans="1:6" ht="45">
      <c r="A206" s="43" t="s">
        <v>87</v>
      </c>
      <c r="B206" s="43">
        <v>2016</v>
      </c>
      <c r="C206" s="78">
        <v>1972</v>
      </c>
      <c r="D206" s="79">
        <v>41</v>
      </c>
      <c r="E206" s="103">
        <f t="shared" si="14"/>
        <v>1931</v>
      </c>
    </row>
    <row r="207" spans="1:6" ht="60">
      <c r="A207" s="43" t="s">
        <v>88</v>
      </c>
      <c r="B207" s="43">
        <v>2016</v>
      </c>
      <c r="C207" s="78">
        <v>550</v>
      </c>
      <c r="D207" s="79">
        <v>13</v>
      </c>
      <c r="E207" s="103">
        <f t="shared" si="14"/>
        <v>537</v>
      </c>
    </row>
    <row r="208" spans="1:6" ht="30">
      <c r="A208" s="43" t="s">
        <v>90</v>
      </c>
      <c r="B208" s="43">
        <v>2016</v>
      </c>
      <c r="C208" s="78">
        <v>1500</v>
      </c>
      <c r="D208" s="79">
        <v>141</v>
      </c>
      <c r="E208" s="103">
        <f t="shared" si="14"/>
        <v>1359</v>
      </c>
    </row>
    <row r="209" spans="1:5" ht="30">
      <c r="A209" s="43" t="s">
        <v>92</v>
      </c>
      <c r="B209" s="43">
        <v>2016</v>
      </c>
      <c r="C209" s="78">
        <v>928</v>
      </c>
      <c r="D209" s="79">
        <v>44</v>
      </c>
      <c r="E209" s="103">
        <f t="shared" si="14"/>
        <v>884</v>
      </c>
    </row>
    <row r="210" spans="1:5">
      <c r="A210" s="80" t="s">
        <v>48</v>
      </c>
      <c r="B210" s="43">
        <v>2016</v>
      </c>
      <c r="C210" s="78" t="s">
        <v>41</v>
      </c>
      <c r="D210" s="79" t="s">
        <v>41</v>
      </c>
      <c r="E210" s="103" t="s">
        <v>41</v>
      </c>
    </row>
    <row r="211" spans="1:5">
      <c r="A211" s="43" t="s">
        <v>40</v>
      </c>
      <c r="B211" s="43">
        <v>2016</v>
      </c>
      <c r="C211" s="78">
        <v>14631</v>
      </c>
      <c r="D211" s="79">
        <v>1032</v>
      </c>
      <c r="E211" s="103">
        <f t="shared" ref="E211:E218" si="15">C211-D211</f>
        <v>13599</v>
      </c>
    </row>
    <row r="212" spans="1:5">
      <c r="A212" s="43" t="s">
        <v>78</v>
      </c>
      <c r="B212" s="43">
        <v>2016</v>
      </c>
      <c r="C212" s="78">
        <v>1321</v>
      </c>
      <c r="D212" s="79">
        <v>259</v>
      </c>
      <c r="E212" s="103">
        <f t="shared" si="15"/>
        <v>1062</v>
      </c>
    </row>
    <row r="213" spans="1:5">
      <c r="A213" s="43" t="s">
        <v>80</v>
      </c>
      <c r="B213" s="43">
        <v>2016</v>
      </c>
      <c r="C213" s="78">
        <v>2529</v>
      </c>
      <c r="D213" s="79">
        <v>257</v>
      </c>
      <c r="E213" s="103">
        <f t="shared" si="15"/>
        <v>2272</v>
      </c>
    </row>
    <row r="214" spans="1:5">
      <c r="A214" s="43" t="s">
        <v>81</v>
      </c>
      <c r="B214" s="43">
        <v>2016</v>
      </c>
      <c r="C214" s="78">
        <v>1563</v>
      </c>
      <c r="D214" s="79">
        <v>130</v>
      </c>
      <c r="E214" s="103">
        <f t="shared" si="15"/>
        <v>1433</v>
      </c>
    </row>
    <row r="215" spans="1:5" ht="30">
      <c r="A215" s="43" t="s">
        <v>82</v>
      </c>
      <c r="B215" s="43">
        <v>2016</v>
      </c>
      <c r="C215" s="78">
        <v>5447</v>
      </c>
      <c r="D215" s="79">
        <v>217</v>
      </c>
      <c r="E215" s="103">
        <f t="shared" si="15"/>
        <v>5230</v>
      </c>
    </row>
    <row r="216" spans="1:5" ht="30">
      <c r="A216" s="43" t="s">
        <v>83</v>
      </c>
      <c r="B216" s="43">
        <v>2016</v>
      </c>
      <c r="C216" s="78">
        <v>2713</v>
      </c>
      <c r="D216" s="79">
        <v>107</v>
      </c>
      <c r="E216" s="103">
        <f t="shared" si="15"/>
        <v>2606</v>
      </c>
    </row>
    <row r="217" spans="1:5" ht="30">
      <c r="A217" s="43" t="s">
        <v>85</v>
      </c>
      <c r="B217" s="43">
        <v>2016</v>
      </c>
      <c r="C217" s="78">
        <v>104</v>
      </c>
      <c r="D217" s="79">
        <v>6</v>
      </c>
      <c r="E217" s="103">
        <f t="shared" si="15"/>
        <v>98</v>
      </c>
    </row>
    <row r="218" spans="1:5" ht="30">
      <c r="A218" s="43" t="s">
        <v>86</v>
      </c>
      <c r="B218" s="43">
        <v>2016</v>
      </c>
      <c r="C218" s="78">
        <v>288</v>
      </c>
      <c r="D218" s="79">
        <v>15</v>
      </c>
      <c r="E218" s="103">
        <f t="shared" si="15"/>
        <v>273</v>
      </c>
    </row>
    <row r="219" spans="1:5" ht="45">
      <c r="A219" s="43" t="s">
        <v>87</v>
      </c>
      <c r="B219" s="43">
        <v>2016</v>
      </c>
      <c r="C219" s="78">
        <v>83</v>
      </c>
      <c r="D219" s="79"/>
      <c r="E219" s="103">
        <v>0</v>
      </c>
    </row>
    <row r="220" spans="1:5" ht="60">
      <c r="A220" s="43" t="s">
        <v>88</v>
      </c>
      <c r="B220" s="43">
        <v>2016</v>
      </c>
      <c r="C220" s="78">
        <v>175</v>
      </c>
      <c r="D220" s="79">
        <v>1</v>
      </c>
      <c r="E220" s="146">
        <f>C220-D220</f>
        <v>174</v>
      </c>
    </row>
    <row r="221" spans="1:5" ht="30">
      <c r="A221" s="43" t="s">
        <v>90</v>
      </c>
      <c r="B221" s="43">
        <v>2016</v>
      </c>
      <c r="C221" s="78">
        <v>260</v>
      </c>
      <c r="D221" s="79">
        <v>30</v>
      </c>
      <c r="E221" s="103">
        <f>C221-D221</f>
        <v>230</v>
      </c>
    </row>
    <row r="222" spans="1:5" ht="30">
      <c r="A222" s="43" t="s">
        <v>92</v>
      </c>
      <c r="B222" s="43">
        <v>2016</v>
      </c>
      <c r="C222" s="78">
        <v>148</v>
      </c>
      <c r="D222" s="79">
        <v>10</v>
      </c>
      <c r="E222" s="103">
        <f>C222-D222</f>
        <v>138</v>
      </c>
    </row>
    <row r="223" spans="1:5">
      <c r="A223" s="80" t="s">
        <v>49</v>
      </c>
      <c r="B223" s="43">
        <v>2016</v>
      </c>
      <c r="E223" s="103" t="s">
        <v>41</v>
      </c>
    </row>
    <row r="224" spans="1:5">
      <c r="A224" s="43" t="s">
        <v>40</v>
      </c>
      <c r="B224" s="43">
        <v>2016</v>
      </c>
      <c r="C224" s="78">
        <v>20125</v>
      </c>
      <c r="D224" s="79">
        <v>1572</v>
      </c>
      <c r="E224" s="103">
        <f t="shared" ref="E224:E235" si="16">C224-D224</f>
        <v>18553</v>
      </c>
    </row>
    <row r="225" spans="1:5">
      <c r="A225" s="43" t="s">
        <v>78</v>
      </c>
      <c r="B225" s="43">
        <v>2016</v>
      </c>
      <c r="C225" s="78">
        <v>978</v>
      </c>
      <c r="D225" s="79">
        <v>245</v>
      </c>
      <c r="E225" s="103">
        <f t="shared" si="16"/>
        <v>733</v>
      </c>
    </row>
    <row r="226" spans="1:5">
      <c r="A226" s="43" t="s">
        <v>80</v>
      </c>
      <c r="B226" s="43">
        <v>2016</v>
      </c>
      <c r="C226" s="78">
        <v>2809</v>
      </c>
      <c r="D226" s="79">
        <v>331</v>
      </c>
      <c r="E226" s="103">
        <f t="shared" si="16"/>
        <v>2478</v>
      </c>
    </row>
    <row r="227" spans="1:5">
      <c r="A227" s="43" t="s">
        <v>81</v>
      </c>
      <c r="B227" s="43">
        <v>2016</v>
      </c>
      <c r="C227" s="78">
        <v>2394</v>
      </c>
      <c r="D227" s="79">
        <v>254</v>
      </c>
      <c r="E227" s="103">
        <f t="shared" si="16"/>
        <v>2140</v>
      </c>
    </row>
    <row r="228" spans="1:5" ht="30">
      <c r="A228" s="43" t="s">
        <v>82</v>
      </c>
      <c r="B228" s="43">
        <v>2016</v>
      </c>
      <c r="C228" s="78">
        <v>7015</v>
      </c>
      <c r="D228" s="79">
        <v>261</v>
      </c>
      <c r="E228" s="103">
        <f t="shared" si="16"/>
        <v>6754</v>
      </c>
    </row>
    <row r="229" spans="1:5" ht="30">
      <c r="A229" s="43" t="s">
        <v>83</v>
      </c>
      <c r="B229" s="43">
        <v>2016</v>
      </c>
      <c r="C229" s="78">
        <v>3718</v>
      </c>
      <c r="D229" s="79">
        <v>281</v>
      </c>
      <c r="E229" s="103">
        <f t="shared" si="16"/>
        <v>3437</v>
      </c>
    </row>
    <row r="230" spans="1:5" ht="30">
      <c r="A230" s="43" t="s">
        <v>85</v>
      </c>
      <c r="B230" s="43">
        <v>2016</v>
      </c>
      <c r="C230" s="78">
        <v>407</v>
      </c>
      <c r="D230" s="79">
        <v>48</v>
      </c>
      <c r="E230" s="103">
        <f t="shared" si="16"/>
        <v>359</v>
      </c>
    </row>
    <row r="231" spans="1:5" ht="30">
      <c r="A231" s="43" t="s">
        <v>86</v>
      </c>
      <c r="B231" s="43">
        <v>2016</v>
      </c>
      <c r="C231" s="78">
        <v>1081</v>
      </c>
      <c r="D231" s="79">
        <v>73</v>
      </c>
      <c r="E231" s="103">
        <f t="shared" si="16"/>
        <v>1008</v>
      </c>
    </row>
    <row r="232" spans="1:5" ht="45">
      <c r="A232" s="43" t="s">
        <v>87</v>
      </c>
      <c r="B232" s="43">
        <v>2016</v>
      </c>
      <c r="C232" s="78">
        <v>965</v>
      </c>
      <c r="D232" s="79">
        <v>22</v>
      </c>
      <c r="E232" s="103">
        <f t="shared" si="16"/>
        <v>943</v>
      </c>
    </row>
    <row r="233" spans="1:5" ht="60">
      <c r="A233" s="43" t="s">
        <v>88</v>
      </c>
      <c r="B233" s="43">
        <v>2016</v>
      </c>
      <c r="C233" s="78">
        <v>117</v>
      </c>
      <c r="D233" s="79">
        <v>7</v>
      </c>
      <c r="E233" s="103">
        <f t="shared" si="16"/>
        <v>110</v>
      </c>
    </row>
    <row r="234" spans="1:5" ht="30">
      <c r="A234" s="43" t="s">
        <v>90</v>
      </c>
      <c r="B234" s="43">
        <v>2016</v>
      </c>
      <c r="C234" s="78">
        <v>338</v>
      </c>
      <c r="D234" s="79">
        <v>37</v>
      </c>
      <c r="E234" s="103">
        <f t="shared" si="16"/>
        <v>301</v>
      </c>
    </row>
    <row r="235" spans="1:5" ht="30">
      <c r="A235" s="43" t="s">
        <v>92</v>
      </c>
      <c r="B235" s="43">
        <v>2016</v>
      </c>
      <c r="C235" s="78">
        <v>303</v>
      </c>
      <c r="D235" s="79">
        <v>13</v>
      </c>
      <c r="E235" s="103">
        <f t="shared" si="16"/>
        <v>290</v>
      </c>
    </row>
    <row r="236" spans="1:5">
      <c r="A236" s="80" t="s">
        <v>50</v>
      </c>
      <c r="B236" s="43">
        <v>2016</v>
      </c>
      <c r="C236" s="78" t="s">
        <v>41</v>
      </c>
      <c r="D236" s="79" t="s">
        <v>41</v>
      </c>
      <c r="E236" s="103" t="s">
        <v>41</v>
      </c>
    </row>
    <row r="237" spans="1:5">
      <c r="A237" s="43" t="s">
        <v>40</v>
      </c>
      <c r="B237" s="43">
        <v>2016</v>
      </c>
      <c r="C237" s="78">
        <v>17548</v>
      </c>
      <c r="D237" s="79">
        <v>911</v>
      </c>
      <c r="E237" s="103">
        <f t="shared" ref="E237:E248" si="17">C237-D237</f>
        <v>16637</v>
      </c>
    </row>
    <row r="238" spans="1:5">
      <c r="A238" s="43" t="s">
        <v>78</v>
      </c>
      <c r="B238" s="43">
        <v>2016</v>
      </c>
      <c r="C238" s="78">
        <v>875</v>
      </c>
      <c r="D238" s="79">
        <v>161</v>
      </c>
      <c r="E238" s="103">
        <f t="shared" si="17"/>
        <v>714</v>
      </c>
    </row>
    <row r="239" spans="1:5">
      <c r="A239" s="43" t="s">
        <v>80</v>
      </c>
      <c r="B239" s="43">
        <v>2016</v>
      </c>
      <c r="C239" s="78">
        <v>1784</v>
      </c>
      <c r="D239" s="79">
        <v>124</v>
      </c>
      <c r="E239" s="103">
        <f t="shared" si="17"/>
        <v>1660</v>
      </c>
    </row>
    <row r="240" spans="1:5">
      <c r="A240" s="43" t="s">
        <v>81</v>
      </c>
      <c r="B240" s="43">
        <v>2016</v>
      </c>
      <c r="C240" s="78">
        <v>5228</v>
      </c>
      <c r="D240" s="79">
        <v>356</v>
      </c>
      <c r="E240" s="103">
        <f t="shared" si="17"/>
        <v>4872</v>
      </c>
    </row>
    <row r="241" spans="1:5" ht="30">
      <c r="A241" s="43" t="s">
        <v>82</v>
      </c>
      <c r="B241" s="43">
        <v>2016</v>
      </c>
      <c r="C241" s="78">
        <v>5916</v>
      </c>
      <c r="D241" s="79">
        <v>138</v>
      </c>
      <c r="E241" s="103">
        <f t="shared" si="17"/>
        <v>5778</v>
      </c>
    </row>
    <row r="242" spans="1:5" ht="30">
      <c r="A242" s="43" t="s">
        <v>83</v>
      </c>
      <c r="B242" s="43">
        <v>2016</v>
      </c>
      <c r="C242" s="78">
        <v>1655</v>
      </c>
      <c r="D242" s="79">
        <v>45</v>
      </c>
      <c r="E242" s="103">
        <f t="shared" si="17"/>
        <v>1610</v>
      </c>
    </row>
    <row r="243" spans="1:5" ht="30">
      <c r="A243" s="43" t="s">
        <v>85</v>
      </c>
      <c r="B243" s="43">
        <v>2016</v>
      </c>
      <c r="C243" s="78">
        <v>313</v>
      </c>
      <c r="D243" s="79">
        <v>25</v>
      </c>
      <c r="E243" s="103">
        <f t="shared" si="17"/>
        <v>288</v>
      </c>
    </row>
    <row r="244" spans="1:5" ht="30">
      <c r="A244" s="43" t="s">
        <v>86</v>
      </c>
      <c r="B244" s="43">
        <v>2016</v>
      </c>
      <c r="C244" s="78">
        <v>816</v>
      </c>
      <c r="D244" s="79">
        <v>28</v>
      </c>
      <c r="E244" s="103">
        <f t="shared" si="17"/>
        <v>788</v>
      </c>
    </row>
    <row r="245" spans="1:5" ht="45">
      <c r="A245" s="43" t="s">
        <v>87</v>
      </c>
      <c r="B245" s="43">
        <v>2016</v>
      </c>
      <c r="C245" s="78">
        <v>544</v>
      </c>
      <c r="D245" s="79">
        <v>7</v>
      </c>
      <c r="E245" s="103">
        <f t="shared" si="17"/>
        <v>537</v>
      </c>
    </row>
    <row r="246" spans="1:5" ht="60">
      <c r="A246" s="43" t="s">
        <v>88</v>
      </c>
      <c r="B246" s="43">
        <v>2016</v>
      </c>
      <c r="C246" s="78">
        <v>62</v>
      </c>
      <c r="D246" s="79">
        <v>2</v>
      </c>
      <c r="E246" s="103">
        <f t="shared" si="17"/>
        <v>60</v>
      </c>
    </row>
    <row r="247" spans="1:5" ht="30">
      <c r="A247" s="43" t="s">
        <v>90</v>
      </c>
      <c r="B247" s="43">
        <v>2016</v>
      </c>
      <c r="C247" s="78">
        <v>279</v>
      </c>
      <c r="D247" s="79">
        <v>24</v>
      </c>
      <c r="E247" s="103">
        <f t="shared" si="17"/>
        <v>255</v>
      </c>
    </row>
    <row r="248" spans="1:5" ht="30">
      <c r="A248" s="43" t="s">
        <v>92</v>
      </c>
      <c r="B248" s="43">
        <v>2016</v>
      </c>
      <c r="C248" s="78">
        <v>76</v>
      </c>
      <c r="D248" s="79">
        <v>1</v>
      </c>
      <c r="E248" s="103">
        <f t="shared" si="17"/>
        <v>75</v>
      </c>
    </row>
    <row r="249" spans="1:5">
      <c r="A249" s="80" t="s">
        <v>51</v>
      </c>
      <c r="B249" s="43">
        <v>2016</v>
      </c>
      <c r="C249" s="78" t="s">
        <v>41</v>
      </c>
      <c r="D249" s="79" t="s">
        <v>41</v>
      </c>
      <c r="E249" s="103" t="s">
        <v>41</v>
      </c>
    </row>
    <row r="250" spans="1:5">
      <c r="A250" s="43" t="s">
        <v>40</v>
      </c>
      <c r="B250" s="43">
        <v>2016</v>
      </c>
      <c r="C250" s="78">
        <v>26361</v>
      </c>
      <c r="D250" s="79">
        <v>1688</v>
      </c>
      <c r="E250" s="103">
        <f t="shared" ref="E250:E261" si="18">C250-D250</f>
        <v>24673</v>
      </c>
    </row>
    <row r="251" spans="1:5">
      <c r="A251" s="43" t="s">
        <v>78</v>
      </c>
      <c r="B251" s="43">
        <v>2016</v>
      </c>
      <c r="C251" s="78">
        <v>1809</v>
      </c>
      <c r="D251" s="79">
        <v>293</v>
      </c>
      <c r="E251" s="103">
        <f t="shared" si="18"/>
        <v>1516</v>
      </c>
    </row>
    <row r="252" spans="1:5">
      <c r="A252" s="43" t="s">
        <v>80</v>
      </c>
      <c r="B252" s="43">
        <v>2016</v>
      </c>
      <c r="C252" s="78">
        <v>3926</v>
      </c>
      <c r="D252" s="79">
        <v>258</v>
      </c>
      <c r="E252" s="103">
        <f t="shared" si="18"/>
        <v>3668</v>
      </c>
    </row>
    <row r="253" spans="1:5">
      <c r="A253" s="43" t="s">
        <v>81</v>
      </c>
      <c r="B253" s="43">
        <v>2016</v>
      </c>
      <c r="C253" s="78">
        <v>7326</v>
      </c>
      <c r="D253" s="79">
        <v>675</v>
      </c>
      <c r="E253" s="103">
        <f t="shared" si="18"/>
        <v>6651</v>
      </c>
    </row>
    <row r="254" spans="1:5" ht="30">
      <c r="A254" s="43" t="s">
        <v>82</v>
      </c>
      <c r="B254" s="43">
        <v>2016</v>
      </c>
      <c r="C254" s="78">
        <v>8348</v>
      </c>
      <c r="D254" s="79">
        <v>213</v>
      </c>
      <c r="E254" s="103">
        <f t="shared" si="18"/>
        <v>8135</v>
      </c>
    </row>
    <row r="255" spans="1:5" ht="30">
      <c r="A255" s="43" t="s">
        <v>83</v>
      </c>
      <c r="B255" s="43">
        <v>2016</v>
      </c>
      <c r="C255" s="78">
        <v>2603</v>
      </c>
      <c r="D255" s="79">
        <v>114</v>
      </c>
      <c r="E255" s="103">
        <f t="shared" si="18"/>
        <v>2489</v>
      </c>
    </row>
    <row r="256" spans="1:5" ht="30">
      <c r="A256" s="43" t="s">
        <v>85</v>
      </c>
      <c r="B256" s="43">
        <v>2016</v>
      </c>
      <c r="C256" s="78">
        <v>245</v>
      </c>
      <c r="D256" s="79">
        <v>29</v>
      </c>
      <c r="E256" s="103">
        <f t="shared" si="18"/>
        <v>216</v>
      </c>
    </row>
    <row r="257" spans="1:5" ht="30">
      <c r="A257" s="43" t="s">
        <v>86</v>
      </c>
      <c r="B257" s="43">
        <v>2016</v>
      </c>
      <c r="C257" s="78">
        <v>504</v>
      </c>
      <c r="D257" s="79">
        <v>21</v>
      </c>
      <c r="E257" s="103">
        <f t="shared" si="18"/>
        <v>483</v>
      </c>
    </row>
    <row r="258" spans="1:5" ht="45">
      <c r="A258" s="43" t="s">
        <v>87</v>
      </c>
      <c r="B258" s="43">
        <v>2016</v>
      </c>
      <c r="C258" s="78">
        <v>380</v>
      </c>
      <c r="D258" s="79">
        <v>12</v>
      </c>
      <c r="E258" s="103">
        <f t="shared" si="18"/>
        <v>368</v>
      </c>
    </row>
    <row r="259" spans="1:5" ht="60">
      <c r="A259" s="43" t="s">
        <v>88</v>
      </c>
      <c r="B259" s="43">
        <v>2016</v>
      </c>
      <c r="C259" s="78">
        <v>196</v>
      </c>
      <c r="D259" s="79">
        <v>3</v>
      </c>
      <c r="E259" s="103">
        <f t="shared" si="18"/>
        <v>193</v>
      </c>
    </row>
    <row r="260" spans="1:5" ht="30">
      <c r="A260" s="43" t="s">
        <v>90</v>
      </c>
      <c r="B260" s="43">
        <v>2016</v>
      </c>
      <c r="C260" s="78">
        <v>623</v>
      </c>
      <c r="D260" s="79">
        <v>50</v>
      </c>
      <c r="E260" s="103">
        <f t="shared" si="18"/>
        <v>573</v>
      </c>
    </row>
    <row r="261" spans="1:5" ht="30">
      <c r="A261" s="43" t="s">
        <v>92</v>
      </c>
      <c r="B261" s="43">
        <v>2016</v>
      </c>
      <c r="C261" s="78">
        <v>401</v>
      </c>
      <c r="D261" s="79">
        <v>20</v>
      </c>
      <c r="E261" s="103">
        <f t="shared" si="18"/>
        <v>381</v>
      </c>
    </row>
    <row r="262" spans="1:5">
      <c r="A262" s="80" t="s">
        <v>47</v>
      </c>
      <c r="B262" s="51"/>
      <c r="E262" s="103" t="s">
        <v>41</v>
      </c>
    </row>
    <row r="263" spans="1:5">
      <c r="A263" s="43" t="s">
        <v>40</v>
      </c>
      <c r="B263" s="43">
        <v>2017</v>
      </c>
      <c r="C263" s="78">
        <v>79976</v>
      </c>
      <c r="D263" s="79">
        <v>6127</v>
      </c>
      <c r="E263" s="103">
        <f t="shared" ref="E263:E274" si="19">C263-D263</f>
        <v>73849</v>
      </c>
    </row>
    <row r="264" spans="1:5">
      <c r="A264" s="43" t="s">
        <v>78</v>
      </c>
      <c r="B264" s="43">
        <v>2017</v>
      </c>
      <c r="C264" s="78">
        <v>4183</v>
      </c>
      <c r="D264" s="79">
        <v>954</v>
      </c>
      <c r="E264" s="103">
        <f t="shared" si="19"/>
        <v>3229</v>
      </c>
    </row>
    <row r="265" spans="1:5">
      <c r="A265" s="43" t="s">
        <v>80</v>
      </c>
      <c r="B265" s="43">
        <v>2017</v>
      </c>
      <c r="C265" s="78">
        <v>9828</v>
      </c>
      <c r="D265" s="79">
        <v>958</v>
      </c>
      <c r="E265" s="103">
        <f t="shared" si="19"/>
        <v>8870</v>
      </c>
    </row>
    <row r="266" spans="1:5">
      <c r="A266" s="43" t="s">
        <v>81</v>
      </c>
      <c r="B266" s="43">
        <v>2017</v>
      </c>
      <c r="C266" s="78">
        <v>18175</v>
      </c>
      <c r="D266" s="79">
        <v>1958</v>
      </c>
      <c r="E266" s="103">
        <f t="shared" si="19"/>
        <v>16217</v>
      </c>
    </row>
    <row r="267" spans="1:5" ht="30">
      <c r="A267" s="43" t="s">
        <v>82</v>
      </c>
      <c r="B267" s="43">
        <v>2017</v>
      </c>
      <c r="C267" s="78">
        <v>27529</v>
      </c>
      <c r="D267" s="79">
        <v>1009</v>
      </c>
      <c r="E267" s="103">
        <f t="shared" si="19"/>
        <v>26520</v>
      </c>
    </row>
    <row r="268" spans="1:5" ht="30">
      <c r="A268" s="43" t="s">
        <v>83</v>
      </c>
      <c r="B268" s="43">
        <v>2017</v>
      </c>
      <c r="C268" s="78">
        <v>12043</v>
      </c>
      <c r="D268" s="79">
        <v>756</v>
      </c>
      <c r="E268" s="103">
        <f t="shared" si="19"/>
        <v>11287</v>
      </c>
    </row>
    <row r="269" spans="1:5" ht="30">
      <c r="A269" s="43" t="s">
        <v>85</v>
      </c>
      <c r="B269" s="43">
        <v>2017</v>
      </c>
      <c r="C269" s="78">
        <v>1019</v>
      </c>
      <c r="D269" s="79">
        <v>117</v>
      </c>
      <c r="E269" s="103">
        <f t="shared" si="19"/>
        <v>902</v>
      </c>
    </row>
    <row r="270" spans="1:5" ht="30">
      <c r="A270" s="43" t="s">
        <v>86</v>
      </c>
      <c r="B270" s="43">
        <v>2017</v>
      </c>
      <c r="C270" s="78">
        <v>2617</v>
      </c>
      <c r="D270" s="79">
        <v>133</v>
      </c>
      <c r="E270" s="103">
        <f t="shared" si="19"/>
        <v>2484</v>
      </c>
    </row>
    <row r="271" spans="1:5" ht="45">
      <c r="A271" s="43" t="s">
        <v>87</v>
      </c>
      <c r="B271" s="43">
        <v>2017</v>
      </c>
      <c r="C271" s="78">
        <v>2019</v>
      </c>
      <c r="D271" s="79">
        <v>50</v>
      </c>
      <c r="E271" s="103">
        <f t="shared" si="19"/>
        <v>1969</v>
      </c>
    </row>
    <row r="272" spans="1:5" ht="60">
      <c r="A272" s="43" t="s">
        <v>88</v>
      </c>
      <c r="B272" s="43">
        <v>2017</v>
      </c>
      <c r="C272" s="78">
        <v>443</v>
      </c>
      <c r="D272" s="79">
        <v>14</v>
      </c>
      <c r="E272" s="103">
        <f t="shared" si="19"/>
        <v>429</v>
      </c>
    </row>
    <row r="273" spans="1:5" ht="30">
      <c r="A273" s="43" t="s">
        <v>90</v>
      </c>
      <c r="B273" s="43">
        <v>2017</v>
      </c>
      <c r="C273" s="78">
        <v>1195</v>
      </c>
      <c r="D273" s="79">
        <v>130</v>
      </c>
      <c r="E273" s="103">
        <f t="shared" si="19"/>
        <v>1065</v>
      </c>
    </row>
    <row r="274" spans="1:5" ht="30">
      <c r="A274" s="43" t="s">
        <v>92</v>
      </c>
      <c r="B274" s="43">
        <v>2017</v>
      </c>
      <c r="C274" s="78">
        <v>925</v>
      </c>
      <c r="D274" s="79">
        <v>48</v>
      </c>
      <c r="E274" s="103">
        <f t="shared" si="19"/>
        <v>877</v>
      </c>
    </row>
    <row r="275" spans="1:5">
      <c r="A275" s="80" t="s">
        <v>48</v>
      </c>
      <c r="B275" s="43">
        <v>2017</v>
      </c>
      <c r="C275" s="78" t="s">
        <v>41</v>
      </c>
      <c r="D275" s="79" t="s">
        <v>41</v>
      </c>
      <c r="E275" s="103" t="s">
        <v>41</v>
      </c>
    </row>
    <row r="276" spans="1:5">
      <c r="A276" s="43" t="s">
        <v>40</v>
      </c>
      <c r="B276" s="43">
        <v>2017</v>
      </c>
      <c r="C276" s="78">
        <v>14776</v>
      </c>
      <c r="D276" s="79">
        <v>1168</v>
      </c>
      <c r="E276" s="103">
        <f t="shared" ref="E276:E287" si="20">C276-D276</f>
        <v>13608</v>
      </c>
    </row>
    <row r="277" spans="1:5">
      <c r="A277" s="43" t="s">
        <v>78</v>
      </c>
      <c r="B277" s="43">
        <v>2017</v>
      </c>
      <c r="C277" s="78">
        <v>1231</v>
      </c>
      <c r="D277" s="79">
        <v>289</v>
      </c>
      <c r="E277" s="103">
        <f t="shared" si="20"/>
        <v>942</v>
      </c>
    </row>
    <row r="278" spans="1:5">
      <c r="A278" s="43" t="s">
        <v>80</v>
      </c>
      <c r="B278" s="43">
        <v>2017</v>
      </c>
      <c r="C278" s="78">
        <v>2503</v>
      </c>
      <c r="D278" s="79">
        <v>253</v>
      </c>
      <c r="E278" s="103">
        <f t="shared" si="20"/>
        <v>2250</v>
      </c>
    </row>
    <row r="279" spans="1:5">
      <c r="A279" s="43" t="s">
        <v>81</v>
      </c>
      <c r="B279" s="43">
        <v>2017</v>
      </c>
      <c r="C279" s="78">
        <v>1710</v>
      </c>
      <c r="D279" s="79">
        <v>170</v>
      </c>
      <c r="E279" s="103">
        <f t="shared" si="20"/>
        <v>1540</v>
      </c>
    </row>
    <row r="280" spans="1:5" ht="30">
      <c r="A280" s="43" t="s">
        <v>82</v>
      </c>
      <c r="B280" s="43">
        <v>2017</v>
      </c>
      <c r="C280" s="78">
        <v>5464</v>
      </c>
      <c r="D280" s="79">
        <v>246</v>
      </c>
      <c r="E280" s="103">
        <f t="shared" si="20"/>
        <v>5218</v>
      </c>
    </row>
    <row r="281" spans="1:5" ht="30">
      <c r="A281" s="43" t="s">
        <v>83</v>
      </c>
      <c r="B281" s="43">
        <v>2017</v>
      </c>
      <c r="C281" s="78">
        <v>3023</v>
      </c>
      <c r="D281" s="79">
        <v>157</v>
      </c>
      <c r="E281" s="103">
        <f t="shared" si="20"/>
        <v>2866</v>
      </c>
    </row>
    <row r="282" spans="1:5" ht="30">
      <c r="A282" s="43" t="s">
        <v>85</v>
      </c>
      <c r="B282" s="43">
        <v>2017</v>
      </c>
      <c r="C282" s="78">
        <v>67</v>
      </c>
      <c r="D282" s="79">
        <v>6</v>
      </c>
      <c r="E282" s="103">
        <f t="shared" si="20"/>
        <v>61</v>
      </c>
    </row>
    <row r="283" spans="1:5" ht="30">
      <c r="A283" s="43" t="s">
        <v>86</v>
      </c>
      <c r="B283" s="43">
        <v>2017</v>
      </c>
      <c r="C283" s="78">
        <v>241</v>
      </c>
      <c r="D283" s="79">
        <v>4</v>
      </c>
      <c r="E283" s="103">
        <f t="shared" si="20"/>
        <v>237</v>
      </c>
    </row>
    <row r="284" spans="1:5" ht="45">
      <c r="A284" s="43" t="s">
        <v>87</v>
      </c>
      <c r="B284" s="43">
        <v>2017</v>
      </c>
      <c r="C284" s="78">
        <v>97</v>
      </c>
      <c r="D284" s="79">
        <v>3</v>
      </c>
      <c r="E284" s="103">
        <f t="shared" si="20"/>
        <v>94</v>
      </c>
    </row>
    <row r="285" spans="1:5" ht="60">
      <c r="A285" s="43" t="s">
        <v>88</v>
      </c>
      <c r="B285" s="43">
        <v>2017</v>
      </c>
      <c r="C285" s="78">
        <v>83</v>
      </c>
      <c r="D285" s="79">
        <v>1</v>
      </c>
      <c r="E285" s="103">
        <f t="shared" si="20"/>
        <v>82</v>
      </c>
    </row>
    <row r="286" spans="1:5" ht="30">
      <c r="A286" s="43" t="s">
        <v>90</v>
      </c>
      <c r="B286" s="43">
        <v>2017</v>
      </c>
      <c r="C286" s="78">
        <v>203</v>
      </c>
      <c r="D286" s="79">
        <v>33</v>
      </c>
      <c r="E286" s="103">
        <f t="shared" si="20"/>
        <v>170</v>
      </c>
    </row>
    <row r="287" spans="1:5" ht="30">
      <c r="A287" s="43" t="s">
        <v>92</v>
      </c>
      <c r="B287" s="43">
        <v>2017</v>
      </c>
      <c r="C287" s="78">
        <v>154</v>
      </c>
      <c r="D287" s="79">
        <v>6</v>
      </c>
      <c r="E287" s="103">
        <f t="shared" si="20"/>
        <v>148</v>
      </c>
    </row>
    <row r="288" spans="1:5">
      <c r="A288" s="80" t="s">
        <v>49</v>
      </c>
      <c r="B288" s="43">
        <v>2017</v>
      </c>
      <c r="C288" s="78" t="s">
        <v>41</v>
      </c>
      <c r="D288" s="79" t="s">
        <v>41</v>
      </c>
      <c r="E288" s="103" t="s">
        <v>41</v>
      </c>
    </row>
    <row r="289" spans="1:5">
      <c r="A289" s="43" t="s">
        <v>40</v>
      </c>
      <c r="B289" s="43">
        <v>2017</v>
      </c>
      <c r="C289" s="78">
        <v>20573</v>
      </c>
      <c r="D289" s="79">
        <v>1947</v>
      </c>
      <c r="E289" s="103">
        <f t="shared" ref="E289:E300" si="21">C289-D289</f>
        <v>18626</v>
      </c>
    </row>
    <row r="290" spans="1:5">
      <c r="A290" s="43" t="s">
        <v>78</v>
      </c>
      <c r="B290" s="43">
        <v>2017</v>
      </c>
      <c r="C290" s="78">
        <v>840</v>
      </c>
      <c r="D290" s="79">
        <v>281</v>
      </c>
      <c r="E290" s="103">
        <f t="shared" si="21"/>
        <v>559</v>
      </c>
    </row>
    <row r="291" spans="1:5">
      <c r="A291" s="43" t="s">
        <v>80</v>
      </c>
      <c r="B291" s="43">
        <v>2017</v>
      </c>
      <c r="C291" s="78">
        <v>2495</v>
      </c>
      <c r="D291" s="79">
        <v>346</v>
      </c>
      <c r="E291" s="103">
        <f t="shared" si="21"/>
        <v>2149</v>
      </c>
    </row>
    <row r="292" spans="1:5">
      <c r="A292" s="43" t="s">
        <v>81</v>
      </c>
      <c r="B292" s="43">
        <v>2017</v>
      </c>
      <c r="C292" s="78">
        <v>2636</v>
      </c>
      <c r="D292" s="79">
        <v>379</v>
      </c>
      <c r="E292" s="103">
        <f t="shared" si="21"/>
        <v>2257</v>
      </c>
    </row>
    <row r="293" spans="1:5" ht="30">
      <c r="A293" s="43" t="s">
        <v>82</v>
      </c>
      <c r="B293" s="43">
        <v>2017</v>
      </c>
      <c r="C293" s="78">
        <v>7217</v>
      </c>
      <c r="D293" s="79">
        <v>341</v>
      </c>
      <c r="E293" s="103">
        <f t="shared" si="21"/>
        <v>6876</v>
      </c>
    </row>
    <row r="294" spans="1:5" ht="30">
      <c r="A294" s="43" t="s">
        <v>83</v>
      </c>
      <c r="B294" s="43">
        <v>2017</v>
      </c>
      <c r="C294" s="78">
        <v>4284</v>
      </c>
      <c r="D294" s="79">
        <v>385</v>
      </c>
      <c r="E294" s="103">
        <f t="shared" si="21"/>
        <v>3899</v>
      </c>
    </row>
    <row r="295" spans="1:5" ht="30">
      <c r="A295" s="43" t="s">
        <v>85</v>
      </c>
      <c r="B295" s="43">
        <v>2017</v>
      </c>
      <c r="C295" s="78">
        <v>384</v>
      </c>
      <c r="D295" s="79">
        <v>57</v>
      </c>
      <c r="E295" s="103">
        <f t="shared" si="21"/>
        <v>327</v>
      </c>
    </row>
    <row r="296" spans="1:5" ht="30">
      <c r="A296" s="43" t="s">
        <v>86</v>
      </c>
      <c r="B296" s="43">
        <v>2017</v>
      </c>
      <c r="C296" s="78">
        <v>1109</v>
      </c>
      <c r="D296" s="79">
        <v>72</v>
      </c>
      <c r="E296" s="103">
        <f t="shared" si="21"/>
        <v>1037</v>
      </c>
    </row>
    <row r="297" spans="1:5" ht="45">
      <c r="A297" s="43" t="s">
        <v>87</v>
      </c>
      <c r="B297" s="43">
        <v>2017</v>
      </c>
      <c r="C297" s="78">
        <v>952</v>
      </c>
      <c r="D297" s="79">
        <v>34</v>
      </c>
      <c r="E297" s="103">
        <f t="shared" si="21"/>
        <v>918</v>
      </c>
    </row>
    <row r="298" spans="1:5" ht="60">
      <c r="A298" s="43" t="s">
        <v>88</v>
      </c>
      <c r="B298" s="43">
        <v>2017</v>
      </c>
      <c r="C298" s="78">
        <v>134</v>
      </c>
      <c r="D298" s="79">
        <v>6</v>
      </c>
      <c r="E298" s="103">
        <f t="shared" si="21"/>
        <v>128</v>
      </c>
    </row>
    <row r="299" spans="1:5" ht="30">
      <c r="A299" s="43" t="s">
        <v>90</v>
      </c>
      <c r="B299" s="43">
        <v>2017</v>
      </c>
      <c r="C299" s="78">
        <v>259</v>
      </c>
      <c r="D299" s="79">
        <v>27</v>
      </c>
      <c r="E299" s="103">
        <f t="shared" si="21"/>
        <v>232</v>
      </c>
    </row>
    <row r="300" spans="1:5" ht="30">
      <c r="A300" s="43" t="s">
        <v>92</v>
      </c>
      <c r="B300" s="43">
        <v>2017</v>
      </c>
      <c r="C300" s="78">
        <v>263</v>
      </c>
      <c r="D300" s="79">
        <v>19</v>
      </c>
      <c r="E300" s="103">
        <f t="shared" si="21"/>
        <v>244</v>
      </c>
    </row>
    <row r="301" spans="1:5">
      <c r="A301" s="80" t="s">
        <v>50</v>
      </c>
      <c r="B301" s="43">
        <v>2017</v>
      </c>
      <c r="C301" s="78" t="s">
        <v>41</v>
      </c>
      <c r="D301" s="79" t="s">
        <v>41</v>
      </c>
      <c r="E301" s="103" t="s">
        <v>41</v>
      </c>
    </row>
    <row r="302" spans="1:5">
      <c r="A302" s="43" t="s">
        <v>40</v>
      </c>
      <c r="B302" s="43">
        <v>2017</v>
      </c>
      <c r="C302" s="78">
        <v>17857</v>
      </c>
      <c r="D302" s="79">
        <v>1031</v>
      </c>
      <c r="E302" s="103">
        <f t="shared" ref="E302:E326" si="22">C302-D302</f>
        <v>16826</v>
      </c>
    </row>
    <row r="303" spans="1:5">
      <c r="A303" s="43" t="s">
        <v>78</v>
      </c>
      <c r="B303" s="43">
        <v>2017</v>
      </c>
      <c r="C303" s="78">
        <v>693</v>
      </c>
      <c r="D303" s="79">
        <v>137</v>
      </c>
      <c r="E303" s="103">
        <f t="shared" si="22"/>
        <v>556</v>
      </c>
    </row>
    <row r="304" spans="1:5">
      <c r="A304" s="43" t="s">
        <v>80</v>
      </c>
      <c r="B304" s="43">
        <v>2017</v>
      </c>
      <c r="C304" s="78">
        <v>1563</v>
      </c>
      <c r="D304" s="79">
        <v>111</v>
      </c>
      <c r="E304" s="103">
        <f t="shared" si="22"/>
        <v>1452</v>
      </c>
    </row>
    <row r="305" spans="1:5">
      <c r="A305" s="43" t="s">
        <v>81</v>
      </c>
      <c r="B305" s="43">
        <v>2017</v>
      </c>
      <c r="C305" s="78">
        <v>5434</v>
      </c>
      <c r="D305" s="79">
        <v>453</v>
      </c>
      <c r="E305" s="103">
        <f t="shared" si="22"/>
        <v>4981</v>
      </c>
    </row>
    <row r="306" spans="1:5" ht="30">
      <c r="A306" s="43" t="s">
        <v>82</v>
      </c>
      <c r="B306" s="43">
        <v>2017</v>
      </c>
      <c r="C306" s="78">
        <v>6245</v>
      </c>
      <c r="D306" s="79">
        <v>160</v>
      </c>
      <c r="E306" s="103">
        <f t="shared" si="22"/>
        <v>6085</v>
      </c>
    </row>
    <row r="307" spans="1:5" ht="30">
      <c r="A307" s="43" t="s">
        <v>83</v>
      </c>
      <c r="B307" s="43">
        <v>2017</v>
      </c>
      <c r="C307" s="78">
        <v>1905</v>
      </c>
      <c r="D307" s="79">
        <v>89</v>
      </c>
      <c r="E307" s="103">
        <f t="shared" si="22"/>
        <v>1816</v>
      </c>
    </row>
    <row r="308" spans="1:5" ht="30">
      <c r="A308" s="43" t="s">
        <v>85</v>
      </c>
      <c r="B308" s="43">
        <v>2017</v>
      </c>
      <c r="C308" s="78">
        <v>310</v>
      </c>
      <c r="D308" s="79">
        <v>26</v>
      </c>
      <c r="E308" s="103">
        <f t="shared" si="22"/>
        <v>284</v>
      </c>
    </row>
    <row r="309" spans="1:5" ht="30">
      <c r="A309" s="43" t="s">
        <v>86</v>
      </c>
      <c r="B309" s="43">
        <v>2017</v>
      </c>
      <c r="C309" s="78">
        <v>749</v>
      </c>
      <c r="D309" s="79">
        <v>27</v>
      </c>
      <c r="E309" s="103">
        <f t="shared" si="22"/>
        <v>722</v>
      </c>
    </row>
    <row r="310" spans="1:5" ht="45">
      <c r="A310" s="43" t="s">
        <v>87</v>
      </c>
      <c r="B310" s="43">
        <v>2017</v>
      </c>
      <c r="C310" s="78">
        <v>589</v>
      </c>
      <c r="D310" s="79">
        <v>7</v>
      </c>
      <c r="E310" s="103">
        <f t="shared" si="22"/>
        <v>582</v>
      </c>
    </row>
    <row r="311" spans="1:5" ht="60">
      <c r="A311" s="43" t="s">
        <v>88</v>
      </c>
      <c r="B311" s="43">
        <v>2017</v>
      </c>
      <c r="C311" s="78">
        <v>60</v>
      </c>
      <c r="D311" s="79">
        <v>1</v>
      </c>
      <c r="E311" s="103">
        <f t="shared" si="22"/>
        <v>59</v>
      </c>
    </row>
    <row r="312" spans="1:5" ht="30">
      <c r="A312" s="43" t="s">
        <v>90</v>
      </c>
      <c r="B312" s="43">
        <v>2017</v>
      </c>
      <c r="C312" s="78">
        <v>202</v>
      </c>
      <c r="D312" s="79">
        <v>12</v>
      </c>
      <c r="E312" s="103">
        <f t="shared" si="22"/>
        <v>190</v>
      </c>
    </row>
    <row r="313" spans="1:5" ht="30">
      <c r="A313" s="43" t="s">
        <v>92</v>
      </c>
      <c r="B313" s="43">
        <v>2017</v>
      </c>
      <c r="C313" s="78">
        <v>107</v>
      </c>
      <c r="D313" s="79">
        <v>8</v>
      </c>
      <c r="E313" s="103">
        <f t="shared" si="22"/>
        <v>99</v>
      </c>
    </row>
    <row r="314" spans="1:5">
      <c r="A314" s="80" t="s">
        <v>51</v>
      </c>
      <c r="B314" s="43">
        <v>2017</v>
      </c>
      <c r="E314" s="103">
        <f t="shared" si="22"/>
        <v>0</v>
      </c>
    </row>
    <row r="315" spans="1:5">
      <c r="A315" s="43" t="s">
        <v>40</v>
      </c>
      <c r="B315" s="43">
        <v>2017</v>
      </c>
      <c r="C315" s="78">
        <v>26770</v>
      </c>
      <c r="D315" s="79">
        <v>1981</v>
      </c>
      <c r="E315" s="103">
        <f t="shared" si="22"/>
        <v>24789</v>
      </c>
    </row>
    <row r="316" spans="1:5">
      <c r="A316" s="43" t="s">
        <v>78</v>
      </c>
      <c r="B316" s="43">
        <v>2017</v>
      </c>
      <c r="C316" s="78">
        <v>1419</v>
      </c>
      <c r="D316" s="79">
        <v>247</v>
      </c>
      <c r="E316" s="103">
        <f t="shared" si="22"/>
        <v>1172</v>
      </c>
    </row>
    <row r="317" spans="1:5">
      <c r="A317" s="43" t="s">
        <v>80</v>
      </c>
      <c r="B317" s="43">
        <v>2017</v>
      </c>
      <c r="C317" s="78">
        <v>3267</v>
      </c>
      <c r="D317" s="79">
        <v>248</v>
      </c>
      <c r="E317" s="103">
        <f t="shared" si="22"/>
        <v>3019</v>
      </c>
    </row>
    <row r="318" spans="1:5">
      <c r="A318" s="43" t="s">
        <v>81</v>
      </c>
      <c r="B318" s="43">
        <v>2017</v>
      </c>
      <c r="C318" s="78">
        <v>8395</v>
      </c>
      <c r="D318" s="79">
        <v>956</v>
      </c>
      <c r="E318" s="103">
        <f t="shared" si="22"/>
        <v>7439</v>
      </c>
    </row>
    <row r="319" spans="1:5" ht="30">
      <c r="A319" s="43" t="s">
        <v>82</v>
      </c>
      <c r="B319" s="43">
        <v>2017</v>
      </c>
      <c r="C319" s="78">
        <v>8603</v>
      </c>
      <c r="D319" s="79">
        <v>262</v>
      </c>
      <c r="E319" s="103">
        <f t="shared" si="22"/>
        <v>8341</v>
      </c>
    </row>
    <row r="320" spans="1:5" ht="30">
      <c r="A320" s="43" t="s">
        <v>83</v>
      </c>
      <c r="B320" s="43">
        <v>2017</v>
      </c>
      <c r="C320" s="78">
        <v>2831</v>
      </c>
      <c r="D320" s="79">
        <v>125</v>
      </c>
      <c r="E320" s="103">
        <f t="shared" si="22"/>
        <v>2706</v>
      </c>
    </row>
    <row r="321" spans="1:5" ht="30">
      <c r="A321" s="43" t="s">
        <v>85</v>
      </c>
      <c r="B321" s="43">
        <v>2017</v>
      </c>
      <c r="C321" s="78">
        <v>258</v>
      </c>
      <c r="D321" s="79">
        <v>28</v>
      </c>
      <c r="E321" s="103">
        <f t="shared" si="22"/>
        <v>230</v>
      </c>
    </row>
    <row r="322" spans="1:5" ht="30">
      <c r="A322" s="43" t="s">
        <v>86</v>
      </c>
      <c r="B322" s="43">
        <v>2017</v>
      </c>
      <c r="C322" s="78">
        <v>518</v>
      </c>
      <c r="D322" s="79">
        <v>30</v>
      </c>
      <c r="E322" s="103">
        <f t="shared" si="22"/>
        <v>488</v>
      </c>
    </row>
    <row r="323" spans="1:5" ht="45">
      <c r="A323" s="43" t="s">
        <v>87</v>
      </c>
      <c r="B323" s="43">
        <v>2017</v>
      </c>
      <c r="C323" s="78">
        <v>381</v>
      </c>
      <c r="D323" s="79">
        <v>6</v>
      </c>
      <c r="E323" s="103">
        <f t="shared" si="22"/>
        <v>375</v>
      </c>
    </row>
    <row r="324" spans="1:5" ht="60">
      <c r="A324" s="43" t="s">
        <v>88</v>
      </c>
      <c r="B324" s="43">
        <v>2017</v>
      </c>
      <c r="C324" s="78">
        <v>166</v>
      </c>
      <c r="D324" s="79">
        <v>6</v>
      </c>
      <c r="E324" s="103">
        <f t="shared" si="22"/>
        <v>160</v>
      </c>
    </row>
    <row r="325" spans="1:5" ht="30">
      <c r="A325" s="43" t="s">
        <v>90</v>
      </c>
      <c r="B325" s="43">
        <v>2017</v>
      </c>
      <c r="C325" s="78">
        <v>531</v>
      </c>
      <c r="D325" s="79">
        <v>58</v>
      </c>
      <c r="E325" s="103">
        <f t="shared" si="22"/>
        <v>473</v>
      </c>
    </row>
    <row r="326" spans="1:5" ht="30">
      <c r="A326" s="43" t="s">
        <v>92</v>
      </c>
      <c r="B326" s="43">
        <v>2017</v>
      </c>
      <c r="C326" s="78">
        <v>401</v>
      </c>
      <c r="D326" s="79">
        <v>15</v>
      </c>
      <c r="E326" s="103">
        <f t="shared" si="22"/>
        <v>386</v>
      </c>
    </row>
    <row r="327" spans="1:5">
      <c r="A327" s="80" t="s">
        <v>47</v>
      </c>
      <c r="B327" s="51"/>
      <c r="C327" s="78" t="s">
        <v>41</v>
      </c>
      <c r="D327" s="79"/>
      <c r="E327" s="103" t="s">
        <v>41</v>
      </c>
    </row>
    <row r="328" spans="1:5">
      <c r="A328" s="43" t="s">
        <v>40</v>
      </c>
      <c r="B328" s="43">
        <v>2018</v>
      </c>
      <c r="C328" s="78">
        <v>79642</v>
      </c>
      <c r="D328" s="79">
        <v>6717</v>
      </c>
      <c r="E328" s="103">
        <f t="shared" ref="E328:E339" si="23">C328-D328</f>
        <v>72925</v>
      </c>
    </row>
    <row r="329" spans="1:5">
      <c r="A329" s="43" t="s">
        <v>78</v>
      </c>
      <c r="B329" s="43">
        <v>2018</v>
      </c>
      <c r="C329" s="78">
        <v>3942</v>
      </c>
      <c r="D329" s="79">
        <v>1030</v>
      </c>
      <c r="E329" s="103">
        <f t="shared" si="23"/>
        <v>2912</v>
      </c>
    </row>
    <row r="330" spans="1:5">
      <c r="A330" s="43" t="s">
        <v>80</v>
      </c>
      <c r="B330" s="43">
        <v>2018</v>
      </c>
      <c r="C330" s="78">
        <v>8958</v>
      </c>
      <c r="D330" s="79">
        <v>982</v>
      </c>
      <c r="E330" s="103">
        <f t="shared" si="23"/>
        <v>7976</v>
      </c>
    </row>
    <row r="331" spans="1:5">
      <c r="A331" s="43" t="s">
        <v>81</v>
      </c>
      <c r="B331" s="43">
        <v>2018</v>
      </c>
      <c r="C331" s="78">
        <v>18723</v>
      </c>
      <c r="D331" s="79">
        <v>2214</v>
      </c>
      <c r="E331" s="103">
        <f t="shared" si="23"/>
        <v>16509</v>
      </c>
    </row>
    <row r="332" spans="1:5" ht="30">
      <c r="A332" s="43" t="s">
        <v>82</v>
      </c>
      <c r="B332" s="43">
        <v>2018</v>
      </c>
      <c r="C332" s="78">
        <v>27517</v>
      </c>
      <c r="D332" s="79">
        <v>971</v>
      </c>
      <c r="E332" s="103">
        <f t="shared" si="23"/>
        <v>26546</v>
      </c>
    </row>
    <row r="333" spans="1:5" ht="30">
      <c r="A333" s="43" t="s">
        <v>83</v>
      </c>
      <c r="B333" s="43">
        <v>2018</v>
      </c>
      <c r="C333" s="78">
        <v>12424</v>
      </c>
      <c r="D333" s="79">
        <v>941</v>
      </c>
      <c r="E333" s="103">
        <f t="shared" si="23"/>
        <v>11483</v>
      </c>
    </row>
    <row r="334" spans="1:5" ht="30">
      <c r="A334" s="43" t="s">
        <v>85</v>
      </c>
      <c r="B334" s="43">
        <v>2018</v>
      </c>
      <c r="C334" s="78">
        <v>1134</v>
      </c>
      <c r="D334" s="79">
        <v>175</v>
      </c>
      <c r="E334" s="103">
        <f t="shared" si="23"/>
        <v>959</v>
      </c>
    </row>
    <row r="335" spans="1:5" ht="30">
      <c r="A335" s="43" t="s">
        <v>86</v>
      </c>
      <c r="B335" s="43">
        <v>2018</v>
      </c>
      <c r="C335" s="78">
        <v>2530</v>
      </c>
      <c r="D335" s="79">
        <v>142</v>
      </c>
      <c r="E335" s="103">
        <f t="shared" si="23"/>
        <v>2388</v>
      </c>
    </row>
    <row r="336" spans="1:5" ht="45">
      <c r="A336" s="43" t="s">
        <v>87</v>
      </c>
      <c r="B336" s="43">
        <v>2018</v>
      </c>
      <c r="C336" s="78">
        <v>1971</v>
      </c>
      <c r="D336" s="79">
        <v>59</v>
      </c>
      <c r="E336" s="103">
        <f t="shared" si="23"/>
        <v>1912</v>
      </c>
    </row>
    <row r="337" spans="1:5" ht="60">
      <c r="A337" s="43" t="s">
        <v>88</v>
      </c>
      <c r="B337" s="43">
        <v>2018</v>
      </c>
      <c r="C337" s="78">
        <v>402</v>
      </c>
      <c r="D337" s="79">
        <v>17</v>
      </c>
      <c r="E337" s="103">
        <f t="shared" si="23"/>
        <v>385</v>
      </c>
    </row>
    <row r="338" spans="1:5" ht="30">
      <c r="A338" s="43" t="s">
        <v>90</v>
      </c>
      <c r="B338" s="43">
        <v>2018</v>
      </c>
      <c r="C338" s="78">
        <v>1201</v>
      </c>
      <c r="D338" s="79">
        <v>142</v>
      </c>
      <c r="E338" s="103">
        <f t="shared" si="23"/>
        <v>1059</v>
      </c>
    </row>
    <row r="339" spans="1:5" ht="30">
      <c r="A339" s="43" t="s">
        <v>92</v>
      </c>
      <c r="B339" s="43">
        <v>2018</v>
      </c>
      <c r="C339" s="78">
        <v>840</v>
      </c>
      <c r="D339" s="79">
        <v>44</v>
      </c>
      <c r="E339" s="103">
        <f t="shared" si="23"/>
        <v>796</v>
      </c>
    </row>
    <row r="340" spans="1:5">
      <c r="A340" s="80" t="s">
        <v>48</v>
      </c>
      <c r="B340" s="43">
        <v>2018</v>
      </c>
      <c r="C340" s="78" t="s">
        <v>41</v>
      </c>
      <c r="D340" s="79" t="s">
        <v>41</v>
      </c>
      <c r="E340" s="103" t="s">
        <v>41</v>
      </c>
    </row>
    <row r="341" spans="1:5">
      <c r="A341" s="43" t="s">
        <v>40</v>
      </c>
      <c r="B341" s="43">
        <v>2018</v>
      </c>
      <c r="C341" s="78">
        <v>14627</v>
      </c>
      <c r="D341" s="79">
        <v>1257</v>
      </c>
      <c r="E341" s="103">
        <f t="shared" ref="E341:E348" si="24">C341-D341</f>
        <v>13370</v>
      </c>
    </row>
    <row r="342" spans="1:5">
      <c r="A342" s="43" t="s">
        <v>78</v>
      </c>
      <c r="B342" s="43">
        <v>2018</v>
      </c>
      <c r="C342" s="78">
        <v>1173</v>
      </c>
      <c r="D342" s="79">
        <v>325</v>
      </c>
      <c r="E342" s="103">
        <f t="shared" si="24"/>
        <v>848</v>
      </c>
    </row>
    <row r="343" spans="1:5">
      <c r="A343" s="43" t="s">
        <v>80</v>
      </c>
      <c r="B343" s="43">
        <v>2018</v>
      </c>
      <c r="C343" s="78">
        <v>2403</v>
      </c>
      <c r="D343" s="79">
        <v>245</v>
      </c>
      <c r="E343" s="103">
        <f t="shared" si="24"/>
        <v>2158</v>
      </c>
    </row>
    <row r="344" spans="1:5">
      <c r="A344" s="43" t="s">
        <v>81</v>
      </c>
      <c r="B344" s="43">
        <v>2018</v>
      </c>
      <c r="C344" s="78">
        <v>1600</v>
      </c>
      <c r="D344" s="79">
        <v>198</v>
      </c>
      <c r="E344" s="103">
        <f t="shared" si="24"/>
        <v>1402</v>
      </c>
    </row>
    <row r="345" spans="1:5" ht="30">
      <c r="A345" s="43" t="s">
        <v>82</v>
      </c>
      <c r="B345" s="43">
        <v>2018</v>
      </c>
      <c r="C345" s="78">
        <v>5557</v>
      </c>
      <c r="D345" s="79">
        <v>226</v>
      </c>
      <c r="E345" s="103">
        <f t="shared" si="24"/>
        <v>5331</v>
      </c>
    </row>
    <row r="346" spans="1:5" ht="30">
      <c r="A346" s="43" t="s">
        <v>83</v>
      </c>
      <c r="B346" s="43">
        <v>2018</v>
      </c>
      <c r="C346" s="78">
        <v>3082</v>
      </c>
      <c r="D346" s="79">
        <v>216</v>
      </c>
      <c r="E346" s="103">
        <f t="shared" si="24"/>
        <v>2866</v>
      </c>
    </row>
    <row r="347" spans="1:5" ht="30">
      <c r="A347" s="43" t="s">
        <v>85</v>
      </c>
      <c r="B347" s="43">
        <v>2018</v>
      </c>
      <c r="C347" s="78">
        <v>80</v>
      </c>
      <c r="D347" s="79">
        <v>2</v>
      </c>
      <c r="E347" s="103">
        <f t="shared" si="24"/>
        <v>78</v>
      </c>
    </row>
    <row r="348" spans="1:5" ht="30">
      <c r="A348" s="43" t="s">
        <v>86</v>
      </c>
      <c r="B348" s="43">
        <v>2018</v>
      </c>
      <c r="C348" s="78">
        <v>213</v>
      </c>
      <c r="D348" s="79">
        <v>2</v>
      </c>
      <c r="E348" s="103">
        <f t="shared" si="24"/>
        <v>211</v>
      </c>
    </row>
    <row r="349" spans="1:5" ht="45">
      <c r="A349" s="43" t="s">
        <v>87</v>
      </c>
      <c r="B349" s="43">
        <v>2018</v>
      </c>
      <c r="C349" s="78">
        <v>82</v>
      </c>
      <c r="D349" s="79"/>
      <c r="E349" s="103"/>
    </row>
    <row r="350" spans="1:5" ht="60">
      <c r="A350" s="43" t="s">
        <v>88</v>
      </c>
      <c r="B350" s="43">
        <v>2018</v>
      </c>
      <c r="C350" s="78">
        <v>86</v>
      </c>
      <c r="D350" s="79">
        <v>3</v>
      </c>
      <c r="E350" s="103">
        <f>C350-D350</f>
        <v>83</v>
      </c>
    </row>
    <row r="351" spans="1:5" ht="30">
      <c r="A351" s="43" t="s">
        <v>90</v>
      </c>
      <c r="B351" s="43">
        <v>2018</v>
      </c>
      <c r="C351" s="78">
        <v>208</v>
      </c>
      <c r="D351" s="79">
        <v>33</v>
      </c>
      <c r="E351" s="103">
        <f>C351-D351</f>
        <v>175</v>
      </c>
    </row>
    <row r="352" spans="1:5" ht="30">
      <c r="A352" s="43" t="s">
        <v>92</v>
      </c>
      <c r="B352" s="43">
        <v>2018</v>
      </c>
      <c r="C352" s="78">
        <v>143</v>
      </c>
      <c r="D352" s="79">
        <v>7</v>
      </c>
      <c r="E352" s="103">
        <f>C352-D352</f>
        <v>136</v>
      </c>
    </row>
    <row r="353" spans="1:5">
      <c r="A353" s="80" t="s">
        <v>49</v>
      </c>
      <c r="B353" s="43">
        <v>2018</v>
      </c>
      <c r="C353" s="78" t="s">
        <v>41</v>
      </c>
      <c r="D353" s="79" t="s">
        <v>41</v>
      </c>
      <c r="E353" s="103" t="s">
        <v>41</v>
      </c>
    </row>
    <row r="354" spans="1:5">
      <c r="A354" s="43" t="s">
        <v>40</v>
      </c>
      <c r="B354" s="43">
        <v>2018</v>
      </c>
      <c r="C354" s="78">
        <v>20669</v>
      </c>
      <c r="D354" s="79">
        <v>2089</v>
      </c>
      <c r="E354" s="103">
        <f t="shared" ref="E354:E365" si="25">C354-D354</f>
        <v>18580</v>
      </c>
    </row>
    <row r="355" spans="1:5">
      <c r="A355" s="43" t="s">
        <v>78</v>
      </c>
      <c r="B355" s="43">
        <v>2018</v>
      </c>
      <c r="C355" s="78">
        <v>769</v>
      </c>
      <c r="D355" s="79">
        <v>281</v>
      </c>
      <c r="E355" s="103">
        <f t="shared" si="25"/>
        <v>488</v>
      </c>
    </row>
    <row r="356" spans="1:5">
      <c r="A356" s="43" t="s">
        <v>80</v>
      </c>
      <c r="B356" s="43">
        <v>2018</v>
      </c>
      <c r="C356" s="78">
        <v>2308</v>
      </c>
      <c r="D356" s="79">
        <v>381</v>
      </c>
      <c r="E356" s="103">
        <f t="shared" si="25"/>
        <v>1927</v>
      </c>
    </row>
    <row r="357" spans="1:5">
      <c r="A357" s="43" t="s">
        <v>81</v>
      </c>
      <c r="B357" s="43">
        <v>2018</v>
      </c>
      <c r="C357" s="78">
        <v>2843</v>
      </c>
      <c r="D357" s="79">
        <v>406</v>
      </c>
      <c r="E357" s="103">
        <f t="shared" si="25"/>
        <v>2437</v>
      </c>
    </row>
    <row r="358" spans="1:5" ht="30">
      <c r="A358" s="43" t="s">
        <v>82</v>
      </c>
      <c r="B358" s="43">
        <v>2018</v>
      </c>
      <c r="C358" s="78">
        <v>7263</v>
      </c>
      <c r="D358" s="79">
        <v>309</v>
      </c>
      <c r="E358" s="103">
        <f t="shared" si="25"/>
        <v>6954</v>
      </c>
    </row>
    <row r="359" spans="1:5" ht="30">
      <c r="A359" s="43" t="s">
        <v>83</v>
      </c>
      <c r="B359" s="43">
        <v>2018</v>
      </c>
      <c r="C359" s="78">
        <v>4320</v>
      </c>
      <c r="D359" s="79">
        <v>435</v>
      </c>
      <c r="E359" s="103">
        <f t="shared" si="25"/>
        <v>3885</v>
      </c>
    </row>
    <row r="360" spans="1:5" ht="30">
      <c r="A360" s="43" t="s">
        <v>85</v>
      </c>
      <c r="B360" s="43">
        <v>2018</v>
      </c>
      <c r="C360" s="78">
        <v>496</v>
      </c>
      <c r="D360" s="79">
        <v>107</v>
      </c>
      <c r="E360" s="103">
        <f t="shared" si="25"/>
        <v>389</v>
      </c>
    </row>
    <row r="361" spans="1:5" ht="30">
      <c r="A361" s="43" t="s">
        <v>86</v>
      </c>
      <c r="B361" s="43">
        <v>2018</v>
      </c>
      <c r="C361" s="78">
        <v>1119</v>
      </c>
      <c r="D361" s="79">
        <v>90</v>
      </c>
      <c r="E361" s="103">
        <f t="shared" si="25"/>
        <v>1029</v>
      </c>
    </row>
    <row r="362" spans="1:5" ht="45">
      <c r="A362" s="43" t="s">
        <v>87</v>
      </c>
      <c r="B362" s="43">
        <v>2018</v>
      </c>
      <c r="C362" s="78">
        <v>914</v>
      </c>
      <c r="D362" s="79">
        <v>31</v>
      </c>
      <c r="E362" s="103">
        <f t="shared" si="25"/>
        <v>883</v>
      </c>
    </row>
    <row r="363" spans="1:5" ht="60">
      <c r="A363" s="43" t="s">
        <v>88</v>
      </c>
      <c r="B363" s="43">
        <v>2018</v>
      </c>
      <c r="C363" s="78">
        <v>96</v>
      </c>
      <c r="D363" s="79">
        <v>6</v>
      </c>
      <c r="E363" s="103">
        <f t="shared" si="25"/>
        <v>90</v>
      </c>
    </row>
    <row r="364" spans="1:5" ht="30">
      <c r="A364" s="43" t="s">
        <v>90</v>
      </c>
      <c r="B364" s="43">
        <v>2018</v>
      </c>
      <c r="C364" s="78">
        <v>263</v>
      </c>
      <c r="D364" s="79">
        <v>24</v>
      </c>
      <c r="E364" s="103">
        <f t="shared" si="25"/>
        <v>239</v>
      </c>
    </row>
    <row r="365" spans="1:5" ht="30">
      <c r="A365" s="43" t="s">
        <v>92</v>
      </c>
      <c r="B365" s="43">
        <v>2018</v>
      </c>
      <c r="C365" s="78">
        <v>278</v>
      </c>
      <c r="D365" s="79">
        <v>19</v>
      </c>
      <c r="E365" s="103">
        <f t="shared" si="25"/>
        <v>259</v>
      </c>
    </row>
    <row r="366" spans="1:5">
      <c r="A366" s="80" t="s">
        <v>50</v>
      </c>
      <c r="B366" s="43">
        <v>2018</v>
      </c>
      <c r="C366" s="78" t="s">
        <v>41</v>
      </c>
      <c r="D366" s="79" t="s">
        <v>41</v>
      </c>
      <c r="E366" s="103" t="s">
        <v>41</v>
      </c>
    </row>
    <row r="367" spans="1:5">
      <c r="A367" s="43" t="s">
        <v>40</v>
      </c>
      <c r="B367" s="43">
        <v>2018</v>
      </c>
      <c r="C367" s="78">
        <v>17804</v>
      </c>
      <c r="D367" s="79">
        <v>1188</v>
      </c>
      <c r="E367" s="103">
        <f t="shared" ref="E367:E375" si="26">C367-D367</f>
        <v>16616</v>
      </c>
    </row>
    <row r="368" spans="1:5">
      <c r="A368" s="43" t="s">
        <v>78</v>
      </c>
      <c r="B368" s="43">
        <v>2018</v>
      </c>
      <c r="C368" s="78">
        <v>707</v>
      </c>
      <c r="D368" s="79">
        <v>134</v>
      </c>
      <c r="E368" s="103">
        <f t="shared" si="26"/>
        <v>573</v>
      </c>
    </row>
    <row r="369" spans="1:5">
      <c r="A369" s="43" t="s">
        <v>80</v>
      </c>
      <c r="B369" s="43">
        <v>2018</v>
      </c>
      <c r="C369" s="78">
        <v>1536</v>
      </c>
      <c r="D369" s="79">
        <v>116</v>
      </c>
      <c r="E369" s="103">
        <f t="shared" si="26"/>
        <v>1420</v>
      </c>
    </row>
    <row r="370" spans="1:5">
      <c r="A370" s="43" t="s">
        <v>81</v>
      </c>
      <c r="B370" s="43">
        <v>2018</v>
      </c>
      <c r="C370" s="78">
        <v>5543</v>
      </c>
      <c r="D370" s="79">
        <v>546</v>
      </c>
      <c r="E370" s="103">
        <f t="shared" si="26"/>
        <v>4997</v>
      </c>
    </row>
    <row r="371" spans="1:5" ht="30">
      <c r="A371" s="43" t="s">
        <v>82</v>
      </c>
      <c r="B371" s="43">
        <v>2018</v>
      </c>
      <c r="C371" s="78">
        <v>6057</v>
      </c>
      <c r="D371" s="79">
        <v>166</v>
      </c>
      <c r="E371" s="103">
        <f t="shared" si="26"/>
        <v>5891</v>
      </c>
    </row>
    <row r="372" spans="1:5" ht="30">
      <c r="A372" s="43" t="s">
        <v>83</v>
      </c>
      <c r="B372" s="43">
        <v>2018</v>
      </c>
      <c r="C372" s="78">
        <v>2015</v>
      </c>
      <c r="D372" s="79">
        <v>123</v>
      </c>
      <c r="E372" s="103">
        <f t="shared" si="26"/>
        <v>1892</v>
      </c>
    </row>
    <row r="373" spans="1:5" ht="30">
      <c r="A373" s="43" t="s">
        <v>85</v>
      </c>
      <c r="B373" s="43">
        <v>2018</v>
      </c>
      <c r="C373" s="78">
        <v>296</v>
      </c>
      <c r="D373" s="79">
        <v>31</v>
      </c>
      <c r="E373" s="103">
        <f t="shared" si="26"/>
        <v>265</v>
      </c>
    </row>
    <row r="374" spans="1:5" ht="30">
      <c r="A374" s="43" t="s">
        <v>86</v>
      </c>
      <c r="B374" s="43">
        <v>2018</v>
      </c>
      <c r="C374" s="78">
        <v>717</v>
      </c>
      <c r="D374" s="79">
        <v>30</v>
      </c>
      <c r="E374" s="103">
        <f t="shared" si="26"/>
        <v>687</v>
      </c>
    </row>
    <row r="375" spans="1:5" ht="45">
      <c r="A375" s="43" t="s">
        <v>87</v>
      </c>
      <c r="B375" s="43">
        <v>2018</v>
      </c>
      <c r="C375" s="78">
        <v>572</v>
      </c>
      <c r="D375" s="79">
        <v>13</v>
      </c>
      <c r="E375" s="103">
        <f t="shared" si="26"/>
        <v>559</v>
      </c>
    </row>
    <row r="376" spans="1:5" ht="60">
      <c r="A376" s="43" t="s">
        <v>88</v>
      </c>
      <c r="B376" s="43">
        <v>2018</v>
      </c>
      <c r="C376" s="78">
        <v>40</v>
      </c>
      <c r="D376" s="79"/>
      <c r="E376" s="103"/>
    </row>
    <row r="377" spans="1:5" ht="30">
      <c r="A377" s="43" t="s">
        <v>90</v>
      </c>
      <c r="B377" s="43">
        <v>2018</v>
      </c>
      <c r="C377" s="78">
        <v>206</v>
      </c>
      <c r="D377" s="79">
        <v>23</v>
      </c>
      <c r="E377" s="103">
        <f>C377-D377</f>
        <v>183</v>
      </c>
    </row>
    <row r="378" spans="1:5" ht="30">
      <c r="A378" s="43" t="s">
        <v>92</v>
      </c>
      <c r="B378" s="43">
        <v>2018</v>
      </c>
      <c r="C378" s="78">
        <v>115</v>
      </c>
      <c r="D378" s="79">
        <v>6</v>
      </c>
      <c r="E378" s="103">
        <f>C378-D378</f>
        <v>109</v>
      </c>
    </row>
    <row r="379" spans="1:5">
      <c r="A379" s="80" t="s">
        <v>51</v>
      </c>
      <c r="B379" s="43">
        <v>2018</v>
      </c>
      <c r="C379" s="78" t="s">
        <v>41</v>
      </c>
      <c r="D379" s="79" t="s">
        <v>41</v>
      </c>
      <c r="E379" s="103" t="s">
        <v>41</v>
      </c>
    </row>
    <row r="380" spans="1:5">
      <c r="A380" s="43" t="s">
        <v>40</v>
      </c>
      <c r="B380" s="43">
        <v>2018</v>
      </c>
      <c r="C380" s="78">
        <v>26542</v>
      </c>
      <c r="D380" s="79">
        <v>2183</v>
      </c>
      <c r="E380" s="103">
        <f t="shared" ref="E380:E391" si="27">C380-D380</f>
        <v>24359</v>
      </c>
    </row>
    <row r="381" spans="1:5">
      <c r="A381" s="43" t="s">
        <v>78</v>
      </c>
      <c r="B381" s="43">
        <v>2018</v>
      </c>
      <c r="C381" s="78">
        <v>1293</v>
      </c>
      <c r="D381" s="79">
        <v>290</v>
      </c>
      <c r="E381" s="103">
        <f t="shared" si="27"/>
        <v>1003</v>
      </c>
    </row>
    <row r="382" spans="1:5">
      <c r="A382" s="43" t="s">
        <v>80</v>
      </c>
      <c r="B382" s="43">
        <v>2018</v>
      </c>
      <c r="C382" s="78">
        <v>2711</v>
      </c>
      <c r="D382" s="79">
        <v>240</v>
      </c>
      <c r="E382" s="103">
        <f t="shared" si="27"/>
        <v>2471</v>
      </c>
    </row>
    <row r="383" spans="1:5">
      <c r="A383" s="43" t="s">
        <v>81</v>
      </c>
      <c r="B383" s="43">
        <v>2018</v>
      </c>
      <c r="C383" s="78">
        <v>8737</v>
      </c>
      <c r="D383" s="79">
        <v>1064</v>
      </c>
      <c r="E383" s="103">
        <f t="shared" si="27"/>
        <v>7673</v>
      </c>
    </row>
    <row r="384" spans="1:5" ht="30">
      <c r="A384" s="43" t="s">
        <v>82</v>
      </c>
      <c r="B384" s="43">
        <v>2018</v>
      </c>
      <c r="C384" s="78">
        <v>8640</v>
      </c>
      <c r="D384" s="79">
        <v>270</v>
      </c>
      <c r="E384" s="103">
        <f t="shared" si="27"/>
        <v>8370</v>
      </c>
    </row>
    <row r="385" spans="1:5" ht="30">
      <c r="A385" s="43" t="s">
        <v>83</v>
      </c>
      <c r="B385" s="43">
        <v>2018</v>
      </c>
      <c r="C385" s="78">
        <v>3007</v>
      </c>
      <c r="D385" s="79">
        <v>167</v>
      </c>
      <c r="E385" s="103">
        <f t="shared" si="27"/>
        <v>2840</v>
      </c>
    </row>
    <row r="386" spans="1:5" ht="30">
      <c r="A386" s="43" t="s">
        <v>85</v>
      </c>
      <c r="B386" s="43">
        <v>2018</v>
      </c>
      <c r="C386" s="78">
        <v>262</v>
      </c>
      <c r="D386" s="79">
        <v>35</v>
      </c>
      <c r="E386" s="103">
        <f t="shared" si="27"/>
        <v>227</v>
      </c>
    </row>
    <row r="387" spans="1:5" ht="30">
      <c r="A387" s="43" t="s">
        <v>86</v>
      </c>
      <c r="B387" s="43">
        <v>2018</v>
      </c>
      <c r="C387" s="78">
        <v>481</v>
      </c>
      <c r="D387" s="79">
        <v>20</v>
      </c>
      <c r="E387" s="103">
        <f t="shared" si="27"/>
        <v>461</v>
      </c>
    </row>
    <row r="388" spans="1:5" ht="45">
      <c r="A388" s="43" t="s">
        <v>87</v>
      </c>
      <c r="B388" s="43">
        <v>2018</v>
      </c>
      <c r="C388" s="78">
        <v>403</v>
      </c>
      <c r="D388" s="79">
        <v>15</v>
      </c>
      <c r="E388" s="103">
        <f t="shared" si="27"/>
        <v>388</v>
      </c>
    </row>
    <row r="389" spans="1:5" ht="60">
      <c r="A389" s="43" t="s">
        <v>88</v>
      </c>
      <c r="B389" s="43">
        <v>2018</v>
      </c>
      <c r="C389" s="78">
        <v>180</v>
      </c>
      <c r="D389" s="79">
        <v>8</v>
      </c>
      <c r="E389" s="103">
        <f t="shared" si="27"/>
        <v>172</v>
      </c>
    </row>
    <row r="390" spans="1:5" ht="30">
      <c r="A390" s="43" t="s">
        <v>90</v>
      </c>
      <c r="B390" s="43">
        <v>2018</v>
      </c>
      <c r="C390" s="78">
        <v>524</v>
      </c>
      <c r="D390" s="79">
        <v>62</v>
      </c>
      <c r="E390" s="103">
        <f t="shared" si="27"/>
        <v>462</v>
      </c>
    </row>
    <row r="391" spans="1:5" ht="30">
      <c r="A391" s="43" t="s">
        <v>92</v>
      </c>
      <c r="B391" s="43">
        <v>2018</v>
      </c>
      <c r="C391" s="78">
        <v>304</v>
      </c>
      <c r="D391" s="79">
        <v>12</v>
      </c>
      <c r="E391" s="103">
        <f t="shared" si="27"/>
        <v>292</v>
      </c>
    </row>
  </sheetData>
  <autoFilter ref="A2:E391"/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AB157"/>
  <sheetViews>
    <sheetView workbookViewId="0"/>
  </sheetViews>
  <sheetFormatPr baseColWidth="10" defaultRowHeight="15"/>
  <cols>
    <col min="11" max="11" width="11.42578125" style="70"/>
  </cols>
  <sheetData>
    <row r="1" spans="1:28">
      <c r="A1" s="53" t="s">
        <v>54</v>
      </c>
    </row>
    <row r="3" spans="1:28">
      <c r="A3" s="54" t="s">
        <v>120</v>
      </c>
    </row>
    <row r="4" spans="1:28">
      <c r="A4" s="54" t="s">
        <v>55</v>
      </c>
    </row>
    <row r="6" spans="1:28">
      <c r="A6" s="39" t="s">
        <v>56</v>
      </c>
    </row>
    <row r="8" spans="1:28">
      <c r="A8" t="s">
        <v>42</v>
      </c>
    </row>
    <row r="9" spans="1:28">
      <c r="A9" t="s">
        <v>57</v>
      </c>
    </row>
    <row r="10" spans="1:28">
      <c r="A10" t="s">
        <v>43</v>
      </c>
    </row>
    <row r="12" spans="1:28">
      <c r="A12" t="s">
        <v>58</v>
      </c>
    </row>
    <row r="13" spans="1:28">
      <c r="A13" t="s">
        <v>108</v>
      </c>
    </row>
    <row r="14" spans="1:28">
      <c r="A14" t="s">
        <v>121</v>
      </c>
    </row>
    <row r="16" spans="1:28" ht="30">
      <c r="A16" s="45" t="s">
        <v>34</v>
      </c>
      <c r="B16" s="262" t="s">
        <v>109</v>
      </c>
      <c r="C16" s="263"/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4"/>
      <c r="S16" s="46"/>
      <c r="T16" s="46"/>
      <c r="U16" s="46"/>
      <c r="V16" s="46"/>
      <c r="W16" s="46"/>
      <c r="X16" s="46"/>
      <c r="Y16" s="46"/>
      <c r="Z16" s="46"/>
      <c r="AA16" s="46"/>
      <c r="AB16" s="40"/>
    </row>
    <row r="17" spans="1:28" ht="30">
      <c r="A17" s="42" t="s">
        <v>44</v>
      </c>
      <c r="B17" s="265"/>
      <c r="C17" s="266"/>
      <c r="D17" s="266"/>
      <c r="E17" s="266"/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  <c r="AB17" s="49"/>
    </row>
    <row r="18" spans="1:28">
      <c r="A18" s="42" t="s">
        <v>45</v>
      </c>
      <c r="B18" s="268"/>
      <c r="C18" s="269"/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70"/>
      <c r="AB18" s="49"/>
    </row>
    <row r="19" spans="1:28" ht="45">
      <c r="A19" s="42" t="s">
        <v>61</v>
      </c>
      <c r="B19" s="55"/>
      <c r="C19" s="262" t="s">
        <v>66</v>
      </c>
      <c r="D19" s="263"/>
      <c r="E19" s="263"/>
      <c r="F19" s="263"/>
      <c r="G19" s="263"/>
      <c r="H19" s="263"/>
      <c r="I19" s="263"/>
      <c r="J19" s="263"/>
      <c r="K19" s="263"/>
      <c r="L19" s="263"/>
      <c r="M19" s="264"/>
      <c r="N19" s="45" t="s">
        <v>68</v>
      </c>
      <c r="O19" s="262" t="s">
        <v>72</v>
      </c>
      <c r="P19" s="263"/>
      <c r="Q19" s="263"/>
      <c r="R19" s="264"/>
      <c r="AB19" s="49"/>
    </row>
    <row r="20" spans="1:28" ht="15" customHeight="1">
      <c r="A20" s="42" t="s">
        <v>46</v>
      </c>
      <c r="B20" s="42" t="s">
        <v>64</v>
      </c>
      <c r="C20" s="265" t="s">
        <v>67</v>
      </c>
      <c r="D20" s="266"/>
      <c r="E20" s="266"/>
      <c r="F20" s="266"/>
      <c r="G20" s="266"/>
      <c r="H20" s="266"/>
      <c r="I20" s="266"/>
      <c r="J20" s="266"/>
      <c r="K20" s="266"/>
      <c r="L20" s="266"/>
      <c r="M20" s="267"/>
      <c r="N20" s="42" t="s">
        <v>69</v>
      </c>
      <c r="O20" s="265" t="s">
        <v>67</v>
      </c>
      <c r="P20" s="266"/>
      <c r="Q20" s="266"/>
      <c r="R20" s="267"/>
      <c r="AB20" s="49"/>
    </row>
    <row r="21" spans="1:28" ht="30">
      <c r="A21" s="42" t="s">
        <v>62</v>
      </c>
      <c r="B21" s="42" t="s">
        <v>65</v>
      </c>
      <c r="C21" s="268"/>
      <c r="D21" s="269"/>
      <c r="E21" s="269"/>
      <c r="F21" s="269"/>
      <c r="G21" s="269"/>
      <c r="H21" s="269"/>
      <c r="I21" s="269"/>
      <c r="J21" s="269"/>
      <c r="K21" s="269"/>
      <c r="L21" s="269"/>
      <c r="M21" s="270"/>
      <c r="N21" s="42" t="s">
        <v>70</v>
      </c>
      <c r="O21" s="268"/>
      <c r="P21" s="269"/>
      <c r="Q21" s="269"/>
      <c r="R21" s="270"/>
      <c r="AB21" s="49"/>
    </row>
    <row r="22" spans="1:28">
      <c r="A22" s="42"/>
      <c r="B22" s="42"/>
      <c r="C22" s="256">
        <v>0</v>
      </c>
      <c r="D22" s="256">
        <v>1</v>
      </c>
      <c r="E22" s="256">
        <v>2</v>
      </c>
      <c r="F22" s="256">
        <v>3</v>
      </c>
      <c r="G22" s="256">
        <v>4</v>
      </c>
      <c r="H22" s="256">
        <v>5</v>
      </c>
      <c r="I22" s="256">
        <v>6</v>
      </c>
      <c r="J22" s="256">
        <v>7</v>
      </c>
      <c r="K22" s="260">
        <v>8</v>
      </c>
      <c r="L22" s="256">
        <v>9</v>
      </c>
      <c r="M22" s="256">
        <v>10</v>
      </c>
      <c r="N22" s="42" t="s">
        <v>71</v>
      </c>
      <c r="O22" s="45" t="s">
        <v>73</v>
      </c>
      <c r="P22" s="256">
        <v>11</v>
      </c>
      <c r="Q22" s="256">
        <v>12</v>
      </c>
      <c r="R22" s="256">
        <v>13</v>
      </c>
      <c r="AB22" s="49"/>
    </row>
    <row r="23" spans="1:28">
      <c r="A23" s="42"/>
      <c r="B23" s="48"/>
      <c r="C23" s="257"/>
      <c r="D23" s="257"/>
      <c r="E23" s="257"/>
      <c r="F23" s="257"/>
      <c r="G23" s="257"/>
      <c r="H23" s="257"/>
      <c r="I23" s="257"/>
      <c r="J23" s="257"/>
      <c r="K23" s="261"/>
      <c r="L23" s="257"/>
      <c r="M23" s="257"/>
      <c r="N23" s="48"/>
      <c r="O23" s="48" t="s">
        <v>74</v>
      </c>
      <c r="P23" s="257"/>
      <c r="Q23" s="257"/>
      <c r="R23" s="257"/>
      <c r="AB23" s="49"/>
    </row>
    <row r="24" spans="1:28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AB24" s="49"/>
    </row>
    <row r="25" spans="1:28">
      <c r="A25" s="38"/>
      <c r="AB25" s="49"/>
    </row>
    <row r="26" spans="1:28" ht="15" customHeight="1">
      <c r="A26" s="253" t="s">
        <v>47</v>
      </c>
      <c r="B26" s="254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4"/>
      <c r="R26" s="254"/>
      <c r="S26" s="254"/>
      <c r="T26" s="254"/>
      <c r="U26" s="254"/>
      <c r="V26" s="254"/>
      <c r="W26" s="254"/>
      <c r="X26" s="254"/>
      <c r="Y26" s="254"/>
      <c r="Z26" s="254"/>
      <c r="AA26" s="254"/>
      <c r="AB26" s="255"/>
    </row>
    <row r="27" spans="1:28">
      <c r="A27" s="253"/>
      <c r="B27" s="254"/>
      <c r="C27" s="254"/>
      <c r="D27" s="254"/>
      <c r="E27" s="254"/>
      <c r="F27" s="254"/>
      <c r="G27" s="254"/>
      <c r="H27" s="254"/>
      <c r="I27" s="254"/>
      <c r="J27" s="254"/>
      <c r="K27" s="254"/>
      <c r="L27" s="254"/>
      <c r="M27" s="254"/>
      <c r="N27" s="254"/>
      <c r="O27" s="254"/>
      <c r="P27" s="254"/>
      <c r="Q27" s="254"/>
      <c r="R27" s="254"/>
      <c r="S27" s="254"/>
      <c r="T27" s="254"/>
      <c r="U27" s="254"/>
      <c r="V27" s="254"/>
      <c r="W27" s="254"/>
      <c r="X27" s="254"/>
      <c r="Y27" s="254"/>
      <c r="Z27" s="254"/>
      <c r="AA27" s="254"/>
      <c r="AB27" s="255"/>
    </row>
    <row r="28" spans="1:28" ht="30">
      <c r="A28" s="43" t="s">
        <v>40</v>
      </c>
      <c r="B28" s="43">
        <v>86370</v>
      </c>
      <c r="C28" s="43">
        <v>929</v>
      </c>
      <c r="D28" s="43">
        <v>9927</v>
      </c>
      <c r="E28" s="43">
        <v>9842</v>
      </c>
      <c r="F28" s="43">
        <v>9459</v>
      </c>
      <c r="G28" s="43">
        <v>9458</v>
      </c>
      <c r="H28" s="43">
        <v>8045</v>
      </c>
      <c r="I28" s="43">
        <v>7275</v>
      </c>
      <c r="J28" s="43">
        <v>7438</v>
      </c>
      <c r="K28" s="72">
        <v>7296</v>
      </c>
      <c r="L28" s="43">
        <v>7126</v>
      </c>
      <c r="M28" s="43">
        <v>5599</v>
      </c>
      <c r="N28" s="43">
        <v>1332</v>
      </c>
      <c r="O28" s="43">
        <v>57</v>
      </c>
      <c r="P28" s="43">
        <v>1502</v>
      </c>
      <c r="Q28" s="43">
        <v>956</v>
      </c>
      <c r="R28" s="43">
        <v>129</v>
      </c>
      <c r="AB28" s="49"/>
    </row>
    <row r="29" spans="1:28">
      <c r="A29" s="253"/>
      <c r="B29" s="254"/>
      <c r="C29" s="254"/>
      <c r="D29" s="254"/>
      <c r="E29" s="254"/>
      <c r="F29" s="254"/>
      <c r="G29" s="254"/>
      <c r="H29" s="254"/>
      <c r="I29" s="254"/>
      <c r="J29" s="254"/>
      <c r="K29" s="254"/>
      <c r="L29" s="254"/>
      <c r="M29" s="254"/>
      <c r="N29" s="254"/>
      <c r="O29" s="254"/>
      <c r="P29" s="254"/>
      <c r="Q29" s="254"/>
      <c r="R29" s="254"/>
      <c r="S29" s="254"/>
      <c r="T29" s="254"/>
      <c r="U29" s="254"/>
      <c r="V29" s="254"/>
      <c r="W29" s="254"/>
      <c r="X29" s="254"/>
      <c r="Y29" s="254"/>
      <c r="Z29" s="254"/>
      <c r="AA29" s="254"/>
      <c r="AB29" s="255"/>
    </row>
    <row r="30" spans="1:28" ht="45">
      <c r="A30" s="43" t="s">
        <v>75</v>
      </c>
      <c r="B30" s="43">
        <v>903</v>
      </c>
      <c r="C30" s="43">
        <v>903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AB30" s="49"/>
    </row>
    <row r="31" spans="1:28" ht="30">
      <c r="A31" s="43" t="s">
        <v>76</v>
      </c>
      <c r="B31" s="43">
        <v>37484</v>
      </c>
      <c r="C31" s="43" t="s">
        <v>35</v>
      </c>
      <c r="D31" s="43">
        <v>9271</v>
      </c>
      <c r="E31" s="43">
        <v>9576</v>
      </c>
      <c r="F31" s="43">
        <v>9243</v>
      </c>
      <c r="G31" s="43">
        <v>9288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106</v>
      </c>
      <c r="O31" s="43" t="s">
        <v>35</v>
      </c>
      <c r="P31" s="43" t="s">
        <v>35</v>
      </c>
      <c r="Q31" s="43" t="s">
        <v>35</v>
      </c>
      <c r="R31" s="43" t="s">
        <v>35</v>
      </c>
      <c r="AB31" s="49"/>
    </row>
    <row r="32" spans="1:28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AB32" s="49"/>
    </row>
    <row r="33" spans="1:28" ht="30">
      <c r="A33" s="43" t="s">
        <v>78</v>
      </c>
      <c r="B33" s="43">
        <v>5015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509</v>
      </c>
      <c r="I33" s="43">
        <v>644</v>
      </c>
      <c r="J33" s="43">
        <v>840</v>
      </c>
      <c r="K33" s="72">
        <v>990</v>
      </c>
      <c r="L33" s="43">
        <v>1133</v>
      </c>
      <c r="M33" s="43">
        <v>660</v>
      </c>
      <c r="N33" s="43">
        <v>239</v>
      </c>
      <c r="O33" s="43" t="s">
        <v>35</v>
      </c>
      <c r="P33" s="43" t="s">
        <v>35</v>
      </c>
      <c r="Q33" s="43" t="s">
        <v>35</v>
      </c>
      <c r="R33" s="43" t="s">
        <v>35</v>
      </c>
      <c r="AB33" s="49"/>
    </row>
    <row r="34" spans="1:28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AB34" s="49"/>
    </row>
    <row r="35" spans="1:28" ht="30">
      <c r="A35" s="43" t="s">
        <v>80</v>
      </c>
      <c r="B35" s="43">
        <v>5957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1104</v>
      </c>
      <c r="I35" s="43">
        <v>935</v>
      </c>
      <c r="J35" s="43">
        <v>939</v>
      </c>
      <c r="K35" s="72">
        <v>971</v>
      </c>
      <c r="L35" s="43">
        <v>1015</v>
      </c>
      <c r="M35" s="43">
        <v>888</v>
      </c>
      <c r="N35" s="43">
        <v>105</v>
      </c>
      <c r="O35" s="43" t="s">
        <v>35</v>
      </c>
      <c r="P35" s="43" t="s">
        <v>35</v>
      </c>
      <c r="Q35" s="43" t="s">
        <v>35</v>
      </c>
      <c r="R35" s="43" t="s">
        <v>35</v>
      </c>
      <c r="AB35" s="49"/>
    </row>
    <row r="36" spans="1:28" ht="30">
      <c r="A36" s="43" t="s">
        <v>81</v>
      </c>
      <c r="B36" s="43">
        <v>14201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2185</v>
      </c>
      <c r="I36" s="43">
        <v>2451</v>
      </c>
      <c r="J36" s="43">
        <v>2654</v>
      </c>
      <c r="K36" s="72">
        <v>2629</v>
      </c>
      <c r="L36" s="43">
        <v>2336</v>
      </c>
      <c r="M36" s="43">
        <v>1472</v>
      </c>
      <c r="N36" s="43">
        <v>474</v>
      </c>
      <c r="O36" s="43" t="s">
        <v>35</v>
      </c>
      <c r="P36" s="43" t="s">
        <v>35</v>
      </c>
      <c r="Q36" s="43" t="s">
        <v>35</v>
      </c>
      <c r="R36" s="43" t="s">
        <v>35</v>
      </c>
      <c r="AB36" s="49"/>
    </row>
    <row r="37" spans="1:28" ht="30">
      <c r="A37" s="43" t="s">
        <v>82</v>
      </c>
      <c r="B37" s="43">
        <v>9359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1738</v>
      </c>
      <c r="I37" s="43">
        <v>1391</v>
      </c>
      <c r="J37" s="43">
        <v>1273</v>
      </c>
      <c r="K37" s="72">
        <v>1066</v>
      </c>
      <c r="L37" s="43">
        <v>1003</v>
      </c>
      <c r="M37" s="43">
        <v>1057</v>
      </c>
      <c r="N37" s="43">
        <v>143</v>
      </c>
      <c r="O37" s="43">
        <v>45</v>
      </c>
      <c r="P37" s="43">
        <v>975</v>
      </c>
      <c r="Q37" s="43">
        <v>668</v>
      </c>
      <c r="R37" s="43" t="s">
        <v>35</v>
      </c>
      <c r="AB37" s="49"/>
    </row>
    <row r="38" spans="1:28" ht="45">
      <c r="A38" s="43" t="s">
        <v>83</v>
      </c>
      <c r="B38" s="43">
        <v>8194</v>
      </c>
      <c r="C38" s="43">
        <v>16</v>
      </c>
      <c r="D38" s="43">
        <v>61</v>
      </c>
      <c r="E38" s="43">
        <v>61</v>
      </c>
      <c r="F38" s="43">
        <v>76</v>
      </c>
      <c r="G38" s="43">
        <v>70</v>
      </c>
      <c r="H38" s="43">
        <v>1495</v>
      </c>
      <c r="I38" s="43">
        <v>1281</v>
      </c>
      <c r="J38" s="43">
        <v>1262</v>
      </c>
      <c r="K38" s="72">
        <v>1068</v>
      </c>
      <c r="L38" s="43">
        <v>1073</v>
      </c>
      <c r="M38" s="43">
        <v>910</v>
      </c>
      <c r="N38" s="43">
        <v>197</v>
      </c>
      <c r="O38" s="43" t="s">
        <v>35</v>
      </c>
      <c r="P38" s="43">
        <v>340</v>
      </c>
      <c r="Q38" s="43">
        <v>186</v>
      </c>
      <c r="R38" s="43">
        <v>98</v>
      </c>
      <c r="AB38" s="49"/>
    </row>
    <row r="39" spans="1:28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AB39" s="49"/>
    </row>
    <row r="40" spans="1:28" ht="45">
      <c r="A40" s="43" t="s">
        <v>85</v>
      </c>
      <c r="B40" s="43">
        <v>904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111</v>
      </c>
      <c r="I40" s="43">
        <v>152</v>
      </c>
      <c r="J40" s="43">
        <v>163</v>
      </c>
      <c r="K40" s="72">
        <v>168</v>
      </c>
      <c r="L40" s="43">
        <v>175</v>
      </c>
      <c r="M40" s="43">
        <v>75</v>
      </c>
      <c r="N40" s="43">
        <v>60</v>
      </c>
      <c r="O40" s="43" t="s">
        <v>35</v>
      </c>
      <c r="P40" s="43" t="s">
        <v>35</v>
      </c>
      <c r="Q40" s="43" t="s">
        <v>35</v>
      </c>
      <c r="R40" s="43" t="s">
        <v>35</v>
      </c>
      <c r="AB40" s="49"/>
    </row>
    <row r="41" spans="1:28" ht="45">
      <c r="A41" s="43" t="s">
        <v>86</v>
      </c>
      <c r="B41" s="43">
        <v>910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173</v>
      </c>
      <c r="I41" s="43">
        <v>155</v>
      </c>
      <c r="J41" s="43">
        <v>146</v>
      </c>
      <c r="K41" s="72">
        <v>134</v>
      </c>
      <c r="L41" s="43">
        <v>155</v>
      </c>
      <c r="M41" s="43">
        <v>147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AB41" s="49"/>
    </row>
    <row r="42" spans="1:28" ht="60">
      <c r="A42" s="43" t="s">
        <v>87</v>
      </c>
      <c r="B42" s="43">
        <v>523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86</v>
      </c>
      <c r="I42" s="43">
        <v>78</v>
      </c>
      <c r="J42" s="43">
        <v>61</v>
      </c>
      <c r="K42" s="72">
        <v>63</v>
      </c>
      <c r="L42" s="43">
        <v>55</v>
      </c>
      <c r="M42" s="43">
        <v>53</v>
      </c>
      <c r="N42" s="43">
        <v>8</v>
      </c>
      <c r="O42" s="43">
        <v>12</v>
      </c>
      <c r="P42" s="43">
        <v>63</v>
      </c>
      <c r="Q42" s="43">
        <v>44</v>
      </c>
      <c r="R42" s="43" t="s">
        <v>35</v>
      </c>
      <c r="AB42" s="49"/>
    </row>
    <row r="43" spans="1:28" ht="75">
      <c r="A43" s="43" t="s">
        <v>88</v>
      </c>
      <c r="B43" s="43">
        <v>161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8</v>
      </c>
      <c r="I43" s="43">
        <v>21</v>
      </c>
      <c r="J43" s="43">
        <v>17</v>
      </c>
      <c r="K43" s="72">
        <v>20</v>
      </c>
      <c r="L43" s="43">
        <v>16</v>
      </c>
      <c r="M43" s="43">
        <v>15</v>
      </c>
      <c r="N43" s="43" t="s">
        <v>35</v>
      </c>
      <c r="O43" s="43" t="s">
        <v>35</v>
      </c>
      <c r="P43" s="43">
        <v>39</v>
      </c>
      <c r="Q43" s="43">
        <v>13</v>
      </c>
      <c r="R43" s="43">
        <v>12</v>
      </c>
      <c r="AB43" s="49"/>
    </row>
    <row r="44" spans="1:28" ht="45">
      <c r="A44" s="43" t="s">
        <v>89</v>
      </c>
      <c r="B44" s="43">
        <v>10</v>
      </c>
      <c r="C44" s="43">
        <v>10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AB44" s="49"/>
    </row>
    <row r="45" spans="1:28" ht="45">
      <c r="A45" s="43" t="s">
        <v>90</v>
      </c>
      <c r="B45" s="43">
        <v>526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104</v>
      </c>
      <c r="I45" s="43">
        <v>91</v>
      </c>
      <c r="J45" s="43">
        <v>30</v>
      </c>
      <c r="K45" s="72">
        <v>136</v>
      </c>
      <c r="L45" s="43">
        <v>124</v>
      </c>
      <c r="M45" s="43">
        <v>41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AB45" s="49"/>
    </row>
    <row r="46" spans="1:28" ht="60">
      <c r="A46" s="43" t="s">
        <v>91</v>
      </c>
      <c r="B46" s="43">
        <v>1117</v>
      </c>
      <c r="C46" s="43" t="s">
        <v>35</v>
      </c>
      <c r="D46" s="43">
        <v>388</v>
      </c>
      <c r="E46" s="43" t="s">
        <v>35</v>
      </c>
      <c r="F46" s="43" t="s">
        <v>35</v>
      </c>
      <c r="G46" s="43" t="s">
        <v>35</v>
      </c>
      <c r="H46" s="43">
        <v>475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254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AB46" s="49"/>
    </row>
    <row r="47" spans="1:28" ht="60">
      <c r="A47" s="43" t="s">
        <v>92</v>
      </c>
      <c r="B47" s="43">
        <v>957</v>
      </c>
      <c r="C47" s="43" t="s">
        <v>35</v>
      </c>
      <c r="D47" s="43">
        <v>207</v>
      </c>
      <c r="E47" s="43">
        <v>205</v>
      </c>
      <c r="F47" s="43">
        <v>140</v>
      </c>
      <c r="G47" s="43">
        <v>100</v>
      </c>
      <c r="H47" s="43">
        <v>57</v>
      </c>
      <c r="I47" s="43">
        <v>76</v>
      </c>
      <c r="J47" s="43">
        <v>53</v>
      </c>
      <c r="K47" s="72">
        <v>51</v>
      </c>
      <c r="L47" s="43">
        <v>41</v>
      </c>
      <c r="M47" s="43">
        <v>27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AB47" s="49"/>
    </row>
    <row r="48" spans="1:28" ht="30">
      <c r="A48" s="43" t="s">
        <v>93</v>
      </c>
      <c r="B48" s="43">
        <v>83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48</v>
      </c>
      <c r="Q48" s="43">
        <v>22</v>
      </c>
      <c r="R48" s="43">
        <v>13</v>
      </c>
      <c r="AB48" s="49"/>
    </row>
    <row r="49" spans="1:28">
      <c r="A49" s="43" t="s">
        <v>94</v>
      </c>
      <c r="B49" s="43">
        <v>66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37</v>
      </c>
      <c r="Q49" s="43">
        <v>23</v>
      </c>
      <c r="R49" s="43">
        <v>6</v>
      </c>
      <c r="AB49" s="49"/>
    </row>
    <row r="50" spans="1:28" ht="15" customHeight="1">
      <c r="A50" s="253" t="s">
        <v>48</v>
      </c>
      <c r="B50" s="254"/>
      <c r="C50" s="254"/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4"/>
      <c r="O50" s="254"/>
      <c r="P50" s="254"/>
      <c r="Q50" s="254"/>
      <c r="R50" s="254"/>
      <c r="S50" s="254"/>
      <c r="T50" s="254"/>
      <c r="U50" s="254"/>
      <c r="V50" s="254"/>
      <c r="W50" s="254"/>
      <c r="X50" s="254"/>
      <c r="Y50" s="254"/>
      <c r="Z50" s="254"/>
      <c r="AA50" s="254"/>
      <c r="AB50" s="255"/>
    </row>
    <row r="51" spans="1:28">
      <c r="A51" s="253"/>
      <c r="B51" s="254"/>
      <c r="C51" s="254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4"/>
      <c r="O51" s="254"/>
      <c r="P51" s="254"/>
      <c r="Q51" s="254"/>
      <c r="R51" s="254"/>
      <c r="S51" s="254"/>
      <c r="T51" s="254"/>
      <c r="U51" s="254"/>
      <c r="V51" s="254"/>
      <c r="W51" s="254"/>
      <c r="X51" s="254"/>
      <c r="Y51" s="254"/>
      <c r="Z51" s="254"/>
      <c r="AA51" s="254"/>
      <c r="AB51" s="255"/>
    </row>
    <row r="52" spans="1:28" ht="30">
      <c r="A52" s="43" t="s">
        <v>40</v>
      </c>
      <c r="B52" s="43">
        <v>16659</v>
      </c>
      <c r="C52" s="43">
        <v>181</v>
      </c>
      <c r="D52" s="43">
        <v>1926</v>
      </c>
      <c r="E52" s="43">
        <v>1939</v>
      </c>
      <c r="F52" s="43">
        <v>1817</v>
      </c>
      <c r="G52" s="43">
        <v>1815</v>
      </c>
      <c r="H52" s="43">
        <v>1528</v>
      </c>
      <c r="I52" s="43">
        <v>1365</v>
      </c>
      <c r="J52" s="43">
        <v>1337</v>
      </c>
      <c r="K52" s="72">
        <v>1370</v>
      </c>
      <c r="L52" s="43">
        <v>1329</v>
      </c>
      <c r="M52" s="43">
        <v>1214</v>
      </c>
      <c r="N52" s="43">
        <v>117</v>
      </c>
      <c r="O52" s="43">
        <v>13</v>
      </c>
      <c r="P52" s="43">
        <v>408</v>
      </c>
      <c r="Q52" s="43">
        <v>257</v>
      </c>
      <c r="R52" s="43">
        <v>43</v>
      </c>
      <c r="AB52" s="49"/>
    </row>
    <row r="53" spans="1:28">
      <c r="A53" s="253"/>
      <c r="B53" s="254"/>
      <c r="C53" s="254"/>
      <c r="D53" s="254"/>
      <c r="E53" s="254"/>
      <c r="F53" s="254"/>
      <c r="G53" s="254"/>
      <c r="H53" s="254"/>
      <c r="I53" s="254"/>
      <c r="J53" s="254"/>
      <c r="K53" s="254"/>
      <c r="L53" s="254"/>
      <c r="M53" s="254"/>
      <c r="N53" s="254"/>
      <c r="O53" s="254"/>
      <c r="P53" s="254"/>
      <c r="Q53" s="254"/>
      <c r="R53" s="254"/>
      <c r="S53" s="254"/>
      <c r="T53" s="254"/>
      <c r="U53" s="254"/>
      <c r="V53" s="254"/>
      <c r="W53" s="254"/>
      <c r="X53" s="254"/>
      <c r="Y53" s="254"/>
      <c r="Z53" s="254"/>
      <c r="AA53" s="254"/>
      <c r="AB53" s="255"/>
    </row>
    <row r="54" spans="1:28" ht="45">
      <c r="A54" s="43" t="s">
        <v>75</v>
      </c>
      <c r="B54" s="43">
        <v>165</v>
      </c>
      <c r="C54" s="43">
        <v>165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AB54" s="49"/>
    </row>
    <row r="55" spans="1:28" ht="30">
      <c r="A55" s="43" t="s">
        <v>76</v>
      </c>
      <c r="B55" s="43">
        <v>7250</v>
      </c>
      <c r="C55" s="43" t="s">
        <v>35</v>
      </c>
      <c r="D55" s="43">
        <v>1797</v>
      </c>
      <c r="E55" s="43">
        <v>1903</v>
      </c>
      <c r="F55" s="43">
        <v>1774</v>
      </c>
      <c r="G55" s="43">
        <v>1776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 t="s">
        <v>35</v>
      </c>
      <c r="O55" s="43" t="s">
        <v>35</v>
      </c>
      <c r="P55" s="43" t="s">
        <v>35</v>
      </c>
      <c r="Q55" s="43" t="s">
        <v>35</v>
      </c>
      <c r="R55" s="43" t="s">
        <v>35</v>
      </c>
      <c r="AB55" s="49"/>
    </row>
    <row r="56" spans="1:28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AB56" s="49"/>
    </row>
    <row r="57" spans="1:28" ht="30">
      <c r="A57" s="43" t="s">
        <v>78</v>
      </c>
      <c r="B57" s="43">
        <v>1793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173</v>
      </c>
      <c r="I57" s="43">
        <v>260</v>
      </c>
      <c r="J57" s="43">
        <v>291</v>
      </c>
      <c r="K57" s="72">
        <v>356</v>
      </c>
      <c r="L57" s="43">
        <v>370</v>
      </c>
      <c r="M57" s="43">
        <v>255</v>
      </c>
      <c r="N57" s="43">
        <v>88</v>
      </c>
      <c r="O57" s="43" t="s">
        <v>35</v>
      </c>
      <c r="P57" s="43" t="s">
        <v>35</v>
      </c>
      <c r="Q57" s="43" t="s">
        <v>35</v>
      </c>
      <c r="R57" s="43" t="s">
        <v>35</v>
      </c>
      <c r="AB57" s="49"/>
    </row>
    <row r="58" spans="1:28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AB58" s="49"/>
    </row>
    <row r="59" spans="1:28" ht="30">
      <c r="A59" s="43" t="s">
        <v>80</v>
      </c>
      <c r="B59" s="43">
        <v>1745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352</v>
      </c>
      <c r="I59" s="43">
        <v>318</v>
      </c>
      <c r="J59" s="43">
        <v>269</v>
      </c>
      <c r="K59" s="72">
        <v>294</v>
      </c>
      <c r="L59" s="43">
        <v>261</v>
      </c>
      <c r="M59" s="43">
        <v>251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AB59" s="49"/>
    </row>
    <row r="60" spans="1:28" ht="30">
      <c r="A60" s="43" t="s">
        <v>81</v>
      </c>
      <c r="B60" s="43">
        <v>1054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145</v>
      </c>
      <c r="I60" s="43">
        <v>155</v>
      </c>
      <c r="J60" s="43">
        <v>191</v>
      </c>
      <c r="K60" s="72">
        <v>195</v>
      </c>
      <c r="L60" s="43">
        <v>202</v>
      </c>
      <c r="M60" s="43">
        <v>153</v>
      </c>
      <c r="N60" s="43">
        <v>13</v>
      </c>
      <c r="O60" s="43" t="s">
        <v>35</v>
      </c>
      <c r="P60" s="43" t="s">
        <v>35</v>
      </c>
      <c r="Q60" s="43" t="s">
        <v>35</v>
      </c>
      <c r="R60" s="43" t="s">
        <v>35</v>
      </c>
      <c r="AB60" s="49"/>
    </row>
    <row r="61" spans="1:28" ht="30">
      <c r="A61" s="43" t="s">
        <v>82</v>
      </c>
      <c r="B61" s="43">
        <v>2203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391</v>
      </c>
      <c r="I61" s="43">
        <v>309</v>
      </c>
      <c r="J61" s="43">
        <v>288</v>
      </c>
      <c r="K61" s="72">
        <v>259</v>
      </c>
      <c r="L61" s="43">
        <v>230</v>
      </c>
      <c r="M61" s="43">
        <v>267</v>
      </c>
      <c r="N61" s="43" t="s">
        <v>35</v>
      </c>
      <c r="O61" s="43">
        <v>13</v>
      </c>
      <c r="P61" s="43">
        <v>266</v>
      </c>
      <c r="Q61" s="43">
        <v>180</v>
      </c>
      <c r="R61" s="43" t="s">
        <v>35</v>
      </c>
      <c r="AB61" s="49"/>
    </row>
    <row r="62" spans="1:28" ht="45">
      <c r="A62" s="43" t="s">
        <v>83</v>
      </c>
      <c r="B62" s="43">
        <v>1766</v>
      </c>
      <c r="C62" s="43">
        <v>16</v>
      </c>
      <c r="D62" s="43">
        <v>16</v>
      </c>
      <c r="E62" s="43">
        <v>18</v>
      </c>
      <c r="F62" s="43">
        <v>22</v>
      </c>
      <c r="G62" s="43">
        <v>23</v>
      </c>
      <c r="H62" s="43">
        <v>302</v>
      </c>
      <c r="I62" s="43">
        <v>269</v>
      </c>
      <c r="J62" s="43">
        <v>265</v>
      </c>
      <c r="K62" s="72">
        <v>214</v>
      </c>
      <c r="L62" s="43">
        <v>227</v>
      </c>
      <c r="M62" s="43">
        <v>205</v>
      </c>
      <c r="N62" s="43">
        <v>16</v>
      </c>
      <c r="O62" s="43" t="s">
        <v>35</v>
      </c>
      <c r="P62" s="43">
        <v>93</v>
      </c>
      <c r="Q62" s="43">
        <v>50</v>
      </c>
      <c r="R62" s="43">
        <v>30</v>
      </c>
      <c r="AB62" s="49"/>
    </row>
    <row r="63" spans="1:28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AB63" s="49"/>
    </row>
    <row r="64" spans="1:28" ht="45">
      <c r="A64" s="43" t="s">
        <v>85</v>
      </c>
      <c r="B64" s="43">
        <v>30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11</v>
      </c>
      <c r="I64" s="43">
        <v>6</v>
      </c>
      <c r="J64" s="43">
        <v>6</v>
      </c>
      <c r="K64" s="72">
        <v>3</v>
      </c>
      <c r="L64" s="43">
        <v>2</v>
      </c>
      <c r="M64" s="43">
        <v>2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AB64" s="49"/>
    </row>
    <row r="65" spans="1:28" ht="45">
      <c r="A65" s="43" t="s">
        <v>86</v>
      </c>
      <c r="B65" s="43">
        <v>26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4</v>
      </c>
      <c r="I65" s="43">
        <v>6</v>
      </c>
      <c r="J65" s="43">
        <v>5</v>
      </c>
      <c r="K65" s="72">
        <v>3</v>
      </c>
      <c r="L65" s="43">
        <v>5</v>
      </c>
      <c r="M65" s="43">
        <v>3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AB65" s="49"/>
    </row>
    <row r="66" spans="1:28" ht="60">
      <c r="A66" s="43" t="s">
        <v>87</v>
      </c>
      <c r="B66" s="43">
        <v>14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3</v>
      </c>
      <c r="I66" s="43">
        <v>2</v>
      </c>
      <c r="J66" s="43">
        <v>3</v>
      </c>
      <c r="K66" s="72">
        <v>1</v>
      </c>
      <c r="L66" s="43" t="s">
        <v>35</v>
      </c>
      <c r="M66" s="43">
        <v>4</v>
      </c>
      <c r="N66" s="43" t="s">
        <v>35</v>
      </c>
      <c r="O66" s="43" t="s">
        <v>35</v>
      </c>
      <c r="P66" s="43">
        <v>1</v>
      </c>
      <c r="Q66" s="43" t="s">
        <v>35</v>
      </c>
      <c r="R66" s="43" t="s">
        <v>35</v>
      </c>
      <c r="AB66" s="49"/>
    </row>
    <row r="67" spans="1:28" ht="75">
      <c r="A67" s="43" t="s">
        <v>88</v>
      </c>
      <c r="B67" s="43">
        <v>34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</v>
      </c>
      <c r="I67" s="43">
        <v>2</v>
      </c>
      <c r="J67" s="43" t="s">
        <v>35</v>
      </c>
      <c r="K67" s="72">
        <v>1</v>
      </c>
      <c r="L67" s="43">
        <v>2</v>
      </c>
      <c r="M67" s="43" t="s">
        <v>35</v>
      </c>
      <c r="N67" s="43" t="s">
        <v>35</v>
      </c>
      <c r="O67" s="43" t="s">
        <v>35</v>
      </c>
      <c r="P67" s="43">
        <v>19</v>
      </c>
      <c r="Q67" s="43">
        <v>6</v>
      </c>
      <c r="R67" s="43">
        <v>3</v>
      </c>
      <c r="AB67" s="49"/>
    </row>
    <row r="68" spans="1:28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AB68" s="49"/>
    </row>
    <row r="69" spans="1:28" ht="45">
      <c r="A69" s="43" t="s">
        <v>90</v>
      </c>
      <c r="B69" s="43">
        <v>135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31</v>
      </c>
      <c r="I69" s="43">
        <v>26</v>
      </c>
      <c r="J69" s="43">
        <v>7</v>
      </c>
      <c r="K69" s="72">
        <v>36</v>
      </c>
      <c r="L69" s="43">
        <v>21</v>
      </c>
      <c r="M69" s="43">
        <v>14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AB69" s="49"/>
    </row>
    <row r="70" spans="1:28" ht="60">
      <c r="A70" s="43" t="s">
        <v>91</v>
      </c>
      <c r="B70" s="43">
        <v>249</v>
      </c>
      <c r="C70" s="43" t="s">
        <v>35</v>
      </c>
      <c r="D70" s="43">
        <v>79</v>
      </c>
      <c r="E70" s="43" t="s">
        <v>35</v>
      </c>
      <c r="F70" s="43" t="s">
        <v>35</v>
      </c>
      <c r="G70" s="43" t="s">
        <v>35</v>
      </c>
      <c r="H70" s="43">
        <v>110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60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AB70" s="49"/>
    </row>
    <row r="71" spans="1:28" ht="60">
      <c r="A71" s="43" t="s">
        <v>92</v>
      </c>
      <c r="B71" s="43">
        <v>135</v>
      </c>
      <c r="C71" s="43" t="s">
        <v>35</v>
      </c>
      <c r="D71" s="43">
        <v>34</v>
      </c>
      <c r="E71" s="43">
        <v>18</v>
      </c>
      <c r="F71" s="43">
        <v>21</v>
      </c>
      <c r="G71" s="43">
        <v>16</v>
      </c>
      <c r="H71" s="43">
        <v>5</v>
      </c>
      <c r="I71" s="43">
        <v>12</v>
      </c>
      <c r="J71" s="43">
        <v>12</v>
      </c>
      <c r="K71" s="72">
        <v>8</v>
      </c>
      <c r="L71" s="43">
        <v>9</v>
      </c>
      <c r="M71" s="43" t="s">
        <v>35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AB71" s="49"/>
    </row>
    <row r="72" spans="1:28" ht="30">
      <c r="A72" s="43" t="s">
        <v>93</v>
      </c>
      <c r="B72" s="43">
        <v>23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</v>
      </c>
      <c r="Q72" s="43">
        <v>6</v>
      </c>
      <c r="R72" s="43">
        <v>5</v>
      </c>
      <c r="AB72" s="49"/>
    </row>
    <row r="73" spans="1:28">
      <c r="A73" s="43" t="s">
        <v>94</v>
      </c>
      <c r="B73" s="43">
        <v>37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</v>
      </c>
      <c r="Q73" s="43">
        <v>15</v>
      </c>
      <c r="R73" s="43">
        <v>5</v>
      </c>
      <c r="AB73" s="49"/>
    </row>
    <row r="74" spans="1:28" ht="15" customHeight="1">
      <c r="A74" s="253" t="s">
        <v>49</v>
      </c>
      <c r="B74" s="254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  <c r="U74" s="254"/>
      <c r="V74" s="254"/>
      <c r="W74" s="254"/>
      <c r="X74" s="254"/>
      <c r="Y74" s="254"/>
      <c r="Z74" s="254"/>
      <c r="AA74" s="254"/>
      <c r="AB74" s="255"/>
    </row>
    <row r="75" spans="1:28">
      <c r="A75" s="253"/>
      <c r="B75" s="254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5"/>
    </row>
    <row r="76" spans="1:28" ht="30">
      <c r="A76" s="43" t="s">
        <v>40</v>
      </c>
      <c r="B76" s="43">
        <v>26904</v>
      </c>
      <c r="C76" s="43">
        <v>238</v>
      </c>
      <c r="D76" s="43">
        <v>2996</v>
      </c>
      <c r="E76" s="43">
        <v>2989</v>
      </c>
      <c r="F76" s="43">
        <v>2884</v>
      </c>
      <c r="G76" s="43">
        <v>2798</v>
      </c>
      <c r="H76" s="43">
        <v>2483</v>
      </c>
      <c r="I76" s="43">
        <v>2209</v>
      </c>
      <c r="J76" s="43">
        <v>2290</v>
      </c>
      <c r="K76" s="72">
        <v>2265</v>
      </c>
      <c r="L76" s="43">
        <v>2313</v>
      </c>
      <c r="M76" s="43">
        <v>1937</v>
      </c>
      <c r="N76" s="43">
        <v>492</v>
      </c>
      <c r="O76" s="43">
        <v>29</v>
      </c>
      <c r="P76" s="43">
        <v>559</v>
      </c>
      <c r="Q76" s="43">
        <v>379</v>
      </c>
      <c r="R76" s="43">
        <v>43</v>
      </c>
      <c r="AB76" s="49"/>
    </row>
    <row r="77" spans="1:28">
      <c r="A77" s="253"/>
      <c r="B77" s="254"/>
      <c r="C77" s="254"/>
      <c r="D77" s="254"/>
      <c r="E77" s="254"/>
      <c r="F77" s="254"/>
      <c r="G77" s="254"/>
      <c r="H77" s="254"/>
      <c r="I77" s="254"/>
      <c r="J77" s="254"/>
      <c r="K77" s="254"/>
      <c r="L77" s="254"/>
      <c r="M77" s="254"/>
      <c r="N77" s="254"/>
      <c r="O77" s="254"/>
      <c r="P77" s="254"/>
      <c r="Q77" s="254"/>
      <c r="R77" s="254"/>
      <c r="S77" s="254"/>
      <c r="T77" s="254"/>
      <c r="U77" s="254"/>
      <c r="V77" s="254"/>
      <c r="W77" s="254"/>
      <c r="X77" s="254"/>
      <c r="Y77" s="254"/>
      <c r="Z77" s="254"/>
      <c r="AA77" s="254"/>
      <c r="AB77" s="255"/>
    </row>
    <row r="78" spans="1:28" ht="45">
      <c r="A78" s="43" t="s">
        <v>75</v>
      </c>
      <c r="B78" s="43">
        <v>228</v>
      </c>
      <c r="C78" s="43">
        <v>228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AB78" s="49"/>
    </row>
    <row r="79" spans="1:28" ht="30">
      <c r="A79" s="43" t="s">
        <v>76</v>
      </c>
      <c r="B79" s="43">
        <v>11191</v>
      </c>
      <c r="C79" s="43" t="s">
        <v>35</v>
      </c>
      <c r="D79" s="43">
        <v>2780</v>
      </c>
      <c r="E79" s="43">
        <v>2890</v>
      </c>
      <c r="F79" s="43">
        <v>2782</v>
      </c>
      <c r="G79" s="43">
        <v>2715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24</v>
      </c>
      <c r="O79" s="43" t="s">
        <v>35</v>
      </c>
      <c r="P79" s="43" t="s">
        <v>35</v>
      </c>
      <c r="Q79" s="43" t="s">
        <v>35</v>
      </c>
      <c r="R79" s="43" t="s">
        <v>35</v>
      </c>
      <c r="AB79" s="49"/>
    </row>
    <row r="80" spans="1:28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AB80" s="49"/>
    </row>
    <row r="81" spans="1:28" ht="30">
      <c r="A81" s="43" t="s">
        <v>78</v>
      </c>
      <c r="B81" s="43">
        <v>1132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83</v>
      </c>
      <c r="I81" s="43">
        <v>71</v>
      </c>
      <c r="J81" s="43">
        <v>167</v>
      </c>
      <c r="K81" s="72">
        <v>215</v>
      </c>
      <c r="L81" s="43">
        <v>346</v>
      </c>
      <c r="M81" s="43">
        <v>197</v>
      </c>
      <c r="N81" s="43">
        <v>53</v>
      </c>
      <c r="O81" s="43" t="s">
        <v>35</v>
      </c>
      <c r="P81" s="43" t="s">
        <v>35</v>
      </c>
      <c r="Q81" s="43" t="s">
        <v>35</v>
      </c>
      <c r="R81" s="43" t="s">
        <v>35</v>
      </c>
      <c r="AB81" s="49"/>
    </row>
    <row r="82" spans="1:28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AB82" s="49"/>
    </row>
    <row r="83" spans="1:28" ht="30">
      <c r="A83" s="43" t="s">
        <v>80</v>
      </c>
      <c r="B83" s="43">
        <v>1946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314</v>
      </c>
      <c r="I83" s="43">
        <v>272</v>
      </c>
      <c r="J83" s="43">
        <v>293</v>
      </c>
      <c r="K83" s="72">
        <v>317</v>
      </c>
      <c r="L83" s="43">
        <v>393</v>
      </c>
      <c r="M83" s="43">
        <v>329</v>
      </c>
      <c r="N83" s="43">
        <v>28</v>
      </c>
      <c r="O83" s="43" t="s">
        <v>35</v>
      </c>
      <c r="P83" s="43" t="s">
        <v>35</v>
      </c>
      <c r="Q83" s="43" t="s">
        <v>35</v>
      </c>
      <c r="R83" s="43" t="s">
        <v>35</v>
      </c>
      <c r="AB83" s="49"/>
    </row>
    <row r="84" spans="1:28" ht="30">
      <c r="A84" s="43" t="s">
        <v>81</v>
      </c>
      <c r="B84" s="43">
        <v>2989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452</v>
      </c>
      <c r="I84" s="43">
        <v>547</v>
      </c>
      <c r="J84" s="43">
        <v>584</v>
      </c>
      <c r="K84" s="72">
        <v>588</v>
      </c>
      <c r="L84" s="43">
        <v>455</v>
      </c>
      <c r="M84" s="43">
        <v>281</v>
      </c>
      <c r="N84" s="43">
        <v>82</v>
      </c>
      <c r="O84" s="43" t="s">
        <v>35</v>
      </c>
      <c r="P84" s="43" t="s">
        <v>35</v>
      </c>
      <c r="Q84" s="43" t="s">
        <v>35</v>
      </c>
      <c r="R84" s="43" t="s">
        <v>35</v>
      </c>
      <c r="AB84" s="49"/>
    </row>
    <row r="85" spans="1:28" ht="30">
      <c r="A85" s="43" t="s">
        <v>82</v>
      </c>
      <c r="B85" s="43">
        <v>3058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497</v>
      </c>
      <c r="I85" s="43">
        <v>441</v>
      </c>
      <c r="J85" s="43">
        <v>378</v>
      </c>
      <c r="K85" s="72">
        <v>356</v>
      </c>
      <c r="L85" s="43">
        <v>331</v>
      </c>
      <c r="M85" s="43">
        <v>363</v>
      </c>
      <c r="N85" s="43">
        <v>132</v>
      </c>
      <c r="O85" s="43">
        <v>21</v>
      </c>
      <c r="P85" s="43">
        <v>302</v>
      </c>
      <c r="Q85" s="43">
        <v>237</v>
      </c>
      <c r="R85" s="43" t="s">
        <v>35</v>
      </c>
      <c r="AB85" s="49"/>
    </row>
    <row r="86" spans="1:28" ht="45">
      <c r="A86" s="43" t="s">
        <v>83</v>
      </c>
      <c r="B86" s="43">
        <v>4164</v>
      </c>
      <c r="C86" s="43" t="s">
        <v>35</v>
      </c>
      <c r="D86" s="43">
        <v>41</v>
      </c>
      <c r="E86" s="43">
        <v>40</v>
      </c>
      <c r="F86" s="43">
        <v>47</v>
      </c>
      <c r="G86" s="43">
        <v>43</v>
      </c>
      <c r="H86" s="43">
        <v>755</v>
      </c>
      <c r="I86" s="43">
        <v>623</v>
      </c>
      <c r="J86" s="43">
        <v>626</v>
      </c>
      <c r="K86" s="72">
        <v>536</v>
      </c>
      <c r="L86" s="43">
        <v>515</v>
      </c>
      <c r="M86" s="43">
        <v>488</v>
      </c>
      <c r="N86" s="43">
        <v>137</v>
      </c>
      <c r="O86" s="43" t="s">
        <v>35</v>
      </c>
      <c r="P86" s="43">
        <v>178</v>
      </c>
      <c r="Q86" s="43">
        <v>97</v>
      </c>
      <c r="R86" s="43">
        <v>38</v>
      </c>
      <c r="AB86" s="49"/>
    </row>
    <row r="87" spans="1:28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AB87" s="49"/>
    </row>
    <row r="88" spans="1:28" ht="45">
      <c r="A88" s="43" t="s">
        <v>85</v>
      </c>
      <c r="B88" s="43">
        <v>512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53</v>
      </c>
      <c r="I88" s="43">
        <v>84</v>
      </c>
      <c r="J88" s="43">
        <v>96</v>
      </c>
      <c r="K88" s="72">
        <v>93</v>
      </c>
      <c r="L88" s="43">
        <v>107</v>
      </c>
      <c r="M88" s="43">
        <v>43</v>
      </c>
      <c r="N88" s="43">
        <v>36</v>
      </c>
      <c r="O88" s="43" t="s">
        <v>35</v>
      </c>
      <c r="P88" s="43" t="s">
        <v>35</v>
      </c>
      <c r="Q88" s="43" t="s">
        <v>35</v>
      </c>
      <c r="R88" s="43" t="s">
        <v>35</v>
      </c>
      <c r="AB88" s="49"/>
    </row>
    <row r="89" spans="1:28" ht="45">
      <c r="A89" s="43" t="s">
        <v>86</v>
      </c>
      <c r="B89" s="43">
        <v>552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108</v>
      </c>
      <c r="I89" s="43">
        <v>89</v>
      </c>
      <c r="J89" s="43">
        <v>84</v>
      </c>
      <c r="K89" s="72">
        <v>83</v>
      </c>
      <c r="L89" s="43">
        <v>97</v>
      </c>
      <c r="M89" s="43">
        <v>91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AB89" s="49"/>
    </row>
    <row r="90" spans="1:28" ht="60">
      <c r="A90" s="43" t="s">
        <v>87</v>
      </c>
      <c r="B90" s="43">
        <v>289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49</v>
      </c>
      <c r="I90" s="43">
        <v>41</v>
      </c>
      <c r="J90" s="43">
        <v>31</v>
      </c>
      <c r="K90" s="72">
        <v>33</v>
      </c>
      <c r="L90" s="43">
        <v>27</v>
      </c>
      <c r="M90" s="43">
        <v>31</v>
      </c>
      <c r="N90" s="43" t="s">
        <v>35</v>
      </c>
      <c r="O90" s="43">
        <v>8</v>
      </c>
      <c r="P90" s="43">
        <v>42</v>
      </c>
      <c r="Q90" s="43">
        <v>27</v>
      </c>
      <c r="R90" s="43" t="s">
        <v>35</v>
      </c>
      <c r="AB90" s="49"/>
    </row>
    <row r="91" spans="1:28" ht="75">
      <c r="A91" s="43" t="s">
        <v>88</v>
      </c>
      <c r="B91" s="43">
        <v>48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3</v>
      </c>
      <c r="I91" s="43">
        <v>4</v>
      </c>
      <c r="J91" s="43">
        <v>6</v>
      </c>
      <c r="K91" s="72">
        <v>8</v>
      </c>
      <c r="L91" s="43">
        <v>4</v>
      </c>
      <c r="M91" s="43">
        <v>8</v>
      </c>
      <c r="N91" s="43" t="s">
        <v>35</v>
      </c>
      <c r="O91" s="43" t="s">
        <v>35</v>
      </c>
      <c r="P91" s="43">
        <v>9</v>
      </c>
      <c r="Q91" s="43">
        <v>5</v>
      </c>
      <c r="R91" s="43">
        <v>1</v>
      </c>
      <c r="AB91" s="49"/>
    </row>
    <row r="92" spans="1:28" ht="45">
      <c r="A92" s="43" t="s">
        <v>89</v>
      </c>
      <c r="B92" s="43">
        <v>10</v>
      </c>
      <c r="C92" s="43">
        <v>10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AB92" s="49"/>
    </row>
    <row r="93" spans="1:28" ht="45">
      <c r="A93" s="43" t="s">
        <v>90</v>
      </c>
      <c r="B93" s="43">
        <v>63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5</v>
      </c>
      <c r="I93" s="43">
        <v>8</v>
      </c>
      <c r="J93" s="43">
        <v>1</v>
      </c>
      <c r="K93" s="72">
        <v>14</v>
      </c>
      <c r="L93" s="43">
        <v>25</v>
      </c>
      <c r="M93" s="43">
        <v>10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AB93" s="49"/>
    </row>
    <row r="94" spans="1:28" ht="60">
      <c r="A94" s="43" t="s">
        <v>91</v>
      </c>
      <c r="B94" s="43">
        <v>323</v>
      </c>
      <c r="C94" s="43" t="s">
        <v>35</v>
      </c>
      <c r="D94" s="43">
        <v>113</v>
      </c>
      <c r="E94" s="43" t="s">
        <v>35</v>
      </c>
      <c r="F94" s="43" t="s">
        <v>35</v>
      </c>
      <c r="G94" s="43" t="s">
        <v>35</v>
      </c>
      <c r="H94" s="43">
        <v>137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73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AB94" s="49"/>
    </row>
    <row r="95" spans="1:28" ht="60">
      <c r="A95" s="43" t="s">
        <v>92</v>
      </c>
      <c r="B95" s="43">
        <v>354</v>
      </c>
      <c r="C95" s="43" t="s">
        <v>35</v>
      </c>
      <c r="D95" s="43">
        <v>62</v>
      </c>
      <c r="E95" s="43">
        <v>59</v>
      </c>
      <c r="F95" s="43">
        <v>55</v>
      </c>
      <c r="G95" s="43">
        <v>40</v>
      </c>
      <c r="H95" s="43">
        <v>27</v>
      </c>
      <c r="I95" s="43">
        <v>29</v>
      </c>
      <c r="J95" s="43">
        <v>24</v>
      </c>
      <c r="K95" s="72">
        <v>22</v>
      </c>
      <c r="L95" s="43">
        <v>13</v>
      </c>
      <c r="M95" s="43">
        <v>23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AB95" s="49"/>
    </row>
    <row r="96" spans="1:28" ht="30">
      <c r="A96" s="43" t="s">
        <v>93</v>
      </c>
      <c r="B96" s="43">
        <v>25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16</v>
      </c>
      <c r="Q96" s="43">
        <v>6</v>
      </c>
      <c r="R96" s="43">
        <v>3</v>
      </c>
      <c r="AB96" s="49"/>
    </row>
    <row r="97" spans="1:28">
      <c r="A97" s="43" t="s">
        <v>94</v>
      </c>
      <c r="B97" s="43">
        <v>20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12</v>
      </c>
      <c r="Q97" s="43">
        <v>7</v>
      </c>
      <c r="R97" s="43">
        <v>1</v>
      </c>
      <c r="AB97" s="49"/>
    </row>
    <row r="98" spans="1:28" ht="15" customHeight="1">
      <c r="A98" s="253" t="s">
        <v>50</v>
      </c>
      <c r="B98" s="254"/>
      <c r="C98" s="254"/>
      <c r="D98" s="254"/>
      <c r="E98" s="254"/>
      <c r="F98" s="254"/>
      <c r="G98" s="254"/>
      <c r="H98" s="254"/>
      <c r="I98" s="254"/>
      <c r="J98" s="254"/>
      <c r="K98" s="254"/>
      <c r="L98" s="254"/>
      <c r="M98" s="254"/>
      <c r="N98" s="254"/>
      <c r="O98" s="254"/>
      <c r="P98" s="254"/>
      <c r="Q98" s="254"/>
      <c r="R98" s="254"/>
      <c r="S98" s="254"/>
      <c r="T98" s="254"/>
      <c r="U98" s="254"/>
      <c r="V98" s="254"/>
      <c r="W98" s="254"/>
      <c r="X98" s="254"/>
      <c r="Y98" s="254"/>
      <c r="Z98" s="254"/>
      <c r="AA98" s="254"/>
      <c r="AB98" s="255"/>
    </row>
    <row r="99" spans="1:28">
      <c r="A99" s="253"/>
      <c r="B99" s="254"/>
      <c r="C99" s="254"/>
      <c r="D99" s="254"/>
      <c r="E99" s="254"/>
      <c r="F99" s="254"/>
      <c r="G99" s="254"/>
      <c r="H99" s="254"/>
      <c r="I99" s="254"/>
      <c r="J99" s="254"/>
      <c r="K99" s="254"/>
      <c r="L99" s="254"/>
      <c r="M99" s="254"/>
      <c r="N99" s="254"/>
      <c r="O99" s="254"/>
      <c r="P99" s="254"/>
      <c r="Q99" s="254"/>
      <c r="R99" s="254"/>
      <c r="S99" s="254"/>
      <c r="T99" s="254"/>
      <c r="U99" s="254"/>
      <c r="V99" s="254"/>
      <c r="W99" s="254"/>
      <c r="X99" s="254"/>
      <c r="Y99" s="254"/>
      <c r="Z99" s="254"/>
      <c r="AA99" s="254"/>
      <c r="AB99" s="255"/>
    </row>
    <row r="100" spans="1:28" ht="30">
      <c r="A100" s="43" t="s">
        <v>40</v>
      </c>
      <c r="B100" s="43">
        <v>14563</v>
      </c>
      <c r="C100" s="43">
        <v>166</v>
      </c>
      <c r="D100" s="43">
        <v>1744</v>
      </c>
      <c r="E100" s="43">
        <v>1674</v>
      </c>
      <c r="F100" s="43">
        <v>1658</v>
      </c>
      <c r="G100" s="43">
        <v>1609</v>
      </c>
      <c r="H100" s="43">
        <v>1318</v>
      </c>
      <c r="I100" s="43">
        <v>1185</v>
      </c>
      <c r="J100" s="43">
        <v>1302</v>
      </c>
      <c r="K100" s="72">
        <v>1246</v>
      </c>
      <c r="L100" s="43">
        <v>1215</v>
      </c>
      <c r="M100" s="43">
        <v>865</v>
      </c>
      <c r="N100" s="43">
        <v>256</v>
      </c>
      <c r="O100" s="43">
        <v>6</v>
      </c>
      <c r="P100" s="43">
        <v>190</v>
      </c>
      <c r="Q100" s="43">
        <v>122</v>
      </c>
      <c r="R100" s="43">
        <v>7</v>
      </c>
      <c r="AB100" s="49"/>
    </row>
    <row r="101" spans="1:28">
      <c r="A101" s="253"/>
      <c r="B101" s="254"/>
      <c r="C101" s="254"/>
      <c r="D101" s="254"/>
      <c r="E101" s="254"/>
      <c r="F101" s="254"/>
      <c r="G101" s="254"/>
      <c r="H101" s="254"/>
      <c r="I101" s="254"/>
      <c r="J101" s="254"/>
      <c r="K101" s="254"/>
      <c r="L101" s="254"/>
      <c r="M101" s="254"/>
      <c r="N101" s="254"/>
      <c r="O101" s="254"/>
      <c r="P101" s="254"/>
      <c r="Q101" s="254"/>
      <c r="R101" s="254"/>
      <c r="S101" s="254"/>
      <c r="T101" s="254"/>
      <c r="U101" s="254"/>
      <c r="V101" s="254"/>
      <c r="W101" s="254"/>
      <c r="X101" s="254"/>
      <c r="Y101" s="254"/>
      <c r="Z101" s="254"/>
      <c r="AA101" s="254"/>
      <c r="AB101" s="255"/>
    </row>
    <row r="102" spans="1:28" ht="45">
      <c r="A102" s="43" t="s">
        <v>75</v>
      </c>
      <c r="B102" s="43">
        <v>166</v>
      </c>
      <c r="C102" s="43">
        <v>166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AB102" s="49"/>
    </row>
    <row r="103" spans="1:28" ht="30">
      <c r="A103" s="43" t="s">
        <v>76</v>
      </c>
      <c r="B103" s="43">
        <v>6614</v>
      </c>
      <c r="C103" s="43" t="s">
        <v>35</v>
      </c>
      <c r="D103" s="43">
        <v>1675</v>
      </c>
      <c r="E103" s="43">
        <v>1644</v>
      </c>
      <c r="F103" s="43">
        <v>1650</v>
      </c>
      <c r="G103" s="43">
        <v>1603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42</v>
      </c>
      <c r="O103" s="43" t="s">
        <v>35</v>
      </c>
      <c r="P103" s="43" t="s">
        <v>35</v>
      </c>
      <c r="Q103" s="43" t="s">
        <v>35</v>
      </c>
      <c r="R103" s="43" t="s">
        <v>35</v>
      </c>
      <c r="AB103" s="49"/>
    </row>
    <row r="104" spans="1:28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AB104" s="49"/>
    </row>
    <row r="105" spans="1:28" ht="30">
      <c r="A105" s="43" t="s">
        <v>78</v>
      </c>
      <c r="B105" s="43">
        <v>697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88</v>
      </c>
      <c r="I105" s="43">
        <v>97</v>
      </c>
      <c r="J105" s="43">
        <v>131</v>
      </c>
      <c r="K105" s="72">
        <v>131</v>
      </c>
      <c r="L105" s="43">
        <v>131</v>
      </c>
      <c r="M105" s="43">
        <v>78</v>
      </c>
      <c r="N105" s="43">
        <v>41</v>
      </c>
      <c r="O105" s="43" t="s">
        <v>35</v>
      </c>
      <c r="P105" s="43" t="s">
        <v>35</v>
      </c>
      <c r="Q105" s="43" t="s">
        <v>35</v>
      </c>
      <c r="R105" s="43" t="s">
        <v>35</v>
      </c>
      <c r="AB105" s="49"/>
    </row>
    <row r="106" spans="1:28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AB106" s="49"/>
    </row>
    <row r="107" spans="1:28" ht="30">
      <c r="A107" s="43" t="s">
        <v>80</v>
      </c>
      <c r="B107" s="43">
        <v>714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144</v>
      </c>
      <c r="I107" s="43">
        <v>97</v>
      </c>
      <c r="J107" s="43">
        <v>137</v>
      </c>
      <c r="K107" s="72">
        <v>132</v>
      </c>
      <c r="L107" s="43">
        <v>106</v>
      </c>
      <c r="M107" s="43">
        <v>98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AB107" s="49"/>
    </row>
    <row r="108" spans="1:28" ht="30">
      <c r="A108" s="43" t="s">
        <v>81</v>
      </c>
      <c r="B108" s="43">
        <v>3147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457</v>
      </c>
      <c r="I108" s="43">
        <v>501</v>
      </c>
      <c r="J108" s="43">
        <v>560</v>
      </c>
      <c r="K108" s="72">
        <v>566</v>
      </c>
      <c r="L108" s="43">
        <v>569</v>
      </c>
      <c r="M108" s="43">
        <v>338</v>
      </c>
      <c r="N108" s="43">
        <v>156</v>
      </c>
      <c r="O108" s="43" t="s">
        <v>35</v>
      </c>
      <c r="P108" s="43" t="s">
        <v>35</v>
      </c>
      <c r="Q108" s="43" t="s">
        <v>35</v>
      </c>
      <c r="R108" s="43" t="s">
        <v>35</v>
      </c>
      <c r="AB108" s="49"/>
    </row>
    <row r="109" spans="1:28" ht="30">
      <c r="A109" s="43" t="s">
        <v>82</v>
      </c>
      <c r="B109" s="43">
        <v>1548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342</v>
      </c>
      <c r="I109" s="43">
        <v>235</v>
      </c>
      <c r="J109" s="43">
        <v>221</v>
      </c>
      <c r="K109" s="72">
        <v>168</v>
      </c>
      <c r="L109" s="43">
        <v>167</v>
      </c>
      <c r="M109" s="43">
        <v>171</v>
      </c>
      <c r="N109" s="43" t="s">
        <v>35</v>
      </c>
      <c r="O109" s="43">
        <v>3</v>
      </c>
      <c r="P109" s="43">
        <v>150</v>
      </c>
      <c r="Q109" s="43">
        <v>91</v>
      </c>
      <c r="R109" s="43" t="s">
        <v>35</v>
      </c>
      <c r="AB109" s="49"/>
    </row>
    <row r="110" spans="1:28" ht="45">
      <c r="A110" s="43" t="s">
        <v>83</v>
      </c>
      <c r="B110" s="43">
        <v>884</v>
      </c>
      <c r="C110" s="43" t="s">
        <v>35</v>
      </c>
      <c r="D110" s="43">
        <v>1</v>
      </c>
      <c r="E110" s="43">
        <v>1</v>
      </c>
      <c r="F110" s="43" t="s">
        <v>35</v>
      </c>
      <c r="G110" s="43">
        <v>2</v>
      </c>
      <c r="H110" s="43">
        <v>147</v>
      </c>
      <c r="I110" s="43">
        <v>149</v>
      </c>
      <c r="J110" s="43">
        <v>156</v>
      </c>
      <c r="K110" s="72">
        <v>129</v>
      </c>
      <c r="L110" s="43">
        <v>142</v>
      </c>
      <c r="M110" s="43">
        <v>94</v>
      </c>
      <c r="N110" s="43">
        <v>9</v>
      </c>
      <c r="O110" s="43" t="s">
        <v>35</v>
      </c>
      <c r="P110" s="43">
        <v>28</v>
      </c>
      <c r="Q110" s="43">
        <v>19</v>
      </c>
      <c r="R110" s="43">
        <v>7</v>
      </c>
      <c r="AB110" s="49"/>
    </row>
    <row r="111" spans="1:28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AB111" s="49"/>
    </row>
    <row r="112" spans="1:28" ht="45">
      <c r="A112" s="43" t="s">
        <v>85</v>
      </c>
      <c r="B112" s="43">
        <v>198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31</v>
      </c>
      <c r="I112" s="43">
        <v>33</v>
      </c>
      <c r="J112" s="43">
        <v>36</v>
      </c>
      <c r="K112" s="72">
        <v>45</v>
      </c>
      <c r="L112" s="43">
        <v>29</v>
      </c>
      <c r="M112" s="43">
        <v>16</v>
      </c>
      <c r="N112" s="43">
        <v>8</v>
      </c>
      <c r="O112" s="43" t="s">
        <v>35</v>
      </c>
      <c r="P112" s="43" t="s">
        <v>35</v>
      </c>
      <c r="Q112" s="43" t="s">
        <v>35</v>
      </c>
      <c r="R112" s="43" t="s">
        <v>35</v>
      </c>
      <c r="AB112" s="49"/>
    </row>
    <row r="113" spans="1:28" ht="45">
      <c r="A113" s="43" t="s">
        <v>86</v>
      </c>
      <c r="B113" s="43">
        <v>201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41</v>
      </c>
      <c r="I113" s="43">
        <v>38</v>
      </c>
      <c r="J113" s="43">
        <v>34</v>
      </c>
      <c r="K113" s="72">
        <v>27</v>
      </c>
      <c r="L113" s="43">
        <v>35</v>
      </c>
      <c r="M113" s="43">
        <v>26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AB113" s="49"/>
    </row>
    <row r="114" spans="1:28" ht="60">
      <c r="A114" s="43" t="s">
        <v>87</v>
      </c>
      <c r="B114" s="43">
        <v>131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23</v>
      </c>
      <c r="I114" s="43">
        <v>19</v>
      </c>
      <c r="J114" s="43">
        <v>20</v>
      </c>
      <c r="K114" s="72">
        <v>18</v>
      </c>
      <c r="L114" s="43">
        <v>14</v>
      </c>
      <c r="M114" s="43">
        <v>10</v>
      </c>
      <c r="N114" s="43" t="s">
        <v>35</v>
      </c>
      <c r="O114" s="43">
        <v>3</v>
      </c>
      <c r="P114" s="43">
        <v>12</v>
      </c>
      <c r="Q114" s="43">
        <v>12</v>
      </c>
      <c r="R114" s="43" t="s">
        <v>35</v>
      </c>
      <c r="AB114" s="49"/>
    </row>
    <row r="115" spans="1:28" ht="75">
      <c r="A115" s="43" t="s">
        <v>88</v>
      </c>
      <c r="B115" s="43">
        <v>7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 t="s">
        <v>35</v>
      </c>
      <c r="I115" s="43">
        <v>2</v>
      </c>
      <c r="J115" s="43">
        <v>3</v>
      </c>
      <c r="K115" s="72">
        <v>1</v>
      </c>
      <c r="L115" s="43" t="s">
        <v>35</v>
      </c>
      <c r="M115" s="43">
        <v>1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AB115" s="49"/>
    </row>
    <row r="116" spans="1:28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AB116" s="49"/>
    </row>
    <row r="117" spans="1:28" ht="45">
      <c r="A117" s="43" t="s">
        <v>90</v>
      </c>
      <c r="B117" s="43">
        <v>70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9</v>
      </c>
      <c r="I117" s="43">
        <v>12</v>
      </c>
      <c r="J117" s="43">
        <v>4</v>
      </c>
      <c r="K117" s="72">
        <v>23</v>
      </c>
      <c r="L117" s="43">
        <v>17</v>
      </c>
      <c r="M117" s="43">
        <v>5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AB117" s="49"/>
    </row>
    <row r="118" spans="1:28" ht="60">
      <c r="A118" s="43" t="s">
        <v>91</v>
      </c>
      <c r="B118" s="43">
        <v>102</v>
      </c>
      <c r="C118" s="43" t="s">
        <v>35</v>
      </c>
      <c r="D118" s="43">
        <v>40</v>
      </c>
      <c r="E118" s="43" t="s">
        <v>35</v>
      </c>
      <c r="F118" s="43" t="s">
        <v>35</v>
      </c>
      <c r="G118" s="43" t="s">
        <v>35</v>
      </c>
      <c r="H118" s="43">
        <v>36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26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AB118" s="49"/>
    </row>
    <row r="119" spans="1:28" ht="60">
      <c r="A119" s="43" t="s">
        <v>92</v>
      </c>
      <c r="B119" s="43">
        <v>84</v>
      </c>
      <c r="C119" s="43" t="s">
        <v>35</v>
      </c>
      <c r="D119" s="43">
        <v>28</v>
      </c>
      <c r="E119" s="43">
        <v>29</v>
      </c>
      <c r="F119" s="43">
        <v>8</v>
      </c>
      <c r="G119" s="43">
        <v>4</v>
      </c>
      <c r="H119" s="43" t="s">
        <v>35</v>
      </c>
      <c r="I119" s="43">
        <v>2</v>
      </c>
      <c r="J119" s="43" t="s">
        <v>35</v>
      </c>
      <c r="K119" s="72">
        <v>6</v>
      </c>
      <c r="L119" s="43">
        <v>5</v>
      </c>
      <c r="M119" s="43">
        <v>2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AB119" s="49"/>
    </row>
    <row r="120" spans="1:28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AB120" s="49"/>
    </row>
    <row r="121" spans="1:28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AB121" s="49"/>
    </row>
    <row r="122" spans="1:28" ht="15" customHeight="1">
      <c r="A122" s="253" t="s">
        <v>51</v>
      </c>
      <c r="B122" s="254"/>
      <c r="C122" s="254"/>
      <c r="D122" s="254"/>
      <c r="E122" s="254"/>
      <c r="F122" s="254"/>
      <c r="G122" s="254"/>
      <c r="H122" s="254"/>
      <c r="I122" s="254"/>
      <c r="J122" s="254"/>
      <c r="K122" s="254"/>
      <c r="L122" s="254"/>
      <c r="M122" s="254"/>
      <c r="N122" s="254"/>
      <c r="O122" s="254"/>
      <c r="P122" s="254"/>
      <c r="Q122" s="254"/>
      <c r="R122" s="254"/>
      <c r="S122" s="254"/>
      <c r="T122" s="254"/>
      <c r="U122" s="254"/>
      <c r="V122" s="254"/>
      <c r="W122" s="254"/>
      <c r="X122" s="254"/>
      <c r="Y122" s="254"/>
      <c r="Z122" s="254"/>
      <c r="AA122" s="254"/>
      <c r="AB122" s="255"/>
    </row>
    <row r="123" spans="1:28">
      <c r="A123" s="253"/>
      <c r="B123" s="254"/>
      <c r="C123" s="254"/>
      <c r="D123" s="254"/>
      <c r="E123" s="254"/>
      <c r="F123" s="254"/>
      <c r="G123" s="254"/>
      <c r="H123" s="254"/>
      <c r="I123" s="254"/>
      <c r="J123" s="254"/>
      <c r="K123" s="254"/>
      <c r="L123" s="254"/>
      <c r="M123" s="254"/>
      <c r="N123" s="254"/>
      <c r="O123" s="254"/>
      <c r="P123" s="254"/>
      <c r="Q123" s="254"/>
      <c r="R123" s="254"/>
      <c r="S123" s="254"/>
      <c r="T123" s="254"/>
      <c r="U123" s="254"/>
      <c r="V123" s="254"/>
      <c r="W123" s="254"/>
      <c r="X123" s="254"/>
      <c r="Y123" s="254"/>
      <c r="Z123" s="254"/>
      <c r="AA123" s="254"/>
      <c r="AB123" s="255"/>
    </row>
    <row r="124" spans="1:28" ht="30">
      <c r="A124" s="43" t="s">
        <v>40</v>
      </c>
      <c r="B124" s="43">
        <v>28244</v>
      </c>
      <c r="C124" s="43">
        <v>344</v>
      </c>
      <c r="D124" s="43">
        <v>3261</v>
      </c>
      <c r="E124" s="43">
        <v>3240</v>
      </c>
      <c r="F124" s="43">
        <v>3100</v>
      </c>
      <c r="G124" s="43">
        <v>3236</v>
      </c>
      <c r="H124" s="43">
        <v>2716</v>
      </c>
      <c r="I124" s="43">
        <v>2516</v>
      </c>
      <c r="J124" s="43">
        <v>2509</v>
      </c>
      <c r="K124" s="72">
        <v>2415</v>
      </c>
      <c r="L124" s="43">
        <v>2269</v>
      </c>
      <c r="M124" s="43">
        <v>1583</v>
      </c>
      <c r="N124" s="43">
        <v>467</v>
      </c>
      <c r="O124" s="43">
        <v>9</v>
      </c>
      <c r="P124" s="43">
        <v>345</v>
      </c>
      <c r="Q124" s="43">
        <v>198</v>
      </c>
      <c r="R124" s="43">
        <v>36</v>
      </c>
      <c r="AB124" s="49"/>
    </row>
    <row r="125" spans="1:28">
      <c r="A125" s="253"/>
      <c r="B125" s="254"/>
      <c r="C125" s="254"/>
      <c r="D125" s="254"/>
      <c r="E125" s="254"/>
      <c r="F125" s="254"/>
      <c r="G125" s="254"/>
      <c r="H125" s="254"/>
      <c r="I125" s="254"/>
      <c r="J125" s="254"/>
      <c r="K125" s="254"/>
      <c r="L125" s="254"/>
      <c r="M125" s="254"/>
      <c r="N125" s="254"/>
      <c r="O125" s="254"/>
      <c r="P125" s="254"/>
      <c r="Q125" s="254"/>
      <c r="R125" s="254"/>
      <c r="S125" s="254"/>
      <c r="T125" s="254"/>
      <c r="U125" s="254"/>
      <c r="V125" s="254"/>
      <c r="W125" s="254"/>
      <c r="X125" s="254"/>
      <c r="Y125" s="254"/>
      <c r="Z125" s="254"/>
      <c r="AA125" s="254"/>
      <c r="AB125" s="255"/>
    </row>
    <row r="126" spans="1:28" ht="45">
      <c r="A126" s="43" t="s">
        <v>75</v>
      </c>
      <c r="B126" s="43">
        <v>344</v>
      </c>
      <c r="C126" s="43">
        <v>344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AB126" s="49"/>
    </row>
    <row r="127" spans="1:28" ht="30">
      <c r="A127" s="43" t="s">
        <v>76</v>
      </c>
      <c r="B127" s="43">
        <v>12429</v>
      </c>
      <c r="C127" s="43" t="s">
        <v>35</v>
      </c>
      <c r="D127" s="43">
        <v>3019</v>
      </c>
      <c r="E127" s="43">
        <v>3139</v>
      </c>
      <c r="F127" s="43">
        <v>3037</v>
      </c>
      <c r="G127" s="43">
        <v>3194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</v>
      </c>
      <c r="O127" s="43" t="s">
        <v>35</v>
      </c>
      <c r="P127" s="43" t="s">
        <v>35</v>
      </c>
      <c r="Q127" s="43" t="s">
        <v>35</v>
      </c>
      <c r="R127" s="43" t="s">
        <v>35</v>
      </c>
      <c r="AB127" s="49"/>
    </row>
    <row r="128" spans="1:28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AB128" s="49"/>
    </row>
    <row r="129" spans="1:28" ht="30">
      <c r="A129" s="43" t="s">
        <v>78</v>
      </c>
      <c r="B129" s="43">
        <v>1393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165</v>
      </c>
      <c r="I129" s="43">
        <v>216</v>
      </c>
      <c r="J129" s="43">
        <v>251</v>
      </c>
      <c r="K129" s="72">
        <v>288</v>
      </c>
      <c r="L129" s="43">
        <v>286</v>
      </c>
      <c r="M129" s="43">
        <v>130</v>
      </c>
      <c r="N129" s="43">
        <v>57</v>
      </c>
      <c r="O129" s="43" t="s">
        <v>35</v>
      </c>
      <c r="P129" s="43" t="s">
        <v>35</v>
      </c>
      <c r="Q129" s="43" t="s">
        <v>35</v>
      </c>
      <c r="R129" s="43" t="s">
        <v>35</v>
      </c>
      <c r="AB129" s="49"/>
    </row>
    <row r="130" spans="1:28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AB130" s="49"/>
    </row>
    <row r="131" spans="1:28" ht="30">
      <c r="A131" s="43" t="s">
        <v>80</v>
      </c>
      <c r="B131" s="43">
        <v>1552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294</v>
      </c>
      <c r="I131" s="43">
        <v>248</v>
      </c>
      <c r="J131" s="43">
        <v>240</v>
      </c>
      <c r="K131" s="72">
        <v>228</v>
      </c>
      <c r="L131" s="43">
        <v>255</v>
      </c>
      <c r="M131" s="43">
        <v>210</v>
      </c>
      <c r="N131" s="43">
        <v>77</v>
      </c>
      <c r="O131" s="43" t="s">
        <v>35</v>
      </c>
      <c r="P131" s="43" t="s">
        <v>35</v>
      </c>
      <c r="Q131" s="43" t="s">
        <v>35</v>
      </c>
      <c r="R131" s="43" t="s">
        <v>35</v>
      </c>
      <c r="AB131" s="49"/>
    </row>
    <row r="132" spans="1:28" ht="30">
      <c r="A132" s="43" t="s">
        <v>81</v>
      </c>
      <c r="B132" s="43">
        <v>7011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1131</v>
      </c>
      <c r="I132" s="43">
        <v>1248</v>
      </c>
      <c r="J132" s="43">
        <v>1319</v>
      </c>
      <c r="K132" s="72">
        <v>1280</v>
      </c>
      <c r="L132" s="43">
        <v>1110</v>
      </c>
      <c r="M132" s="43">
        <v>700</v>
      </c>
      <c r="N132" s="43">
        <v>223</v>
      </c>
      <c r="O132" s="43" t="s">
        <v>35</v>
      </c>
      <c r="P132" s="43" t="s">
        <v>35</v>
      </c>
      <c r="Q132" s="43" t="s">
        <v>35</v>
      </c>
      <c r="R132" s="43" t="s">
        <v>35</v>
      </c>
      <c r="AB132" s="49"/>
    </row>
    <row r="133" spans="1:28" ht="30">
      <c r="A133" s="43" t="s">
        <v>82</v>
      </c>
      <c r="B133" s="43">
        <v>2550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508</v>
      </c>
      <c r="I133" s="43">
        <v>406</v>
      </c>
      <c r="J133" s="43">
        <v>386</v>
      </c>
      <c r="K133" s="72">
        <v>283</v>
      </c>
      <c r="L133" s="43">
        <v>275</v>
      </c>
      <c r="M133" s="43">
        <v>256</v>
      </c>
      <c r="N133" s="43">
        <v>11</v>
      </c>
      <c r="O133" s="43">
        <v>8</v>
      </c>
      <c r="P133" s="43">
        <v>257</v>
      </c>
      <c r="Q133" s="43">
        <v>160</v>
      </c>
      <c r="R133" s="43" t="s">
        <v>35</v>
      </c>
      <c r="AB133" s="49"/>
    </row>
    <row r="134" spans="1:28" ht="45">
      <c r="A134" s="43" t="s">
        <v>83</v>
      </c>
      <c r="B134" s="43">
        <v>1380</v>
      </c>
      <c r="C134" s="43" t="s">
        <v>35</v>
      </c>
      <c r="D134" s="43">
        <v>3</v>
      </c>
      <c r="E134" s="43">
        <v>2</v>
      </c>
      <c r="F134" s="43">
        <v>7</v>
      </c>
      <c r="G134" s="43">
        <v>2</v>
      </c>
      <c r="H134" s="43">
        <v>291</v>
      </c>
      <c r="I134" s="43">
        <v>240</v>
      </c>
      <c r="J134" s="43">
        <v>215</v>
      </c>
      <c r="K134" s="72">
        <v>189</v>
      </c>
      <c r="L134" s="43">
        <v>189</v>
      </c>
      <c r="M134" s="43">
        <v>123</v>
      </c>
      <c r="N134" s="43">
        <v>35</v>
      </c>
      <c r="O134" s="43" t="s">
        <v>35</v>
      </c>
      <c r="P134" s="43">
        <v>41</v>
      </c>
      <c r="Q134" s="43">
        <v>20</v>
      </c>
      <c r="R134" s="43">
        <v>23</v>
      </c>
      <c r="AB134" s="49"/>
    </row>
    <row r="135" spans="1:28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AB135" s="49"/>
    </row>
    <row r="136" spans="1:28" ht="45">
      <c r="A136" s="43" t="s">
        <v>85</v>
      </c>
      <c r="B136" s="43">
        <v>164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16</v>
      </c>
      <c r="I136" s="43">
        <v>29</v>
      </c>
      <c r="J136" s="43">
        <v>25</v>
      </c>
      <c r="K136" s="72">
        <v>27</v>
      </c>
      <c r="L136" s="43">
        <v>37</v>
      </c>
      <c r="M136" s="43">
        <v>14</v>
      </c>
      <c r="N136" s="43">
        <v>16</v>
      </c>
      <c r="O136" s="43" t="s">
        <v>35</v>
      </c>
      <c r="P136" s="43" t="s">
        <v>35</v>
      </c>
      <c r="Q136" s="43" t="s">
        <v>35</v>
      </c>
      <c r="R136" s="43" t="s">
        <v>35</v>
      </c>
      <c r="AB136" s="49"/>
    </row>
    <row r="137" spans="1:28" ht="45">
      <c r="A137" s="43" t="s">
        <v>86</v>
      </c>
      <c r="B137" s="43">
        <v>131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20</v>
      </c>
      <c r="I137" s="43">
        <v>22</v>
      </c>
      <c r="J137" s="43">
        <v>23</v>
      </c>
      <c r="K137" s="72">
        <v>21</v>
      </c>
      <c r="L137" s="43">
        <v>18</v>
      </c>
      <c r="M137" s="43">
        <v>27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AB137" s="49"/>
    </row>
    <row r="138" spans="1:28" ht="60">
      <c r="A138" s="43" t="s">
        <v>87</v>
      </c>
      <c r="B138" s="43">
        <v>89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11</v>
      </c>
      <c r="I138" s="43">
        <v>16</v>
      </c>
      <c r="J138" s="43">
        <v>7</v>
      </c>
      <c r="K138" s="72">
        <v>11</v>
      </c>
      <c r="L138" s="43">
        <v>14</v>
      </c>
      <c r="M138" s="43">
        <v>8</v>
      </c>
      <c r="N138" s="43">
        <v>8</v>
      </c>
      <c r="O138" s="43">
        <v>1</v>
      </c>
      <c r="P138" s="43">
        <v>8</v>
      </c>
      <c r="Q138" s="43">
        <v>5</v>
      </c>
      <c r="R138" s="43" t="s">
        <v>35</v>
      </c>
      <c r="AB138" s="49"/>
    </row>
    <row r="139" spans="1:28" ht="75">
      <c r="A139" s="43" t="s">
        <v>88</v>
      </c>
      <c r="B139" s="43">
        <v>72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4</v>
      </c>
      <c r="I139" s="43">
        <v>13</v>
      </c>
      <c r="J139" s="43">
        <v>8</v>
      </c>
      <c r="K139" s="72">
        <v>10</v>
      </c>
      <c r="L139" s="43">
        <v>10</v>
      </c>
      <c r="M139" s="43">
        <v>6</v>
      </c>
      <c r="N139" s="43" t="s">
        <v>35</v>
      </c>
      <c r="O139" s="43" t="s">
        <v>35</v>
      </c>
      <c r="P139" s="43">
        <v>11</v>
      </c>
      <c r="Q139" s="43">
        <v>2</v>
      </c>
      <c r="R139" s="43">
        <v>8</v>
      </c>
      <c r="AB139" s="49"/>
    </row>
    <row r="140" spans="1:28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AB140" s="49"/>
    </row>
    <row r="141" spans="1:28" ht="45">
      <c r="A141" s="43" t="s">
        <v>90</v>
      </c>
      <c r="B141" s="43">
        <v>258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59</v>
      </c>
      <c r="I141" s="43">
        <v>45</v>
      </c>
      <c r="J141" s="43">
        <v>18</v>
      </c>
      <c r="K141" s="72">
        <v>63</v>
      </c>
      <c r="L141" s="43">
        <v>61</v>
      </c>
      <c r="M141" s="43">
        <v>12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AB141" s="49"/>
    </row>
    <row r="142" spans="1:28" ht="60">
      <c r="A142" s="43" t="s">
        <v>91</v>
      </c>
      <c r="B142" s="43">
        <v>443</v>
      </c>
      <c r="C142" s="43" t="s">
        <v>35</v>
      </c>
      <c r="D142" s="43">
        <v>156</v>
      </c>
      <c r="E142" s="43" t="s">
        <v>35</v>
      </c>
      <c r="F142" s="43" t="s">
        <v>35</v>
      </c>
      <c r="G142" s="43" t="s">
        <v>35</v>
      </c>
      <c r="H142" s="43">
        <v>192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95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AB142" s="49"/>
    </row>
    <row r="143" spans="1:28" ht="60">
      <c r="A143" s="43" t="s">
        <v>92</v>
      </c>
      <c r="B143" s="43">
        <v>384</v>
      </c>
      <c r="C143" s="43" t="s">
        <v>35</v>
      </c>
      <c r="D143" s="43">
        <v>83</v>
      </c>
      <c r="E143" s="43">
        <v>99</v>
      </c>
      <c r="F143" s="43">
        <v>56</v>
      </c>
      <c r="G143" s="43">
        <v>40</v>
      </c>
      <c r="H143" s="43">
        <v>25</v>
      </c>
      <c r="I143" s="43">
        <v>33</v>
      </c>
      <c r="J143" s="43">
        <v>17</v>
      </c>
      <c r="K143" s="72">
        <v>15</v>
      </c>
      <c r="L143" s="43">
        <v>14</v>
      </c>
      <c r="M143" s="43">
        <v>2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AB143" s="49"/>
    </row>
    <row r="144" spans="1:28" ht="30">
      <c r="A144" s="43" t="s">
        <v>93</v>
      </c>
      <c r="B144" s="43">
        <v>35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20</v>
      </c>
      <c r="Q144" s="43">
        <v>10</v>
      </c>
      <c r="R144" s="43">
        <v>5</v>
      </c>
      <c r="AB144" s="49"/>
    </row>
    <row r="145" spans="1:28">
      <c r="A145" s="43" t="s">
        <v>94</v>
      </c>
      <c r="B145" s="43">
        <v>9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8</v>
      </c>
      <c r="Q145" s="43">
        <v>1</v>
      </c>
      <c r="R145" s="43" t="s">
        <v>35</v>
      </c>
      <c r="S145" s="44"/>
      <c r="T145" s="44"/>
      <c r="U145" s="44"/>
      <c r="V145" s="44"/>
      <c r="W145" s="44"/>
      <c r="X145" s="44"/>
      <c r="Y145" s="44"/>
      <c r="Z145" s="44"/>
      <c r="AA145" s="44"/>
      <c r="AB145" s="50"/>
    </row>
    <row r="147" spans="1:28">
      <c r="A147" t="s">
        <v>52</v>
      </c>
    </row>
    <row r="148" spans="1:28">
      <c r="A148" t="s">
        <v>53</v>
      </c>
    </row>
    <row r="149" spans="1:28">
      <c r="A149" t="s">
        <v>122</v>
      </c>
    </row>
    <row r="151" spans="1:28">
      <c r="A151" t="s">
        <v>96</v>
      </c>
    </row>
    <row r="152" spans="1:28">
      <c r="A152" t="s">
        <v>97</v>
      </c>
    </row>
    <row r="153" spans="1:28">
      <c r="A153" t="s">
        <v>98</v>
      </c>
    </row>
    <row r="154" spans="1:28">
      <c r="A154" t="s">
        <v>123</v>
      </c>
    </row>
    <row r="155" spans="1:28">
      <c r="A155" t="s">
        <v>100</v>
      </c>
    </row>
    <row r="156" spans="1:28">
      <c r="A156" t="s">
        <v>101</v>
      </c>
    </row>
    <row r="157" spans="1:28">
      <c r="A157" t="s">
        <v>102</v>
      </c>
    </row>
  </sheetData>
  <mergeCells count="36">
    <mergeCell ref="F22:F23"/>
    <mergeCell ref="G22:G23"/>
    <mergeCell ref="H22:H23"/>
    <mergeCell ref="B16:R18"/>
    <mergeCell ref="C19:M19"/>
    <mergeCell ref="C20:M20"/>
    <mergeCell ref="C21:M21"/>
    <mergeCell ref="O19:R19"/>
    <mergeCell ref="O20:R20"/>
    <mergeCell ref="O21:R21"/>
    <mergeCell ref="A98:AB98"/>
    <mergeCell ref="Q22:Q23"/>
    <mergeCell ref="R22:R23"/>
    <mergeCell ref="A26:AB26"/>
    <mergeCell ref="A27:AB27"/>
    <mergeCell ref="A29:AB29"/>
    <mergeCell ref="A50:AB50"/>
    <mergeCell ref="I22:I23"/>
    <mergeCell ref="J22:J23"/>
    <mergeCell ref="K22:K23"/>
    <mergeCell ref="L22:L23"/>
    <mergeCell ref="M22:M23"/>
    <mergeCell ref="P22:P23"/>
    <mergeCell ref="C22:C23"/>
    <mergeCell ref="D22:D23"/>
    <mergeCell ref="E22:E23"/>
    <mergeCell ref="A51:AB51"/>
    <mergeCell ref="A53:AB53"/>
    <mergeCell ref="A74:AB74"/>
    <mergeCell ref="A75:AB75"/>
    <mergeCell ref="A77:AB77"/>
    <mergeCell ref="A99:AB99"/>
    <mergeCell ref="A101:AB101"/>
    <mergeCell ref="A122:AB122"/>
    <mergeCell ref="A123:AB123"/>
    <mergeCell ref="A125:AB125"/>
  </mergeCells>
  <hyperlinks>
    <hyperlink ref="A1" r:id="rId1" display="https://www1.nls.niedersachsen.de/Statistik/pool/K300151A/K300151A_0000173B37BECC976B8E200E2EAF4D721B50F3FA8A8C9C80AD15.zip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P111"/>
  <sheetViews>
    <sheetView workbookViewId="0"/>
  </sheetViews>
  <sheetFormatPr baseColWidth="10" defaultRowHeight="15"/>
  <cols>
    <col min="1" max="1" width="21.140625" customWidth="1"/>
  </cols>
  <sheetData>
    <row r="2" spans="1:16">
      <c r="A2" s="237" t="s">
        <v>2</v>
      </c>
      <c r="B2" s="233" t="s">
        <v>3</v>
      </c>
      <c r="C2" s="236" t="s">
        <v>4</v>
      </c>
      <c r="D2" s="236"/>
      <c r="E2" s="236" t="s">
        <v>5</v>
      </c>
      <c r="F2" s="236"/>
      <c r="G2" s="242" t="s">
        <v>6</v>
      </c>
      <c r="H2" s="242"/>
      <c r="I2" s="236" t="s">
        <v>7</v>
      </c>
      <c r="J2" s="236"/>
      <c r="K2" s="236" t="s">
        <v>8</v>
      </c>
      <c r="L2" s="236"/>
      <c r="M2" s="236" t="s">
        <v>9</v>
      </c>
      <c r="N2" s="236"/>
      <c r="O2" s="236" t="s">
        <v>10</v>
      </c>
      <c r="P2" s="240"/>
    </row>
    <row r="3" spans="1:16" ht="16.5">
      <c r="A3" s="238"/>
      <c r="B3" s="234"/>
      <c r="C3" s="6" t="s">
        <v>11</v>
      </c>
      <c r="D3" s="7" t="s">
        <v>12</v>
      </c>
      <c r="E3" s="6" t="s">
        <v>11</v>
      </c>
      <c r="F3" s="7" t="s">
        <v>12</v>
      </c>
      <c r="G3" s="6" t="s">
        <v>11</v>
      </c>
      <c r="H3" s="7" t="s">
        <v>12</v>
      </c>
      <c r="I3" s="6" t="s">
        <v>11</v>
      </c>
      <c r="J3" s="7" t="s">
        <v>12</v>
      </c>
      <c r="K3" s="6" t="s">
        <v>11</v>
      </c>
      <c r="L3" s="7" t="s">
        <v>12</v>
      </c>
      <c r="M3" s="6" t="s">
        <v>11</v>
      </c>
      <c r="N3" s="7" t="s">
        <v>12</v>
      </c>
      <c r="O3" s="6" t="s">
        <v>11</v>
      </c>
      <c r="P3" s="82" t="s">
        <v>12</v>
      </c>
    </row>
    <row r="4" spans="1:16">
      <c r="A4" s="239"/>
      <c r="B4" s="235"/>
      <c r="C4" s="240" t="s">
        <v>38</v>
      </c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</row>
    <row r="5" spans="1:16">
      <c r="A5" s="9" t="s">
        <v>14</v>
      </c>
      <c r="B5" s="10" t="s">
        <v>15</v>
      </c>
      <c r="C5" s="10" t="s">
        <v>16</v>
      </c>
      <c r="D5" s="10" t="s">
        <v>17</v>
      </c>
      <c r="E5" s="10" t="s">
        <v>18</v>
      </c>
      <c r="F5" s="10" t="s">
        <v>19</v>
      </c>
      <c r="G5" s="10" t="s">
        <v>20</v>
      </c>
      <c r="H5" s="10" t="s">
        <v>21</v>
      </c>
      <c r="I5" s="10" t="s">
        <v>22</v>
      </c>
      <c r="J5" s="10" t="s">
        <v>23</v>
      </c>
      <c r="K5" s="10" t="s">
        <v>24</v>
      </c>
      <c r="L5" s="10" t="s">
        <v>25</v>
      </c>
      <c r="M5" s="10" t="s">
        <v>26</v>
      </c>
      <c r="N5" s="10" t="s">
        <v>27</v>
      </c>
      <c r="O5" s="10" t="s">
        <v>28</v>
      </c>
      <c r="P5" s="10" t="s">
        <v>29</v>
      </c>
    </row>
    <row r="6" spans="1:16">
      <c r="A6" s="11" t="s">
        <v>30</v>
      </c>
      <c r="B6" s="87">
        <v>2018</v>
      </c>
      <c r="C6" s="87">
        <v>926</v>
      </c>
      <c r="D6" s="87">
        <v>327</v>
      </c>
      <c r="E6" s="87">
        <v>2369</v>
      </c>
      <c r="F6" s="87">
        <v>247</v>
      </c>
      <c r="G6" s="87">
        <v>1402</v>
      </c>
      <c r="H6" s="87">
        <v>198</v>
      </c>
      <c r="I6" s="87" t="s">
        <v>35</v>
      </c>
      <c r="J6" s="87" t="s">
        <v>35</v>
      </c>
      <c r="K6" s="87">
        <v>2866</v>
      </c>
      <c r="L6" s="87">
        <v>216</v>
      </c>
      <c r="M6" s="87">
        <v>311</v>
      </c>
      <c r="N6" s="87">
        <v>40</v>
      </c>
      <c r="O6" s="87">
        <v>13370</v>
      </c>
      <c r="P6" s="87">
        <v>1257</v>
      </c>
    </row>
    <row r="7" spans="1:16">
      <c r="A7" s="11" t="s">
        <v>31</v>
      </c>
      <c r="B7" s="87">
        <v>2018</v>
      </c>
      <c r="C7" s="87">
        <v>877</v>
      </c>
      <c r="D7" s="87">
        <v>388</v>
      </c>
      <c r="E7" s="87">
        <v>2956</v>
      </c>
      <c r="F7" s="87">
        <v>471</v>
      </c>
      <c r="G7" s="87">
        <v>2437</v>
      </c>
      <c r="H7" s="87">
        <v>406</v>
      </c>
      <c r="I7" s="87">
        <v>7927</v>
      </c>
      <c r="J7" s="87">
        <v>346</v>
      </c>
      <c r="K7" s="87">
        <v>3885</v>
      </c>
      <c r="L7" s="87">
        <v>435</v>
      </c>
      <c r="M7" s="87">
        <v>498</v>
      </c>
      <c r="N7" s="87">
        <v>43</v>
      </c>
      <c r="O7" s="87">
        <v>18580</v>
      </c>
      <c r="P7" s="87">
        <v>2089</v>
      </c>
    </row>
    <row r="8" spans="1:16">
      <c r="A8" s="11" t="s">
        <v>32</v>
      </c>
      <c r="B8" s="87">
        <v>2018</v>
      </c>
      <c r="C8" s="87">
        <v>838</v>
      </c>
      <c r="D8" s="87">
        <v>165</v>
      </c>
      <c r="E8" s="87">
        <v>2107</v>
      </c>
      <c r="F8" s="87">
        <v>146</v>
      </c>
      <c r="G8" s="87">
        <v>4997</v>
      </c>
      <c r="H8" s="87">
        <v>546</v>
      </c>
      <c r="I8" s="87" t="s">
        <v>35</v>
      </c>
      <c r="J8" s="87" t="s">
        <v>35</v>
      </c>
      <c r="K8" s="87">
        <v>1892</v>
      </c>
      <c r="L8" s="87">
        <v>123</v>
      </c>
      <c r="M8" s="87">
        <v>292</v>
      </c>
      <c r="N8" s="87">
        <v>29</v>
      </c>
      <c r="O8" s="87">
        <v>16616</v>
      </c>
      <c r="P8" s="87">
        <v>1188</v>
      </c>
    </row>
    <row r="9" spans="1:16">
      <c r="A9" s="11" t="s">
        <v>33</v>
      </c>
      <c r="B9" s="87">
        <v>2018</v>
      </c>
      <c r="C9" s="87">
        <v>1230</v>
      </c>
      <c r="D9" s="87">
        <v>325</v>
      </c>
      <c r="E9" s="87">
        <v>2932</v>
      </c>
      <c r="F9" s="87">
        <v>260</v>
      </c>
      <c r="G9" s="87">
        <v>7673</v>
      </c>
      <c r="H9" s="87">
        <v>1064</v>
      </c>
      <c r="I9" s="87">
        <v>8930</v>
      </c>
      <c r="J9" s="87">
        <v>293</v>
      </c>
      <c r="K9" s="87">
        <v>2840</v>
      </c>
      <c r="L9" s="87">
        <v>167</v>
      </c>
      <c r="M9" s="87">
        <v>754</v>
      </c>
      <c r="N9" s="87">
        <v>74</v>
      </c>
      <c r="O9" s="87">
        <v>24359</v>
      </c>
      <c r="P9" s="87">
        <v>2183</v>
      </c>
    </row>
    <row r="10" spans="1:16">
      <c r="A10" s="14" t="s">
        <v>34</v>
      </c>
      <c r="B10" s="87">
        <v>2018</v>
      </c>
      <c r="C10" s="87">
        <v>3871</v>
      </c>
      <c r="D10" s="87">
        <v>1205</v>
      </c>
      <c r="E10" s="87">
        <v>10364</v>
      </c>
      <c r="F10" s="87">
        <v>1124</v>
      </c>
      <c r="G10" s="87">
        <v>16509</v>
      </c>
      <c r="H10" s="87">
        <v>2214</v>
      </c>
      <c r="I10" s="87">
        <v>28843</v>
      </c>
      <c r="J10" s="87">
        <v>1047</v>
      </c>
      <c r="K10" s="87">
        <v>11483</v>
      </c>
      <c r="L10" s="87">
        <v>941</v>
      </c>
      <c r="M10" s="87">
        <v>1855</v>
      </c>
      <c r="N10" s="87">
        <v>186</v>
      </c>
      <c r="O10" s="87">
        <v>72925</v>
      </c>
      <c r="P10" s="87">
        <v>6717</v>
      </c>
    </row>
    <row r="11" spans="1:16">
      <c r="A11" s="11" t="s">
        <v>30</v>
      </c>
      <c r="B11" s="87">
        <v>2017</v>
      </c>
      <c r="C11" s="87">
        <v>1003</v>
      </c>
      <c r="D11" s="87">
        <v>295</v>
      </c>
      <c r="E11" s="87">
        <v>2487</v>
      </c>
      <c r="F11" s="87">
        <v>257</v>
      </c>
      <c r="G11" s="87">
        <v>1540</v>
      </c>
      <c r="H11" s="87">
        <v>170</v>
      </c>
      <c r="I11" s="87">
        <v>5394</v>
      </c>
      <c r="J11" s="87">
        <v>250</v>
      </c>
      <c r="K11" s="87">
        <v>2866</v>
      </c>
      <c r="L11" s="87">
        <v>157</v>
      </c>
      <c r="M11" s="87">
        <v>318</v>
      </c>
      <c r="N11" s="87">
        <v>39</v>
      </c>
      <c r="O11" s="87">
        <v>13608</v>
      </c>
      <c r="P11" s="87">
        <v>1168</v>
      </c>
    </row>
    <row r="12" spans="1:16">
      <c r="A12" s="11" t="s">
        <v>31</v>
      </c>
      <c r="B12" s="87">
        <v>2017</v>
      </c>
      <c r="C12" s="87">
        <v>886</v>
      </c>
      <c r="D12" s="87">
        <v>338</v>
      </c>
      <c r="E12" s="87">
        <v>3186</v>
      </c>
      <c r="F12" s="87">
        <v>418</v>
      </c>
      <c r="G12" s="87">
        <v>2257</v>
      </c>
      <c r="H12" s="87">
        <v>379</v>
      </c>
      <c r="I12" s="87">
        <v>7922</v>
      </c>
      <c r="J12" s="87">
        <v>381</v>
      </c>
      <c r="K12" s="87">
        <v>3899</v>
      </c>
      <c r="L12" s="87">
        <v>385</v>
      </c>
      <c r="M12" s="87">
        <v>476</v>
      </c>
      <c r="N12" s="87">
        <v>46</v>
      </c>
      <c r="O12" s="87">
        <v>18626</v>
      </c>
      <c r="P12" s="87">
        <v>1947</v>
      </c>
    </row>
    <row r="13" spans="1:16">
      <c r="A13" s="11" t="s">
        <v>32</v>
      </c>
      <c r="B13" s="87">
        <v>2017</v>
      </c>
      <c r="C13" s="87">
        <v>840</v>
      </c>
      <c r="D13" s="87">
        <v>163</v>
      </c>
      <c r="E13" s="87">
        <v>2174</v>
      </c>
      <c r="F13" s="87">
        <v>138</v>
      </c>
      <c r="G13" s="87">
        <v>4981</v>
      </c>
      <c r="H13" s="87">
        <v>453</v>
      </c>
      <c r="I13" s="87">
        <v>6726</v>
      </c>
      <c r="J13" s="87">
        <v>168</v>
      </c>
      <c r="K13" s="87">
        <v>1816</v>
      </c>
      <c r="L13" s="87">
        <v>89</v>
      </c>
      <c r="M13" s="87">
        <v>289</v>
      </c>
      <c r="N13" s="87">
        <v>20</v>
      </c>
      <c r="O13" s="87">
        <v>16826</v>
      </c>
      <c r="P13" s="87">
        <v>1031</v>
      </c>
    </row>
    <row r="14" spans="1:16">
      <c r="A14" s="11" t="s">
        <v>33</v>
      </c>
      <c r="B14" s="87">
        <v>2017</v>
      </c>
      <c r="C14" s="87">
        <v>1402</v>
      </c>
      <c r="D14" s="87">
        <v>275</v>
      </c>
      <c r="E14" s="87">
        <v>3507</v>
      </c>
      <c r="F14" s="87">
        <v>278</v>
      </c>
      <c r="G14" s="87">
        <v>7439</v>
      </c>
      <c r="H14" s="87">
        <v>956</v>
      </c>
      <c r="I14" s="87">
        <v>8876</v>
      </c>
      <c r="J14" s="87">
        <v>274</v>
      </c>
      <c r="K14" s="87">
        <v>2706</v>
      </c>
      <c r="L14" s="87">
        <v>125</v>
      </c>
      <c r="M14" s="87">
        <v>859</v>
      </c>
      <c r="N14" s="87">
        <v>73</v>
      </c>
      <c r="O14" s="87">
        <v>24789</v>
      </c>
      <c r="P14" s="87">
        <v>1981</v>
      </c>
    </row>
    <row r="15" spans="1:16">
      <c r="A15" s="14" t="s">
        <v>34</v>
      </c>
      <c r="B15" s="87">
        <v>2017</v>
      </c>
      <c r="C15" s="87">
        <v>4131</v>
      </c>
      <c r="D15" s="87">
        <v>1071</v>
      </c>
      <c r="E15" s="87">
        <v>11354</v>
      </c>
      <c r="F15" s="87">
        <v>1091</v>
      </c>
      <c r="G15" s="87">
        <v>16217</v>
      </c>
      <c r="H15" s="87">
        <v>1958</v>
      </c>
      <c r="I15" s="87">
        <v>28918</v>
      </c>
      <c r="J15" s="87">
        <v>1073</v>
      </c>
      <c r="K15" s="87">
        <v>11287</v>
      </c>
      <c r="L15" s="87">
        <v>756</v>
      </c>
      <c r="M15" s="87">
        <v>1942</v>
      </c>
      <c r="N15" s="87">
        <v>178</v>
      </c>
      <c r="O15" s="87">
        <v>73849</v>
      </c>
      <c r="P15" s="87">
        <v>6127</v>
      </c>
    </row>
    <row r="16" spans="1:16">
      <c r="A16" s="11" t="s">
        <v>30</v>
      </c>
      <c r="B16" s="87">
        <v>2016</v>
      </c>
      <c r="C16" s="87">
        <v>1160</v>
      </c>
      <c r="D16" s="87">
        <v>265</v>
      </c>
      <c r="E16" s="87">
        <v>2545</v>
      </c>
      <c r="F16" s="87">
        <v>272</v>
      </c>
      <c r="G16" s="87">
        <v>1433</v>
      </c>
      <c r="H16" s="87">
        <v>130</v>
      </c>
      <c r="I16" s="87" t="s">
        <v>35</v>
      </c>
      <c r="J16" s="87" t="s">
        <v>35</v>
      </c>
      <c r="K16" s="87">
        <v>2606</v>
      </c>
      <c r="L16" s="87">
        <v>107</v>
      </c>
      <c r="M16" s="87">
        <v>368</v>
      </c>
      <c r="N16" s="87">
        <v>40</v>
      </c>
      <c r="O16" s="87">
        <v>13599</v>
      </c>
      <c r="P16" s="87">
        <v>1032</v>
      </c>
    </row>
    <row r="17" spans="1:16">
      <c r="A17" s="11" t="s">
        <v>31</v>
      </c>
      <c r="B17" s="87">
        <v>2016</v>
      </c>
      <c r="C17" s="87">
        <v>1092</v>
      </c>
      <c r="D17" s="87">
        <v>293</v>
      </c>
      <c r="E17" s="87">
        <v>3486</v>
      </c>
      <c r="F17" s="87">
        <v>404</v>
      </c>
      <c r="G17" s="87">
        <v>2140</v>
      </c>
      <c r="H17" s="87">
        <v>254</v>
      </c>
      <c r="I17" s="87">
        <v>7807</v>
      </c>
      <c r="J17" s="87">
        <v>290</v>
      </c>
      <c r="K17" s="87">
        <v>3437</v>
      </c>
      <c r="L17" s="87">
        <v>281</v>
      </c>
      <c r="M17" s="87">
        <v>591</v>
      </c>
      <c r="N17" s="87">
        <v>50</v>
      </c>
      <c r="O17" s="87">
        <v>18553</v>
      </c>
      <c r="P17" s="87">
        <v>1572</v>
      </c>
    </row>
    <row r="18" spans="1:16">
      <c r="A18" s="11" t="s">
        <v>32</v>
      </c>
      <c r="B18" s="87">
        <v>2016</v>
      </c>
      <c r="C18" s="87">
        <v>1002</v>
      </c>
      <c r="D18" s="87">
        <v>186</v>
      </c>
      <c r="E18" s="87">
        <v>2448</v>
      </c>
      <c r="F18" s="87">
        <v>152</v>
      </c>
      <c r="G18" s="87">
        <v>4872</v>
      </c>
      <c r="H18" s="87">
        <v>356</v>
      </c>
      <c r="I18" s="87">
        <v>6375</v>
      </c>
      <c r="J18" s="87">
        <v>147</v>
      </c>
      <c r="K18" s="87">
        <v>1610</v>
      </c>
      <c r="L18" s="87">
        <v>45</v>
      </c>
      <c r="M18" s="87">
        <v>330</v>
      </c>
      <c r="N18" s="87">
        <v>25</v>
      </c>
      <c r="O18" s="87">
        <v>16637</v>
      </c>
      <c r="P18" s="87">
        <v>911</v>
      </c>
    </row>
    <row r="19" spans="1:16">
      <c r="A19" s="11" t="s">
        <v>33</v>
      </c>
      <c r="B19" s="87">
        <v>2016</v>
      </c>
      <c r="C19" s="87">
        <v>1732</v>
      </c>
      <c r="D19" s="87">
        <v>322</v>
      </c>
      <c r="E19" s="87">
        <v>4151</v>
      </c>
      <c r="F19" s="87">
        <v>279</v>
      </c>
      <c r="G19" s="87">
        <v>6651</v>
      </c>
      <c r="H19" s="87">
        <v>675</v>
      </c>
      <c r="I19" s="87">
        <v>8696</v>
      </c>
      <c r="J19" s="87">
        <v>228</v>
      </c>
      <c r="K19" s="87">
        <v>2489</v>
      </c>
      <c r="L19" s="87">
        <v>114</v>
      </c>
      <c r="M19" s="87">
        <v>954</v>
      </c>
      <c r="N19" s="87">
        <v>70</v>
      </c>
      <c r="O19" s="87">
        <v>24673</v>
      </c>
      <c r="P19" s="87">
        <v>1688</v>
      </c>
    </row>
    <row r="20" spans="1:16">
      <c r="A20" s="14" t="s">
        <v>34</v>
      </c>
      <c r="B20" s="87">
        <v>2016</v>
      </c>
      <c r="C20" s="87">
        <v>4986</v>
      </c>
      <c r="D20" s="87">
        <v>1066</v>
      </c>
      <c r="E20" s="87">
        <v>12630</v>
      </c>
      <c r="F20" s="87">
        <v>1107</v>
      </c>
      <c r="G20" s="87">
        <v>15096</v>
      </c>
      <c r="H20" s="87">
        <v>1415</v>
      </c>
      <c r="I20" s="87">
        <v>28365</v>
      </c>
      <c r="J20" s="87">
        <v>883</v>
      </c>
      <c r="K20" s="87">
        <v>10142</v>
      </c>
      <c r="L20" s="87">
        <v>547</v>
      </c>
      <c r="M20" s="87">
        <v>2243</v>
      </c>
      <c r="N20" s="87">
        <v>185</v>
      </c>
      <c r="O20" s="87">
        <v>73462</v>
      </c>
      <c r="P20" s="87">
        <v>5203</v>
      </c>
    </row>
    <row r="21" spans="1:16">
      <c r="A21" s="11" t="s">
        <v>30</v>
      </c>
      <c r="B21" s="87">
        <v>2015</v>
      </c>
      <c r="C21" s="87">
        <v>1215</v>
      </c>
      <c r="D21" s="87">
        <v>223</v>
      </c>
      <c r="E21" s="87">
        <v>2856</v>
      </c>
      <c r="F21" s="87">
        <v>209</v>
      </c>
      <c r="G21" s="87">
        <v>1421</v>
      </c>
      <c r="H21" s="87">
        <v>77</v>
      </c>
      <c r="I21" s="87" t="s">
        <v>35</v>
      </c>
      <c r="J21" s="87" t="s">
        <v>35</v>
      </c>
      <c r="K21" s="87">
        <v>2591</v>
      </c>
      <c r="L21" s="87">
        <v>118</v>
      </c>
      <c r="M21" s="87">
        <v>463</v>
      </c>
      <c r="N21" s="87">
        <v>54</v>
      </c>
      <c r="O21" s="87">
        <v>13979</v>
      </c>
      <c r="P21" s="87">
        <v>828</v>
      </c>
    </row>
    <row r="22" spans="1:16">
      <c r="A22" s="11" t="s">
        <v>31</v>
      </c>
      <c r="B22" s="87">
        <v>2015</v>
      </c>
      <c r="C22" s="87">
        <v>1225</v>
      </c>
      <c r="D22" s="87">
        <v>309</v>
      </c>
      <c r="E22" s="87">
        <v>3782</v>
      </c>
      <c r="F22" s="87">
        <v>359</v>
      </c>
      <c r="G22" s="87">
        <v>2152</v>
      </c>
      <c r="H22" s="87">
        <v>219</v>
      </c>
      <c r="I22" s="87">
        <v>7832</v>
      </c>
      <c r="J22" s="87">
        <v>287</v>
      </c>
      <c r="K22" s="87">
        <v>3205</v>
      </c>
      <c r="L22" s="87">
        <v>291</v>
      </c>
      <c r="M22" s="87">
        <v>595</v>
      </c>
      <c r="N22" s="87">
        <v>61</v>
      </c>
      <c r="O22" s="87">
        <v>18791</v>
      </c>
      <c r="P22" s="87">
        <v>1526</v>
      </c>
    </row>
    <row r="23" spans="1:16">
      <c r="A23" s="11" t="s">
        <v>32</v>
      </c>
      <c r="B23" s="87">
        <v>2015</v>
      </c>
      <c r="C23" s="87">
        <v>1117</v>
      </c>
      <c r="D23" s="87">
        <v>191</v>
      </c>
      <c r="E23" s="87">
        <v>2824</v>
      </c>
      <c r="F23" s="87">
        <v>106</v>
      </c>
      <c r="G23" s="87">
        <v>4759</v>
      </c>
      <c r="H23" s="87">
        <v>257</v>
      </c>
      <c r="I23" s="87">
        <v>6581</v>
      </c>
      <c r="J23" s="87">
        <v>97</v>
      </c>
      <c r="K23" s="87">
        <v>1499</v>
      </c>
      <c r="L23" s="87">
        <v>45</v>
      </c>
      <c r="M23" s="87">
        <v>431</v>
      </c>
      <c r="N23" s="87">
        <v>34</v>
      </c>
      <c r="O23" s="87">
        <v>17211</v>
      </c>
      <c r="P23" s="87">
        <v>730</v>
      </c>
    </row>
    <row r="24" spans="1:16">
      <c r="A24" s="11" t="s">
        <v>33</v>
      </c>
      <c r="B24" s="87">
        <v>2015</v>
      </c>
      <c r="C24" s="87">
        <v>2110</v>
      </c>
      <c r="D24" s="87">
        <v>343</v>
      </c>
      <c r="E24" s="87">
        <v>4786</v>
      </c>
      <c r="F24" s="87">
        <v>244</v>
      </c>
      <c r="G24" s="87">
        <v>6198</v>
      </c>
      <c r="H24" s="87">
        <v>459</v>
      </c>
      <c r="I24" s="87">
        <v>8818</v>
      </c>
      <c r="J24" s="87">
        <v>195</v>
      </c>
      <c r="K24" s="87">
        <v>2723</v>
      </c>
      <c r="L24" s="87">
        <v>75</v>
      </c>
      <c r="M24" s="87">
        <v>1087</v>
      </c>
      <c r="N24" s="87">
        <v>79</v>
      </c>
      <c r="O24" s="87">
        <v>25722</v>
      </c>
      <c r="P24" s="87">
        <v>1395</v>
      </c>
    </row>
    <row r="25" spans="1:16">
      <c r="A25" s="14" t="s">
        <v>34</v>
      </c>
      <c r="B25" s="87">
        <v>2015</v>
      </c>
      <c r="C25" s="87">
        <v>5667</v>
      </c>
      <c r="D25" s="87">
        <v>1066</v>
      </c>
      <c r="E25" s="87">
        <v>14248</v>
      </c>
      <c r="F25" s="87">
        <v>918</v>
      </c>
      <c r="G25" s="87">
        <v>14530</v>
      </c>
      <c r="H25" s="87">
        <v>1012</v>
      </c>
      <c r="I25" s="87">
        <v>28664</v>
      </c>
      <c r="J25" s="87">
        <v>726</v>
      </c>
      <c r="K25" s="87">
        <v>10018</v>
      </c>
      <c r="L25" s="87">
        <v>529</v>
      </c>
      <c r="M25" s="87">
        <v>2576</v>
      </c>
      <c r="N25" s="87">
        <v>228</v>
      </c>
      <c r="O25" s="87">
        <v>75703</v>
      </c>
      <c r="P25" s="87">
        <v>4479</v>
      </c>
    </row>
    <row r="26" spans="1:16">
      <c r="A26" s="11" t="s">
        <v>30</v>
      </c>
      <c r="B26" s="12">
        <v>2014</v>
      </c>
      <c r="C26" s="24">
        <v>1525</v>
      </c>
      <c r="D26" s="24">
        <v>238</v>
      </c>
      <c r="E26" s="24">
        <v>3550</v>
      </c>
      <c r="F26" s="24">
        <v>234</v>
      </c>
      <c r="G26" s="24">
        <v>1011</v>
      </c>
      <c r="H26" s="24">
        <v>36</v>
      </c>
      <c r="I26" s="24">
        <v>5718</v>
      </c>
      <c r="J26" s="24">
        <v>165</v>
      </c>
      <c r="K26" s="24">
        <v>2354</v>
      </c>
      <c r="L26" s="24">
        <v>91</v>
      </c>
      <c r="M26" s="24">
        <v>484</v>
      </c>
      <c r="N26" s="24">
        <v>43</v>
      </c>
      <c r="O26" s="24">
        <v>14642</v>
      </c>
      <c r="P26" s="24">
        <v>807</v>
      </c>
    </row>
    <row r="27" spans="1:16">
      <c r="A27" s="11" t="s">
        <v>31</v>
      </c>
      <c r="B27" s="12">
        <v>2014</v>
      </c>
      <c r="C27" s="24">
        <v>1639</v>
      </c>
      <c r="D27" s="24">
        <v>310</v>
      </c>
      <c r="E27" s="24">
        <v>4372</v>
      </c>
      <c r="F27" s="24">
        <v>393</v>
      </c>
      <c r="G27" s="24">
        <v>1507</v>
      </c>
      <c r="H27" s="24">
        <v>126</v>
      </c>
      <c r="I27" s="24">
        <v>7851</v>
      </c>
      <c r="J27" s="24">
        <v>274</v>
      </c>
      <c r="K27" s="24">
        <v>3242</v>
      </c>
      <c r="L27" s="24">
        <v>258</v>
      </c>
      <c r="M27" s="24">
        <v>700</v>
      </c>
      <c r="N27" s="24">
        <v>109</v>
      </c>
      <c r="O27" s="24">
        <v>19311</v>
      </c>
      <c r="P27" s="24">
        <v>1470</v>
      </c>
    </row>
    <row r="28" spans="1:16">
      <c r="A28" s="11" t="s">
        <v>32</v>
      </c>
      <c r="B28" s="12">
        <v>2014</v>
      </c>
      <c r="C28" s="24">
        <v>1893</v>
      </c>
      <c r="D28" s="24">
        <v>233</v>
      </c>
      <c r="E28" s="24">
        <v>4787</v>
      </c>
      <c r="F28" s="24">
        <v>163</v>
      </c>
      <c r="G28" s="24">
        <v>2990</v>
      </c>
      <c r="H28" s="24">
        <v>120</v>
      </c>
      <c r="I28" s="24">
        <v>6681</v>
      </c>
      <c r="J28" s="24">
        <v>117</v>
      </c>
      <c r="K28" s="24">
        <v>1084</v>
      </c>
      <c r="L28" s="24">
        <v>34</v>
      </c>
      <c r="M28" s="24">
        <v>520</v>
      </c>
      <c r="N28" s="24">
        <v>57</v>
      </c>
      <c r="O28" s="24">
        <v>17955</v>
      </c>
      <c r="P28" s="24">
        <v>724</v>
      </c>
    </row>
    <row r="29" spans="1:16">
      <c r="A29" s="11" t="s">
        <v>33</v>
      </c>
      <c r="B29" s="12">
        <v>2014</v>
      </c>
      <c r="C29" s="24">
        <v>2855</v>
      </c>
      <c r="D29" s="24">
        <v>411</v>
      </c>
      <c r="E29" s="24">
        <v>6470</v>
      </c>
      <c r="F29" s="24">
        <v>351</v>
      </c>
      <c r="G29" s="24">
        <v>4094</v>
      </c>
      <c r="H29" s="24">
        <v>218</v>
      </c>
      <c r="I29" s="24">
        <v>8859</v>
      </c>
      <c r="J29" s="24">
        <v>217</v>
      </c>
      <c r="K29" s="24">
        <v>2686</v>
      </c>
      <c r="L29" s="24">
        <v>67</v>
      </c>
      <c r="M29" s="24">
        <v>1223</v>
      </c>
      <c r="N29" s="24">
        <v>109</v>
      </c>
      <c r="O29" s="24">
        <v>26187</v>
      </c>
      <c r="P29" s="24">
        <v>1373</v>
      </c>
    </row>
    <row r="30" spans="1:16">
      <c r="A30" s="14" t="s">
        <v>34</v>
      </c>
      <c r="B30" s="15">
        <v>2014</v>
      </c>
      <c r="C30" s="94">
        <v>7912</v>
      </c>
      <c r="D30" s="94">
        <v>1192</v>
      </c>
      <c r="E30" s="94">
        <v>19179</v>
      </c>
      <c r="F30" s="94">
        <v>1141</v>
      </c>
      <c r="G30" s="94">
        <v>9602</v>
      </c>
      <c r="H30" s="94">
        <v>500</v>
      </c>
      <c r="I30" s="94">
        <v>29109</v>
      </c>
      <c r="J30" s="94">
        <v>773</v>
      </c>
      <c r="K30" s="94">
        <v>9366</v>
      </c>
      <c r="L30" s="94">
        <v>450</v>
      </c>
      <c r="M30" s="94">
        <v>2927</v>
      </c>
      <c r="N30" s="94">
        <v>318</v>
      </c>
      <c r="O30" s="94">
        <v>78095</v>
      </c>
      <c r="P30" s="94">
        <v>4374</v>
      </c>
    </row>
    <row r="31" spans="1:16">
      <c r="A31" s="11" t="s">
        <v>30</v>
      </c>
      <c r="B31" s="15">
        <v>2013</v>
      </c>
      <c r="C31" s="94">
        <v>1855</v>
      </c>
      <c r="D31" s="94">
        <v>261</v>
      </c>
      <c r="E31" s="94">
        <v>4394</v>
      </c>
      <c r="F31" s="94">
        <v>367</v>
      </c>
      <c r="G31" s="94" t="s">
        <v>35</v>
      </c>
      <c r="H31" s="94" t="s">
        <v>35</v>
      </c>
      <c r="I31" s="94">
        <v>5993</v>
      </c>
      <c r="J31" s="94">
        <v>164</v>
      </c>
      <c r="K31" s="94">
        <v>2461</v>
      </c>
      <c r="L31" s="94">
        <v>80</v>
      </c>
      <c r="M31" s="94">
        <v>523</v>
      </c>
      <c r="N31" s="94">
        <v>71</v>
      </c>
      <c r="O31" s="94">
        <v>15226</v>
      </c>
      <c r="P31" s="94">
        <v>943</v>
      </c>
    </row>
    <row r="32" spans="1:16">
      <c r="A32" s="11" t="s">
        <v>31</v>
      </c>
      <c r="B32" s="15">
        <v>2013</v>
      </c>
      <c r="C32" s="94">
        <v>2273</v>
      </c>
      <c r="D32" s="94">
        <v>431</v>
      </c>
      <c r="E32" s="94">
        <v>5719</v>
      </c>
      <c r="F32" s="94">
        <v>523</v>
      </c>
      <c r="G32" s="94" t="s">
        <v>35</v>
      </c>
      <c r="H32" s="94" t="s">
        <v>35</v>
      </c>
      <c r="I32" s="94">
        <v>8151</v>
      </c>
      <c r="J32" s="94">
        <v>360</v>
      </c>
      <c r="K32" s="94">
        <v>3160</v>
      </c>
      <c r="L32" s="94">
        <v>249</v>
      </c>
      <c r="M32" s="94">
        <v>715</v>
      </c>
      <c r="N32" s="94">
        <v>109</v>
      </c>
      <c r="O32" s="94">
        <v>20018</v>
      </c>
      <c r="P32" s="94">
        <v>1672</v>
      </c>
    </row>
    <row r="33" spans="1:16">
      <c r="A33" s="11" t="s">
        <v>32</v>
      </c>
      <c r="B33" s="15">
        <v>2013</v>
      </c>
      <c r="C33" s="94">
        <v>2971</v>
      </c>
      <c r="D33" s="94">
        <v>287</v>
      </c>
      <c r="E33" s="94">
        <v>7449</v>
      </c>
      <c r="F33" s="94">
        <v>233</v>
      </c>
      <c r="G33" s="94" t="s">
        <v>35</v>
      </c>
      <c r="H33" s="94" t="s">
        <v>35</v>
      </c>
      <c r="I33" s="94">
        <v>7043</v>
      </c>
      <c r="J33" s="94">
        <v>95</v>
      </c>
      <c r="K33" s="94">
        <v>811</v>
      </c>
      <c r="L33" s="94">
        <v>14</v>
      </c>
      <c r="M33" s="94">
        <v>501</v>
      </c>
      <c r="N33" s="94">
        <v>48</v>
      </c>
      <c r="O33" s="94">
        <v>18775</v>
      </c>
      <c r="P33" s="94">
        <v>677</v>
      </c>
    </row>
    <row r="34" spans="1:16">
      <c r="A34" s="11" t="s">
        <v>33</v>
      </c>
      <c r="B34" s="15">
        <v>2013</v>
      </c>
      <c r="C34" s="94">
        <v>4624</v>
      </c>
      <c r="D34" s="94">
        <v>491</v>
      </c>
      <c r="E34" s="94">
        <v>10212</v>
      </c>
      <c r="F34" s="94">
        <v>470</v>
      </c>
      <c r="G34" s="94" t="s">
        <v>35</v>
      </c>
      <c r="H34" s="94" t="s">
        <v>35</v>
      </c>
      <c r="I34" s="94">
        <v>9149</v>
      </c>
      <c r="J34" s="94">
        <v>218</v>
      </c>
      <c r="K34" s="94">
        <v>2505</v>
      </c>
      <c r="L34" s="94">
        <v>46</v>
      </c>
      <c r="M34" s="94">
        <v>1242</v>
      </c>
      <c r="N34" s="94">
        <v>117</v>
      </c>
      <c r="O34" s="94">
        <v>27732</v>
      </c>
      <c r="P34" s="94">
        <v>1342</v>
      </c>
    </row>
    <row r="35" spans="1:16">
      <c r="A35" s="14" t="s">
        <v>34</v>
      </c>
      <c r="B35" s="15">
        <v>2013</v>
      </c>
      <c r="C35" s="94">
        <v>11723</v>
      </c>
      <c r="D35" s="94">
        <v>1470</v>
      </c>
      <c r="E35" s="94">
        <v>27774</v>
      </c>
      <c r="F35" s="94">
        <v>1593</v>
      </c>
      <c r="G35" s="94" t="s">
        <v>35</v>
      </c>
      <c r="H35" s="94" t="s">
        <v>35</v>
      </c>
      <c r="I35" s="94">
        <v>30336</v>
      </c>
      <c r="J35" s="94">
        <v>837</v>
      </c>
      <c r="K35" s="94">
        <v>8937</v>
      </c>
      <c r="L35" s="94">
        <v>389</v>
      </c>
      <c r="M35" s="94">
        <v>2981</v>
      </c>
      <c r="N35" s="94">
        <v>345</v>
      </c>
      <c r="O35" s="94">
        <v>81751</v>
      </c>
      <c r="P35" s="94">
        <v>4634</v>
      </c>
    </row>
    <row r="36" spans="1:16">
      <c r="A36" s="11" t="s">
        <v>30</v>
      </c>
      <c r="B36" s="12">
        <v>2012</v>
      </c>
      <c r="C36" s="24">
        <v>2108</v>
      </c>
      <c r="D36" s="24">
        <v>303</v>
      </c>
      <c r="E36" s="24">
        <v>4822</v>
      </c>
      <c r="F36" s="24">
        <v>371</v>
      </c>
      <c r="G36" s="21" t="s">
        <v>35</v>
      </c>
      <c r="H36" s="21" t="s">
        <v>35</v>
      </c>
      <c r="I36" s="24">
        <v>6135</v>
      </c>
      <c r="J36" s="24">
        <v>179</v>
      </c>
      <c r="K36" s="24">
        <v>1668</v>
      </c>
      <c r="L36" s="24">
        <v>95</v>
      </c>
      <c r="M36" s="24">
        <v>546</v>
      </c>
      <c r="N36" s="24">
        <v>80</v>
      </c>
      <c r="O36" s="24">
        <v>15279</v>
      </c>
      <c r="P36" s="24">
        <v>1028</v>
      </c>
    </row>
    <row r="37" spans="1:16">
      <c r="A37" s="11" t="s">
        <v>31</v>
      </c>
      <c r="B37" s="12">
        <v>2012</v>
      </c>
      <c r="C37" s="24">
        <v>2454</v>
      </c>
      <c r="D37" s="24">
        <v>469</v>
      </c>
      <c r="E37" s="24">
        <v>6253</v>
      </c>
      <c r="F37" s="24">
        <v>617</v>
      </c>
      <c r="G37" s="21" t="s">
        <v>35</v>
      </c>
      <c r="H37" s="21" t="s">
        <v>35</v>
      </c>
      <c r="I37" s="24">
        <v>8408</v>
      </c>
      <c r="J37" s="24">
        <v>407</v>
      </c>
      <c r="K37" s="24">
        <v>2629</v>
      </c>
      <c r="L37" s="24">
        <v>244</v>
      </c>
      <c r="M37" s="24">
        <v>814</v>
      </c>
      <c r="N37" s="24">
        <v>165</v>
      </c>
      <c r="O37" s="24">
        <v>20558</v>
      </c>
      <c r="P37" s="24">
        <v>1902</v>
      </c>
    </row>
    <row r="38" spans="1:16">
      <c r="A38" s="11" t="s">
        <v>32</v>
      </c>
      <c r="B38" s="12">
        <v>2012</v>
      </c>
      <c r="C38" s="24">
        <v>3067</v>
      </c>
      <c r="D38" s="24">
        <v>326</v>
      </c>
      <c r="E38" s="24">
        <v>7418</v>
      </c>
      <c r="F38" s="24">
        <v>258</v>
      </c>
      <c r="G38" s="21" t="s">
        <v>35</v>
      </c>
      <c r="H38" s="21" t="s">
        <v>35</v>
      </c>
      <c r="I38" s="24">
        <v>7321</v>
      </c>
      <c r="J38" s="24">
        <v>117</v>
      </c>
      <c r="K38" s="24">
        <v>540</v>
      </c>
      <c r="L38" s="24">
        <v>7</v>
      </c>
      <c r="M38" s="24">
        <v>570</v>
      </c>
      <c r="N38" s="24">
        <v>64</v>
      </c>
      <c r="O38" s="24">
        <v>18916</v>
      </c>
      <c r="P38" s="24">
        <v>772</v>
      </c>
    </row>
    <row r="39" spans="1:16">
      <c r="A39" s="11" t="s">
        <v>33</v>
      </c>
      <c r="B39" s="12">
        <v>2012</v>
      </c>
      <c r="C39" s="24">
        <v>5026</v>
      </c>
      <c r="D39" s="24">
        <v>558</v>
      </c>
      <c r="E39" s="24">
        <v>10652</v>
      </c>
      <c r="F39" s="24">
        <v>507</v>
      </c>
      <c r="G39" s="21" t="s">
        <v>35</v>
      </c>
      <c r="H39" s="21" t="s">
        <v>35</v>
      </c>
      <c r="I39" s="24">
        <v>9324</v>
      </c>
      <c r="J39" s="24">
        <v>202</v>
      </c>
      <c r="K39" s="24">
        <v>1762</v>
      </c>
      <c r="L39" s="24">
        <v>26</v>
      </c>
      <c r="M39" s="24">
        <v>1212</v>
      </c>
      <c r="N39" s="24">
        <v>135</v>
      </c>
      <c r="O39" s="24">
        <v>27976</v>
      </c>
      <c r="P39" s="24">
        <v>1428</v>
      </c>
    </row>
    <row r="40" spans="1:16">
      <c r="A40" s="14" t="s">
        <v>34</v>
      </c>
      <c r="B40" s="15">
        <v>2012</v>
      </c>
      <c r="C40" s="94">
        <v>12655</v>
      </c>
      <c r="D40" s="94">
        <v>1656</v>
      </c>
      <c r="E40" s="94">
        <v>29145</v>
      </c>
      <c r="F40" s="94">
        <v>1753</v>
      </c>
      <c r="G40" s="22" t="s">
        <v>35</v>
      </c>
      <c r="H40" s="22" t="s">
        <v>35</v>
      </c>
      <c r="I40" s="94">
        <v>31188</v>
      </c>
      <c r="J40" s="94">
        <v>905</v>
      </c>
      <c r="K40" s="94">
        <v>6599</v>
      </c>
      <c r="L40" s="94">
        <v>372</v>
      </c>
      <c r="M40" s="94">
        <v>3142</v>
      </c>
      <c r="N40" s="94">
        <v>444</v>
      </c>
      <c r="O40" s="94">
        <v>82729</v>
      </c>
      <c r="P40" s="94">
        <v>5130</v>
      </c>
    </row>
    <row r="41" spans="1:16">
      <c r="A41" s="11" t="s">
        <v>30</v>
      </c>
      <c r="B41" s="15">
        <v>2011</v>
      </c>
      <c r="C41" s="24">
        <v>2267</v>
      </c>
      <c r="D41" s="24">
        <v>328</v>
      </c>
      <c r="E41" s="24" t="s">
        <v>35</v>
      </c>
      <c r="F41" s="24" t="s">
        <v>35</v>
      </c>
      <c r="G41" s="95" t="s">
        <v>35</v>
      </c>
      <c r="H41" s="96" t="s">
        <v>35</v>
      </c>
      <c r="I41" s="24" t="s">
        <v>35</v>
      </c>
      <c r="J41" s="24" t="s">
        <v>35</v>
      </c>
      <c r="K41" s="24">
        <v>1205</v>
      </c>
      <c r="L41" s="24">
        <v>66</v>
      </c>
      <c r="M41" s="24">
        <v>520</v>
      </c>
      <c r="N41" s="24">
        <v>105</v>
      </c>
      <c r="O41" s="24">
        <v>15948</v>
      </c>
      <c r="P41" s="24">
        <v>1087</v>
      </c>
    </row>
    <row r="42" spans="1:16">
      <c r="A42" s="11" t="s">
        <v>31</v>
      </c>
      <c r="B42" s="15">
        <v>2011</v>
      </c>
      <c r="C42" s="24">
        <v>2749</v>
      </c>
      <c r="D42" s="24">
        <v>497</v>
      </c>
      <c r="E42" s="24">
        <v>7156</v>
      </c>
      <c r="F42" s="24">
        <v>667</v>
      </c>
      <c r="G42" s="95" t="s">
        <v>35</v>
      </c>
      <c r="H42" s="96" t="s">
        <v>35</v>
      </c>
      <c r="I42" s="24">
        <v>8736</v>
      </c>
      <c r="J42" s="24">
        <v>443</v>
      </c>
      <c r="K42" s="24">
        <v>1658</v>
      </c>
      <c r="L42" s="24">
        <v>185</v>
      </c>
      <c r="M42" s="24">
        <v>848</v>
      </c>
      <c r="N42" s="24">
        <v>196</v>
      </c>
      <c r="O42" s="24">
        <v>21147</v>
      </c>
      <c r="P42" s="24">
        <v>1988</v>
      </c>
    </row>
    <row r="43" spans="1:16">
      <c r="A43" s="11" t="s">
        <v>32</v>
      </c>
      <c r="B43" s="15">
        <v>2011</v>
      </c>
      <c r="C43" s="24">
        <v>3460</v>
      </c>
      <c r="D43" s="24">
        <v>351</v>
      </c>
      <c r="E43" s="24">
        <v>7851</v>
      </c>
      <c r="F43" s="24">
        <v>288</v>
      </c>
      <c r="G43" s="95" t="s">
        <v>35</v>
      </c>
      <c r="H43" s="96" t="s">
        <v>35</v>
      </c>
      <c r="I43" s="24">
        <v>7580</v>
      </c>
      <c r="J43" s="24">
        <v>138</v>
      </c>
      <c r="K43" s="24">
        <v>383</v>
      </c>
      <c r="L43" s="24">
        <v>1</v>
      </c>
      <c r="M43" s="24">
        <v>609</v>
      </c>
      <c r="N43" s="24">
        <v>84</v>
      </c>
      <c r="O43" s="24">
        <v>19883</v>
      </c>
      <c r="P43" s="24">
        <v>862</v>
      </c>
    </row>
    <row r="44" spans="1:16">
      <c r="A44" s="11" t="s">
        <v>33</v>
      </c>
      <c r="B44" s="15">
        <v>2011</v>
      </c>
      <c r="C44" s="24">
        <v>5474</v>
      </c>
      <c r="D44" s="24">
        <v>613</v>
      </c>
      <c r="E44" s="24">
        <v>11289</v>
      </c>
      <c r="F44" s="24">
        <v>537</v>
      </c>
      <c r="G44" s="95" t="s">
        <v>35</v>
      </c>
      <c r="H44" s="96" t="s">
        <v>35</v>
      </c>
      <c r="I44" s="24">
        <v>9755</v>
      </c>
      <c r="J44" s="24">
        <v>243</v>
      </c>
      <c r="K44" s="24">
        <v>1435</v>
      </c>
      <c r="L44" s="24">
        <v>21</v>
      </c>
      <c r="M44" s="24">
        <v>1225</v>
      </c>
      <c r="N44" s="24">
        <v>151</v>
      </c>
      <c r="O44" s="24">
        <v>29178</v>
      </c>
      <c r="P44" s="24">
        <v>1565</v>
      </c>
    </row>
    <row r="45" spans="1:16">
      <c r="A45" s="14" t="s">
        <v>34</v>
      </c>
      <c r="B45" s="15">
        <v>2011</v>
      </c>
      <c r="C45" s="97">
        <v>13950</v>
      </c>
      <c r="D45" s="24">
        <v>1789</v>
      </c>
      <c r="E45" s="97">
        <v>19179</v>
      </c>
      <c r="F45" s="24">
        <v>14489</v>
      </c>
      <c r="G45" s="95" t="s">
        <v>35</v>
      </c>
      <c r="H45" s="96" t="s">
        <v>35</v>
      </c>
      <c r="I45" s="97">
        <v>32546</v>
      </c>
      <c r="J45" s="24">
        <v>1013</v>
      </c>
      <c r="K45" s="97">
        <v>4681</v>
      </c>
      <c r="L45" s="24">
        <v>273</v>
      </c>
      <c r="M45" s="97">
        <v>3202</v>
      </c>
      <c r="N45" s="97">
        <v>536</v>
      </c>
      <c r="O45" s="24">
        <v>86156</v>
      </c>
      <c r="P45" s="24">
        <v>5502</v>
      </c>
    </row>
    <row r="46" spans="1:16">
      <c r="A46" s="11" t="s">
        <v>30</v>
      </c>
      <c r="B46" s="12">
        <v>2010</v>
      </c>
      <c r="C46" s="24">
        <v>2369</v>
      </c>
      <c r="D46" s="24">
        <v>378</v>
      </c>
      <c r="E46" s="24">
        <v>5306</v>
      </c>
      <c r="F46" s="24">
        <v>391</v>
      </c>
      <c r="G46" s="21" t="s">
        <v>35</v>
      </c>
      <c r="H46" s="21" t="s">
        <v>35</v>
      </c>
      <c r="I46" s="24">
        <v>6860</v>
      </c>
      <c r="J46" s="24">
        <v>210</v>
      </c>
      <c r="K46" s="24">
        <v>1185</v>
      </c>
      <c r="L46" s="24">
        <v>61</v>
      </c>
      <c r="M46" s="24">
        <v>531</v>
      </c>
      <c r="N46" s="24">
        <v>107</v>
      </c>
      <c r="O46" s="24">
        <v>16251</v>
      </c>
      <c r="P46" s="24">
        <v>1147</v>
      </c>
    </row>
    <row r="47" spans="1:16">
      <c r="A47" s="11" t="s">
        <v>31</v>
      </c>
      <c r="B47" s="12">
        <v>2010</v>
      </c>
      <c r="C47" s="24">
        <v>2775</v>
      </c>
      <c r="D47" s="24">
        <v>538</v>
      </c>
      <c r="E47" s="24">
        <v>6804</v>
      </c>
      <c r="F47" s="24">
        <v>684</v>
      </c>
      <c r="G47" s="21" t="s">
        <v>35</v>
      </c>
      <c r="H47" s="21" t="s">
        <v>35</v>
      </c>
      <c r="I47" s="24">
        <v>9063</v>
      </c>
      <c r="J47" s="24">
        <v>411</v>
      </c>
      <c r="K47" s="24">
        <v>1643</v>
      </c>
      <c r="L47" s="24">
        <v>147</v>
      </c>
      <c r="M47" s="24">
        <v>845</v>
      </c>
      <c r="N47" s="24">
        <v>207</v>
      </c>
      <c r="O47" s="24">
        <v>21130</v>
      </c>
      <c r="P47" s="24">
        <v>1987</v>
      </c>
    </row>
    <row r="48" spans="1:16">
      <c r="A48" s="11" t="s">
        <v>32</v>
      </c>
      <c r="B48" s="12">
        <v>2010</v>
      </c>
      <c r="C48" s="24">
        <v>3467</v>
      </c>
      <c r="D48" s="24">
        <v>357</v>
      </c>
      <c r="E48" s="24">
        <v>7849</v>
      </c>
      <c r="F48" s="24">
        <v>271</v>
      </c>
      <c r="G48" s="21" t="s">
        <v>35</v>
      </c>
      <c r="H48" s="21" t="s">
        <v>35</v>
      </c>
      <c r="I48" s="24">
        <v>7841</v>
      </c>
      <c r="J48" s="24">
        <v>135</v>
      </c>
      <c r="K48" s="24">
        <v>349</v>
      </c>
      <c r="L48" s="24">
        <v>2</v>
      </c>
      <c r="M48" s="24">
        <v>587</v>
      </c>
      <c r="N48" s="24">
        <v>56</v>
      </c>
      <c r="O48" s="24">
        <v>20093</v>
      </c>
      <c r="P48" s="24">
        <v>821</v>
      </c>
    </row>
    <row r="49" spans="1:16">
      <c r="A49" s="11" t="s">
        <v>33</v>
      </c>
      <c r="B49" s="12">
        <v>2010</v>
      </c>
      <c r="C49" s="24">
        <v>5565</v>
      </c>
      <c r="D49" s="24">
        <v>571</v>
      </c>
      <c r="E49" s="24">
        <v>11296</v>
      </c>
      <c r="F49" s="24">
        <v>483</v>
      </c>
      <c r="G49" s="21" t="s">
        <v>35</v>
      </c>
      <c r="H49" s="21" t="s">
        <v>35</v>
      </c>
      <c r="I49" s="24">
        <v>10290</v>
      </c>
      <c r="J49" s="24">
        <v>230</v>
      </c>
      <c r="K49" s="24">
        <v>1315</v>
      </c>
      <c r="L49" s="24">
        <v>22</v>
      </c>
      <c r="M49" s="24">
        <v>1211</v>
      </c>
      <c r="N49" s="24">
        <v>133</v>
      </c>
      <c r="O49" s="24">
        <v>29677</v>
      </c>
      <c r="P49" s="24">
        <v>1439</v>
      </c>
    </row>
    <row r="50" spans="1:16">
      <c r="A50" s="14" t="s">
        <v>34</v>
      </c>
      <c r="B50" s="15">
        <v>2010</v>
      </c>
      <c r="C50" s="94">
        <v>14176</v>
      </c>
      <c r="D50" s="94">
        <v>1844</v>
      </c>
      <c r="E50" s="94">
        <v>31255</v>
      </c>
      <c r="F50" s="94">
        <v>1829</v>
      </c>
      <c r="G50" s="22" t="s">
        <v>35</v>
      </c>
      <c r="H50" s="22" t="s">
        <v>35</v>
      </c>
      <c r="I50" s="94">
        <v>34054</v>
      </c>
      <c r="J50" s="94">
        <v>986</v>
      </c>
      <c r="K50" s="94">
        <v>4492</v>
      </c>
      <c r="L50" s="94">
        <v>232</v>
      </c>
      <c r="M50" s="94">
        <v>3174</v>
      </c>
      <c r="N50" s="94">
        <v>503</v>
      </c>
      <c r="O50" s="94">
        <v>87151</v>
      </c>
      <c r="P50" s="94">
        <v>5394</v>
      </c>
    </row>
    <row r="51" spans="1:16">
      <c r="A51" s="11" t="s">
        <v>30</v>
      </c>
      <c r="B51" s="12">
        <v>2005</v>
      </c>
      <c r="C51" s="24">
        <v>3686</v>
      </c>
      <c r="D51" s="24">
        <v>555</v>
      </c>
      <c r="E51" s="24">
        <v>6073</v>
      </c>
      <c r="F51" s="24">
        <v>418</v>
      </c>
      <c r="G51" s="21" t="s">
        <v>35</v>
      </c>
      <c r="H51" s="21" t="s">
        <v>35</v>
      </c>
      <c r="I51" s="24">
        <v>6116</v>
      </c>
      <c r="J51" s="24">
        <v>196</v>
      </c>
      <c r="K51" s="24">
        <v>1045</v>
      </c>
      <c r="L51" s="24">
        <v>67</v>
      </c>
      <c r="M51" s="24">
        <v>776</v>
      </c>
      <c r="N51" s="24">
        <v>165</v>
      </c>
      <c r="O51" s="24">
        <v>17696</v>
      </c>
      <c r="P51" s="24">
        <v>1401</v>
      </c>
    </row>
    <row r="52" spans="1:16">
      <c r="A52" s="11" t="s">
        <v>31</v>
      </c>
      <c r="B52" s="12">
        <v>2005</v>
      </c>
      <c r="C52" s="24">
        <v>3977</v>
      </c>
      <c r="D52" s="24">
        <v>686</v>
      </c>
      <c r="E52" s="24">
        <v>7446</v>
      </c>
      <c r="F52" s="24">
        <v>758</v>
      </c>
      <c r="G52" s="21" t="s">
        <v>35</v>
      </c>
      <c r="H52" s="21" t="s">
        <v>35</v>
      </c>
      <c r="I52" s="24">
        <v>7820</v>
      </c>
      <c r="J52" s="24">
        <v>496</v>
      </c>
      <c r="K52" s="24">
        <v>1511</v>
      </c>
      <c r="L52" s="24">
        <v>141</v>
      </c>
      <c r="M52" s="24">
        <v>1028</v>
      </c>
      <c r="N52" s="24">
        <v>306</v>
      </c>
      <c r="O52" s="24">
        <v>21782</v>
      </c>
      <c r="P52" s="24">
        <v>2387</v>
      </c>
    </row>
    <row r="53" spans="1:16">
      <c r="A53" s="11" t="s">
        <v>32</v>
      </c>
      <c r="B53" s="12">
        <v>2005</v>
      </c>
      <c r="C53" s="24">
        <v>5066</v>
      </c>
      <c r="D53" s="24">
        <v>527</v>
      </c>
      <c r="E53" s="24">
        <v>7733</v>
      </c>
      <c r="F53" s="24">
        <v>269</v>
      </c>
      <c r="G53" s="21" t="s">
        <v>35</v>
      </c>
      <c r="H53" s="21" t="s">
        <v>35</v>
      </c>
      <c r="I53" s="24">
        <v>6699</v>
      </c>
      <c r="J53" s="24">
        <v>131</v>
      </c>
      <c r="K53" s="24">
        <v>316</v>
      </c>
      <c r="L53" s="24" t="s">
        <v>35</v>
      </c>
      <c r="M53" s="24">
        <v>818</v>
      </c>
      <c r="N53" s="24">
        <v>137</v>
      </c>
      <c r="O53" s="24">
        <v>20632</v>
      </c>
      <c r="P53" s="24">
        <v>1064</v>
      </c>
    </row>
    <row r="54" spans="1:16">
      <c r="A54" s="11" t="s">
        <v>33</v>
      </c>
      <c r="B54" s="12">
        <v>2005</v>
      </c>
      <c r="C54" s="24">
        <v>8129</v>
      </c>
      <c r="D54" s="24">
        <v>699</v>
      </c>
      <c r="E54" s="24">
        <v>11015</v>
      </c>
      <c r="F54" s="24">
        <v>455</v>
      </c>
      <c r="G54" s="21" t="s">
        <v>35</v>
      </c>
      <c r="H54" s="21" t="s">
        <v>35</v>
      </c>
      <c r="I54" s="24">
        <v>8900</v>
      </c>
      <c r="J54" s="24">
        <v>238</v>
      </c>
      <c r="K54" s="24">
        <v>1222</v>
      </c>
      <c r="L54" s="24">
        <v>42</v>
      </c>
      <c r="M54" s="24">
        <v>1648</v>
      </c>
      <c r="N54" s="24">
        <v>247</v>
      </c>
      <c r="O54" s="24">
        <v>30914</v>
      </c>
      <c r="P54" s="24">
        <v>1681</v>
      </c>
    </row>
    <row r="55" spans="1:16">
      <c r="A55" s="14" t="s">
        <v>34</v>
      </c>
      <c r="B55" s="15">
        <v>2005</v>
      </c>
      <c r="C55" s="94">
        <v>20858</v>
      </c>
      <c r="D55" s="94">
        <v>2467</v>
      </c>
      <c r="E55" s="94">
        <v>32267</v>
      </c>
      <c r="F55" s="94">
        <v>1900</v>
      </c>
      <c r="G55" s="22" t="s">
        <v>35</v>
      </c>
      <c r="H55" s="22" t="s">
        <v>35</v>
      </c>
      <c r="I55" s="94">
        <v>29535</v>
      </c>
      <c r="J55" s="94">
        <v>1061</v>
      </c>
      <c r="K55" s="94">
        <v>4094</v>
      </c>
      <c r="L55" s="94">
        <v>250</v>
      </c>
      <c r="M55" s="94">
        <v>4270</v>
      </c>
      <c r="N55" s="94">
        <v>855</v>
      </c>
      <c r="O55" s="94">
        <v>91024</v>
      </c>
      <c r="P55" s="94">
        <v>6533</v>
      </c>
    </row>
    <row r="58" spans="1:16">
      <c r="A58" s="237" t="s">
        <v>2</v>
      </c>
      <c r="B58" s="233" t="s">
        <v>3</v>
      </c>
      <c r="C58" s="236" t="s">
        <v>4</v>
      </c>
      <c r="D58" s="236"/>
      <c r="E58" s="236" t="s">
        <v>5</v>
      </c>
      <c r="F58" s="236"/>
      <c r="G58" s="242" t="s">
        <v>6</v>
      </c>
      <c r="H58" s="242"/>
      <c r="I58" s="236" t="s">
        <v>7</v>
      </c>
      <c r="J58" s="236"/>
      <c r="K58" s="236" t="s">
        <v>8</v>
      </c>
      <c r="L58" s="236"/>
      <c r="M58" s="236" t="s">
        <v>9</v>
      </c>
      <c r="N58" s="236"/>
      <c r="O58" s="236" t="s">
        <v>10</v>
      </c>
      <c r="P58" s="240"/>
    </row>
    <row r="59" spans="1:16" ht="16.5">
      <c r="A59" s="238"/>
      <c r="B59" s="234"/>
      <c r="C59" s="6" t="s">
        <v>11</v>
      </c>
      <c r="D59" s="7" t="s">
        <v>12</v>
      </c>
      <c r="E59" s="6" t="s">
        <v>11</v>
      </c>
      <c r="F59" s="7" t="s">
        <v>12</v>
      </c>
      <c r="G59" s="6" t="s">
        <v>11</v>
      </c>
      <c r="H59" s="7" t="s">
        <v>12</v>
      </c>
      <c r="I59" s="6" t="s">
        <v>11</v>
      </c>
      <c r="J59" s="7" t="s">
        <v>12</v>
      </c>
      <c r="K59" s="6" t="s">
        <v>11</v>
      </c>
      <c r="L59" s="7" t="s">
        <v>12</v>
      </c>
      <c r="M59" s="6" t="s">
        <v>11</v>
      </c>
      <c r="N59" s="7" t="s">
        <v>12</v>
      </c>
      <c r="O59" s="6" t="s">
        <v>11</v>
      </c>
      <c r="P59" s="82" t="s">
        <v>12</v>
      </c>
    </row>
    <row r="60" spans="1:16">
      <c r="A60" s="239"/>
      <c r="B60" s="235"/>
      <c r="C60" s="240" t="s">
        <v>13</v>
      </c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</row>
    <row r="61" spans="1:16">
      <c r="A61" s="9" t="s">
        <v>14</v>
      </c>
      <c r="B61" s="10" t="s">
        <v>15</v>
      </c>
      <c r="C61" s="10" t="s">
        <v>16</v>
      </c>
      <c r="D61" s="10" t="s">
        <v>17</v>
      </c>
      <c r="E61" s="10" t="s">
        <v>18</v>
      </c>
      <c r="F61" s="10" t="s">
        <v>19</v>
      </c>
      <c r="G61" s="10" t="s">
        <v>20</v>
      </c>
      <c r="H61" s="10" t="s">
        <v>21</v>
      </c>
      <c r="I61" s="10" t="s">
        <v>22</v>
      </c>
      <c r="J61" s="10" t="s">
        <v>23</v>
      </c>
      <c r="K61" s="10" t="s">
        <v>24</v>
      </c>
      <c r="L61" s="10" t="s">
        <v>25</v>
      </c>
      <c r="M61" s="10" t="s">
        <v>26</v>
      </c>
      <c r="N61" s="10" t="s">
        <v>27</v>
      </c>
      <c r="O61" s="10" t="s">
        <v>28</v>
      </c>
      <c r="P61" s="10" t="s">
        <v>29</v>
      </c>
    </row>
    <row r="62" spans="1:16">
      <c r="A62" s="11" t="s">
        <v>30</v>
      </c>
      <c r="B62" s="87">
        <v>2018</v>
      </c>
      <c r="C62" s="23">
        <v>73.902633679169995</v>
      </c>
      <c r="D62" s="23">
        <v>26.097366320830005</v>
      </c>
      <c r="E62" s="23">
        <v>90.558103975535161</v>
      </c>
      <c r="F62" s="23">
        <v>9.4418960244648318</v>
      </c>
      <c r="G62" s="23">
        <v>87.625</v>
      </c>
      <c r="H62" s="23">
        <v>12.375</v>
      </c>
      <c r="I62" s="23" t="s">
        <v>35</v>
      </c>
      <c r="J62" s="23" t="s">
        <v>35</v>
      </c>
      <c r="K62" s="23">
        <v>92.991563919532766</v>
      </c>
      <c r="L62" s="23">
        <v>7.008436080467229</v>
      </c>
      <c r="M62" s="23">
        <v>88.603988603988597</v>
      </c>
      <c r="N62" s="23">
        <v>11.396011396011396</v>
      </c>
      <c r="O62" s="23">
        <v>91.40630341149928</v>
      </c>
      <c r="P62" s="23">
        <v>8.5936965885007179</v>
      </c>
    </row>
    <row r="63" spans="1:16">
      <c r="A63" s="11" t="s">
        <v>31</v>
      </c>
      <c r="B63" s="87">
        <v>2018</v>
      </c>
      <c r="C63" s="23">
        <v>69.328063241106719</v>
      </c>
      <c r="D63" s="23">
        <v>30.671936758893281</v>
      </c>
      <c r="E63" s="23">
        <v>86.256200758681061</v>
      </c>
      <c r="F63" s="23">
        <v>13.743799241318937</v>
      </c>
      <c r="G63" s="23">
        <v>85.719310587407676</v>
      </c>
      <c r="H63" s="23">
        <v>14.280689412592332</v>
      </c>
      <c r="I63" s="23">
        <v>95.817720294935327</v>
      </c>
      <c r="J63" s="23">
        <v>4.1822797050646683</v>
      </c>
      <c r="K63" s="23">
        <v>89.930555555555557</v>
      </c>
      <c r="L63" s="23">
        <v>10.069444444444445</v>
      </c>
      <c r="M63" s="23">
        <v>92.05175600739372</v>
      </c>
      <c r="N63" s="23">
        <v>7.9482439926062849</v>
      </c>
      <c r="O63" s="23">
        <v>89.893076588127158</v>
      </c>
      <c r="P63" s="23">
        <v>10.106923411872854</v>
      </c>
    </row>
    <row r="64" spans="1:16">
      <c r="A64" s="11" t="s">
        <v>32</v>
      </c>
      <c r="B64" s="87">
        <v>2018</v>
      </c>
      <c r="C64" s="23">
        <v>83.549351944167498</v>
      </c>
      <c r="D64" s="23">
        <v>16.450648055832502</v>
      </c>
      <c r="E64" s="23">
        <v>93.519751442521084</v>
      </c>
      <c r="F64" s="23">
        <v>6.4802485574789168</v>
      </c>
      <c r="G64" s="23">
        <v>90.149738408803898</v>
      </c>
      <c r="H64" s="23">
        <v>9.8502615911961033</v>
      </c>
      <c r="I64" s="23" t="s">
        <v>35</v>
      </c>
      <c r="J64" s="23" t="s">
        <v>35</v>
      </c>
      <c r="K64" s="23">
        <v>93.895781637717121</v>
      </c>
      <c r="L64" s="23">
        <v>6.1042183622828778</v>
      </c>
      <c r="M64" s="23">
        <v>90.965732087227408</v>
      </c>
      <c r="N64" s="23">
        <v>9.0342679127725845</v>
      </c>
      <c r="O64" s="23">
        <v>93.327342170298806</v>
      </c>
      <c r="P64" s="23">
        <v>6.6726578297011914</v>
      </c>
    </row>
    <row r="65" spans="1:16">
      <c r="A65" s="11" t="s">
        <v>33</v>
      </c>
      <c r="B65" s="87">
        <v>2018</v>
      </c>
      <c r="C65" s="23">
        <v>79.099678456591633</v>
      </c>
      <c r="D65" s="23">
        <v>20.90032154340836</v>
      </c>
      <c r="E65" s="23">
        <v>91.854636591478695</v>
      </c>
      <c r="F65" s="23">
        <v>8.1453634085213036</v>
      </c>
      <c r="G65" s="23">
        <v>87.821906833009038</v>
      </c>
      <c r="H65" s="23">
        <v>12.178093166990958</v>
      </c>
      <c r="I65" s="23">
        <v>96.823159492572913</v>
      </c>
      <c r="J65" s="23">
        <v>3.1768405074270847</v>
      </c>
      <c r="K65" s="23">
        <v>94.44629198536748</v>
      </c>
      <c r="L65" s="23">
        <v>5.5537080146325239</v>
      </c>
      <c r="M65" s="23">
        <v>91.062801932367151</v>
      </c>
      <c r="N65" s="23">
        <v>8.9371980676328491</v>
      </c>
      <c r="O65" s="23">
        <v>91.775299525280687</v>
      </c>
      <c r="P65" s="23">
        <v>8.2247004747193131</v>
      </c>
    </row>
    <row r="66" spans="1:16">
      <c r="A66" s="14" t="s">
        <v>34</v>
      </c>
      <c r="B66" s="87">
        <v>2018</v>
      </c>
      <c r="C66" s="23">
        <v>76.26083530338849</v>
      </c>
      <c r="D66" s="23">
        <v>23.739164696611507</v>
      </c>
      <c r="E66" s="23">
        <v>90.215877437325915</v>
      </c>
      <c r="F66" s="23">
        <v>9.784122562674094</v>
      </c>
      <c r="G66" s="23">
        <v>88.174971959621857</v>
      </c>
      <c r="H66" s="23">
        <v>11.825028040378145</v>
      </c>
      <c r="I66" s="23">
        <v>96.497156239545006</v>
      </c>
      <c r="J66" s="23">
        <v>3.5028437604550016</v>
      </c>
      <c r="K66" s="23">
        <v>92.425949774629743</v>
      </c>
      <c r="L66" s="23">
        <v>7.5740502253702502</v>
      </c>
      <c r="M66" s="23">
        <v>90.886820186183243</v>
      </c>
      <c r="N66" s="23">
        <v>9.1131798138167568</v>
      </c>
      <c r="O66" s="23">
        <v>91.566007885286666</v>
      </c>
      <c r="P66" s="23">
        <v>8.4339921147133428</v>
      </c>
    </row>
    <row r="67" spans="1:16">
      <c r="A67" s="11" t="s">
        <v>30</v>
      </c>
      <c r="B67" s="87">
        <v>2017</v>
      </c>
      <c r="C67" s="23">
        <v>77.272727272727266</v>
      </c>
      <c r="D67" s="23">
        <v>22.727272727272727</v>
      </c>
      <c r="E67" s="23">
        <v>90.634110787172006</v>
      </c>
      <c r="F67" s="23">
        <v>9.3658892128279874</v>
      </c>
      <c r="G67" s="23">
        <v>90.058479532163744</v>
      </c>
      <c r="H67" s="23">
        <v>9.9415204678362574</v>
      </c>
      <c r="I67" s="23">
        <v>95.570517363571938</v>
      </c>
      <c r="J67" s="23">
        <v>4.4294826364280651</v>
      </c>
      <c r="K67" s="23">
        <v>94.806483625537538</v>
      </c>
      <c r="L67" s="23">
        <v>5.1935163744624546</v>
      </c>
      <c r="M67" s="23">
        <v>89.075630252100851</v>
      </c>
      <c r="N67" s="23">
        <v>10.92436974789916</v>
      </c>
      <c r="O67" s="23">
        <v>92.095289658906339</v>
      </c>
      <c r="P67" s="23">
        <v>7.904710341093665</v>
      </c>
    </row>
    <row r="68" spans="1:16">
      <c r="A68" s="11" t="s">
        <v>31</v>
      </c>
      <c r="B68" s="87">
        <v>2017</v>
      </c>
      <c r="C68" s="23">
        <v>72.385620915032675</v>
      </c>
      <c r="D68" s="23">
        <v>27.614379084967322</v>
      </c>
      <c r="E68" s="23">
        <v>88.401775804661483</v>
      </c>
      <c r="F68" s="23">
        <v>11.598224195338513</v>
      </c>
      <c r="G68" s="23">
        <v>85.622154779969648</v>
      </c>
      <c r="H68" s="23">
        <v>14.37784522003035</v>
      </c>
      <c r="I68" s="23">
        <v>95.411297121522338</v>
      </c>
      <c r="J68" s="23">
        <v>4.5887028784776591</v>
      </c>
      <c r="K68" s="23">
        <v>91.013071895424829</v>
      </c>
      <c r="L68" s="23">
        <v>8.9869281045751634</v>
      </c>
      <c r="M68" s="23">
        <v>91.187739463601531</v>
      </c>
      <c r="N68" s="23">
        <v>8.8122605363984672</v>
      </c>
      <c r="O68" s="23">
        <v>90.536139600447186</v>
      </c>
      <c r="P68" s="23">
        <v>9.4638603995528126</v>
      </c>
    </row>
    <row r="69" spans="1:16">
      <c r="A69" s="11" t="s">
        <v>32</v>
      </c>
      <c r="B69" s="87">
        <v>2017</v>
      </c>
      <c r="C69" s="23">
        <v>83.748753738783648</v>
      </c>
      <c r="D69" s="23">
        <v>16.251246261216352</v>
      </c>
      <c r="E69" s="23">
        <v>94.031141868512108</v>
      </c>
      <c r="F69" s="23">
        <v>5.968858131487889</v>
      </c>
      <c r="G69" s="23">
        <v>91.663599558336401</v>
      </c>
      <c r="H69" s="23">
        <v>8.3364004416635993</v>
      </c>
      <c r="I69" s="23">
        <v>97.563098346388159</v>
      </c>
      <c r="J69" s="23">
        <v>2.4369016536118364</v>
      </c>
      <c r="K69" s="23">
        <v>95.328083989501309</v>
      </c>
      <c r="L69" s="23">
        <v>4.6719160104986877</v>
      </c>
      <c r="M69" s="23">
        <v>93.527508090614887</v>
      </c>
      <c r="N69" s="23">
        <v>6.4724919093851128</v>
      </c>
      <c r="O69" s="23">
        <v>94.226353810830489</v>
      </c>
      <c r="P69" s="23">
        <v>5.7736461891695132</v>
      </c>
    </row>
    <row r="70" spans="1:16">
      <c r="A70" s="11" t="s">
        <v>33</v>
      </c>
      <c r="B70" s="87">
        <v>2017</v>
      </c>
      <c r="C70" s="23">
        <v>83.601669648181272</v>
      </c>
      <c r="D70" s="23">
        <v>16.398330351818725</v>
      </c>
      <c r="E70" s="23">
        <v>92.655217965653904</v>
      </c>
      <c r="F70" s="23">
        <v>7.3447820343461032</v>
      </c>
      <c r="G70" s="23">
        <v>88.612269207861829</v>
      </c>
      <c r="H70" s="23">
        <v>11.387730792138177</v>
      </c>
      <c r="I70" s="23">
        <v>97.005464480874309</v>
      </c>
      <c r="J70" s="23">
        <v>2.9945355191256828</v>
      </c>
      <c r="K70" s="23">
        <v>95.584599081596608</v>
      </c>
      <c r="L70" s="23">
        <v>4.4154009184033907</v>
      </c>
      <c r="M70" s="23">
        <v>92.167381974248926</v>
      </c>
      <c r="N70" s="23">
        <v>7.8326180257510734</v>
      </c>
      <c r="O70" s="23">
        <v>92.599925289503176</v>
      </c>
      <c r="P70" s="23">
        <v>7.400074710496825</v>
      </c>
    </row>
    <row r="71" spans="1:16">
      <c r="A71" s="14" t="s">
        <v>34</v>
      </c>
      <c r="B71" s="87">
        <v>2017</v>
      </c>
      <c r="C71" s="23">
        <v>79.411764705882348</v>
      </c>
      <c r="D71" s="23">
        <v>20.588235294117645</v>
      </c>
      <c r="E71" s="23">
        <v>91.233427079148257</v>
      </c>
      <c r="F71" s="23">
        <v>8.7665729208517487</v>
      </c>
      <c r="G71" s="23">
        <v>89.226960110041261</v>
      </c>
      <c r="H71" s="23">
        <v>10.773039889958733</v>
      </c>
      <c r="I71" s="23">
        <v>96.422260011336732</v>
      </c>
      <c r="J71" s="23">
        <v>3.5777399886632657</v>
      </c>
      <c r="K71" s="23">
        <v>93.722494395084283</v>
      </c>
      <c r="L71" s="23">
        <v>6.277505604915719</v>
      </c>
      <c r="M71" s="23">
        <v>91.603773584905653</v>
      </c>
      <c r="N71" s="23">
        <v>8.3962264150943398</v>
      </c>
      <c r="O71" s="23">
        <v>92.338951685505648</v>
      </c>
      <c r="P71" s="23">
        <v>7.661048314494348</v>
      </c>
    </row>
    <row r="72" spans="1:16">
      <c r="A72" s="11" t="s">
        <v>30</v>
      </c>
      <c r="B72" s="87">
        <v>2016</v>
      </c>
      <c r="C72" s="23">
        <v>81.403508771929822</v>
      </c>
      <c r="D72" s="23">
        <v>18.596491228070175</v>
      </c>
      <c r="E72" s="23">
        <v>90.344337948171813</v>
      </c>
      <c r="F72" s="23">
        <v>9.6556620518281857</v>
      </c>
      <c r="G72" s="23">
        <v>91.682661548304552</v>
      </c>
      <c r="H72" s="23">
        <v>8.3173384516954574</v>
      </c>
      <c r="I72" s="23" t="s">
        <v>35</v>
      </c>
      <c r="J72" s="23" t="s">
        <v>35</v>
      </c>
      <c r="K72" s="23">
        <v>96.05602653888684</v>
      </c>
      <c r="L72" s="23">
        <v>3.9439734611131585</v>
      </c>
      <c r="M72" s="23">
        <v>90.196078431372555</v>
      </c>
      <c r="N72" s="23">
        <v>9.8039215686274517</v>
      </c>
      <c r="O72" s="23">
        <v>92.946483493951206</v>
      </c>
      <c r="P72" s="23">
        <v>7.0535165060488003</v>
      </c>
    </row>
    <row r="73" spans="1:16">
      <c r="A73" s="11" t="s">
        <v>31</v>
      </c>
      <c r="B73" s="87">
        <v>2016</v>
      </c>
      <c r="C73" s="23">
        <v>78.844765342960287</v>
      </c>
      <c r="D73" s="23">
        <v>21.155234657039713</v>
      </c>
      <c r="E73" s="23">
        <v>89.614395886889469</v>
      </c>
      <c r="F73" s="23">
        <v>10.38560411311054</v>
      </c>
      <c r="G73" s="23">
        <v>89.390142021720962</v>
      </c>
      <c r="H73" s="23">
        <v>10.609857978279031</v>
      </c>
      <c r="I73" s="23">
        <v>96.418426577744839</v>
      </c>
      <c r="J73" s="23">
        <v>3.5815734222551563</v>
      </c>
      <c r="K73" s="23">
        <v>92.442173211403983</v>
      </c>
      <c r="L73" s="23">
        <v>7.55782678859602</v>
      </c>
      <c r="M73" s="23">
        <v>92.199687987519496</v>
      </c>
      <c r="N73" s="23">
        <v>7.8003120124804992</v>
      </c>
      <c r="O73" s="23">
        <v>92.188819875776389</v>
      </c>
      <c r="P73" s="23">
        <v>7.8111801242236032</v>
      </c>
    </row>
    <row r="74" spans="1:16">
      <c r="A74" s="11" t="s">
        <v>32</v>
      </c>
      <c r="B74" s="87">
        <v>2016</v>
      </c>
      <c r="C74" s="23">
        <v>84.343434343434339</v>
      </c>
      <c r="D74" s="23">
        <v>15.656565656565657</v>
      </c>
      <c r="E74" s="23">
        <v>94.15384615384616</v>
      </c>
      <c r="F74" s="23">
        <v>5.8461538461538458</v>
      </c>
      <c r="G74" s="23">
        <v>93.190512624330523</v>
      </c>
      <c r="H74" s="23">
        <v>6.8094873756694723</v>
      </c>
      <c r="I74" s="23">
        <v>97.746090156393734</v>
      </c>
      <c r="J74" s="23">
        <v>2.2539098436062557</v>
      </c>
      <c r="K74" s="23">
        <v>97.280966767371595</v>
      </c>
      <c r="L74" s="23">
        <v>2.7190332326283988</v>
      </c>
      <c r="M74" s="23">
        <v>92.957746478873233</v>
      </c>
      <c r="N74" s="23">
        <v>7.042253521126761</v>
      </c>
      <c r="O74" s="23">
        <v>94.808525188055611</v>
      </c>
      <c r="P74" s="23">
        <v>5.1914748119443814</v>
      </c>
    </row>
    <row r="75" spans="1:16">
      <c r="A75" s="11" t="s">
        <v>33</v>
      </c>
      <c r="B75" s="87">
        <v>2016</v>
      </c>
      <c r="C75" s="23">
        <v>84.323271665043819</v>
      </c>
      <c r="D75" s="23">
        <v>15.676728334956183</v>
      </c>
      <c r="E75" s="23">
        <v>93.7020316027088</v>
      </c>
      <c r="F75" s="23">
        <v>6.2979683972911964</v>
      </c>
      <c r="G75" s="23">
        <v>90.786240786240796</v>
      </c>
      <c r="H75" s="23">
        <v>9.2137592137592144</v>
      </c>
      <c r="I75" s="23">
        <v>97.445091887046161</v>
      </c>
      <c r="J75" s="23">
        <v>2.5549081129538322</v>
      </c>
      <c r="K75" s="23">
        <v>95.620437956204384</v>
      </c>
      <c r="L75" s="23">
        <v>4.3795620437956204</v>
      </c>
      <c r="M75" s="23">
        <v>93.1640625</v>
      </c>
      <c r="N75" s="23">
        <v>6.8359375</v>
      </c>
      <c r="O75" s="23">
        <v>93.596601039414281</v>
      </c>
      <c r="P75" s="23">
        <v>6.4033989605857142</v>
      </c>
    </row>
    <row r="76" spans="1:16">
      <c r="A76" s="14" t="s">
        <v>34</v>
      </c>
      <c r="B76" s="87">
        <v>2016</v>
      </c>
      <c r="C76" s="23">
        <v>82.385988103106413</v>
      </c>
      <c r="D76" s="23">
        <v>17.61401189689359</v>
      </c>
      <c r="E76" s="23">
        <v>91.941471937104168</v>
      </c>
      <c r="F76" s="23">
        <v>8.058528062895828</v>
      </c>
      <c r="G76" s="23">
        <v>91.429955787051057</v>
      </c>
      <c r="H76" s="23">
        <v>8.5700442129489431</v>
      </c>
      <c r="I76" s="23">
        <v>96.980990153172868</v>
      </c>
      <c r="J76" s="23">
        <v>3.0190098468271334</v>
      </c>
      <c r="K76" s="23">
        <v>94.88258957807092</v>
      </c>
      <c r="L76" s="23">
        <v>5.1174104219290859</v>
      </c>
      <c r="M76" s="23">
        <v>92.380560131795718</v>
      </c>
      <c r="N76" s="23">
        <v>7.6194398682042834</v>
      </c>
      <c r="O76" s="23">
        <v>93.385876819424141</v>
      </c>
      <c r="P76" s="23">
        <v>6.6141231805758594</v>
      </c>
    </row>
    <row r="77" spans="1:16">
      <c r="A77" s="11" t="s">
        <v>30</v>
      </c>
      <c r="B77" s="87">
        <v>2015</v>
      </c>
      <c r="C77" s="23">
        <v>84.492350486787203</v>
      </c>
      <c r="D77" s="23">
        <v>15.507649513212796</v>
      </c>
      <c r="E77" s="23">
        <v>93.181076672104396</v>
      </c>
      <c r="F77" s="23">
        <v>6.8189233278955959</v>
      </c>
      <c r="G77" s="23">
        <v>94.859813084112147</v>
      </c>
      <c r="H77" s="23">
        <v>5.1401869158878499</v>
      </c>
      <c r="I77" s="23" t="s">
        <v>35</v>
      </c>
      <c r="J77" s="23" t="s">
        <v>35</v>
      </c>
      <c r="K77" s="23">
        <v>95.644149132521221</v>
      </c>
      <c r="L77" s="23">
        <v>4.3558508674787744</v>
      </c>
      <c r="M77" s="23">
        <v>89.555125725338485</v>
      </c>
      <c r="N77" s="23">
        <v>10.444874274661508</v>
      </c>
      <c r="O77" s="23">
        <v>94.408050246505027</v>
      </c>
      <c r="P77" s="23">
        <v>5.5919497534949691</v>
      </c>
    </row>
    <row r="78" spans="1:16">
      <c r="A78" s="11" t="s">
        <v>31</v>
      </c>
      <c r="B78" s="87">
        <v>2015</v>
      </c>
      <c r="C78" s="23">
        <v>79.856584093872229</v>
      </c>
      <c r="D78" s="23">
        <v>20.143415906127771</v>
      </c>
      <c r="E78" s="23">
        <v>91.330596474281577</v>
      </c>
      <c r="F78" s="23">
        <v>8.6694035257184243</v>
      </c>
      <c r="G78" s="23">
        <v>90.763390974272468</v>
      </c>
      <c r="H78" s="23">
        <v>9.2366090257275406</v>
      </c>
      <c r="I78" s="23">
        <v>96.465081906638744</v>
      </c>
      <c r="J78" s="23">
        <v>3.5349180933612514</v>
      </c>
      <c r="K78" s="23">
        <v>91.67620137299771</v>
      </c>
      <c r="L78" s="23">
        <v>8.3237986270022883</v>
      </c>
      <c r="M78" s="23">
        <v>90.701219512195124</v>
      </c>
      <c r="N78" s="23">
        <v>9.2987804878048781</v>
      </c>
      <c r="O78" s="23">
        <v>92.489048580006894</v>
      </c>
      <c r="P78" s="23">
        <v>7.5109514199931091</v>
      </c>
    </row>
    <row r="79" spans="1:16">
      <c r="A79" s="11" t="s">
        <v>32</v>
      </c>
      <c r="B79" s="87">
        <v>2015</v>
      </c>
      <c r="C79" s="23">
        <v>85.397553516819571</v>
      </c>
      <c r="D79" s="23">
        <v>14.602446483180428</v>
      </c>
      <c r="E79" s="23">
        <v>96.382252559726965</v>
      </c>
      <c r="F79" s="23">
        <v>3.6177474402730376</v>
      </c>
      <c r="G79" s="23">
        <v>94.876395534290268</v>
      </c>
      <c r="H79" s="23">
        <v>5.1236044657097288</v>
      </c>
      <c r="I79" s="23">
        <v>98.547469302186286</v>
      </c>
      <c r="J79" s="23">
        <v>1.4525306978137167</v>
      </c>
      <c r="K79" s="23">
        <v>97.085492227979273</v>
      </c>
      <c r="L79" s="23">
        <v>2.9145077720207255</v>
      </c>
      <c r="M79" s="23">
        <v>92.688172043010752</v>
      </c>
      <c r="N79" s="23">
        <v>7.3118279569892479</v>
      </c>
      <c r="O79" s="23">
        <v>95.931107519090347</v>
      </c>
      <c r="P79" s="23">
        <v>4.0688924809096489</v>
      </c>
    </row>
    <row r="80" spans="1:16">
      <c r="A80" s="11" t="s">
        <v>33</v>
      </c>
      <c r="B80" s="87">
        <v>2015</v>
      </c>
      <c r="C80" s="23">
        <v>86.017121891561359</v>
      </c>
      <c r="D80" s="23">
        <v>13.982878108438646</v>
      </c>
      <c r="E80" s="23">
        <v>95.14910536779324</v>
      </c>
      <c r="F80" s="23">
        <v>4.8508946322067592</v>
      </c>
      <c r="G80" s="23">
        <v>93.10500225326723</v>
      </c>
      <c r="H80" s="23">
        <v>6.8949977467327628</v>
      </c>
      <c r="I80" s="23">
        <v>97.836458448907138</v>
      </c>
      <c r="J80" s="23">
        <v>2.1635415510928659</v>
      </c>
      <c r="K80" s="23">
        <v>97.319513938527521</v>
      </c>
      <c r="L80" s="23">
        <v>2.6804860614724801</v>
      </c>
      <c r="M80" s="23">
        <v>93.224699828473405</v>
      </c>
      <c r="N80" s="23">
        <v>6.7753001715265864</v>
      </c>
      <c r="O80" s="23">
        <v>94.85562562230335</v>
      </c>
      <c r="P80" s="23">
        <v>5.1443743776966482</v>
      </c>
    </row>
    <row r="81" spans="1:16">
      <c r="A81" s="14" t="s">
        <v>34</v>
      </c>
      <c r="B81" s="87">
        <v>2015</v>
      </c>
      <c r="C81" s="23">
        <v>84.1675330461904</v>
      </c>
      <c r="D81" s="23">
        <v>15.832466953809595</v>
      </c>
      <c r="E81" s="23">
        <v>93.946986680733218</v>
      </c>
      <c r="F81" s="23">
        <v>6.053013319266781</v>
      </c>
      <c r="G81" s="23">
        <v>93.48861150431091</v>
      </c>
      <c r="H81" s="23">
        <v>6.5113884956891006</v>
      </c>
      <c r="I81" s="23">
        <v>97.529772031303168</v>
      </c>
      <c r="J81" s="23">
        <v>2.4702279686968356</v>
      </c>
      <c r="K81" s="23">
        <v>94.984355740968994</v>
      </c>
      <c r="L81" s="23">
        <v>5.0156442590310037</v>
      </c>
      <c r="M81" s="23">
        <v>91.868758915834519</v>
      </c>
      <c r="N81" s="23">
        <v>8.1312410841654774</v>
      </c>
      <c r="O81" s="23">
        <v>94.413958244992642</v>
      </c>
      <c r="P81" s="23">
        <v>5.5860417550073578</v>
      </c>
    </row>
    <row r="82" spans="1:16">
      <c r="A82" s="16" t="s">
        <v>30</v>
      </c>
      <c r="B82" s="17">
        <v>2014</v>
      </c>
      <c r="C82" s="18">
        <v>86.500283607487233</v>
      </c>
      <c r="D82" s="18">
        <v>13.499716392512761</v>
      </c>
      <c r="E82" s="18">
        <v>93.81606765327696</v>
      </c>
      <c r="F82" s="18">
        <v>6.1839323467230445</v>
      </c>
      <c r="G82" s="18">
        <v>96.561604584527217</v>
      </c>
      <c r="H82" s="18">
        <v>3.4383954154727796</v>
      </c>
      <c r="I82" s="18">
        <v>97.195308516063221</v>
      </c>
      <c r="J82" s="18">
        <v>2.8046914839367667</v>
      </c>
      <c r="K82" s="18">
        <v>96.278118609406945</v>
      </c>
      <c r="L82" s="18">
        <v>3.7218813905930475</v>
      </c>
      <c r="M82" s="18">
        <v>91.840607210626189</v>
      </c>
      <c r="N82" s="18">
        <v>8.159392789373813</v>
      </c>
      <c r="O82" s="18">
        <v>94.776360929509991</v>
      </c>
      <c r="P82" s="18">
        <v>5.2236390704899991</v>
      </c>
    </row>
    <row r="83" spans="1:16">
      <c r="A83" s="11" t="s">
        <v>31</v>
      </c>
      <c r="B83" s="12">
        <v>2014</v>
      </c>
      <c r="C83" s="19">
        <v>84.094407388404306</v>
      </c>
      <c r="D83" s="19">
        <v>15.90559261159569</v>
      </c>
      <c r="E83" s="19">
        <v>91.752360965372503</v>
      </c>
      <c r="F83" s="19">
        <v>8.2476390346274915</v>
      </c>
      <c r="G83" s="19">
        <v>92.284139620330691</v>
      </c>
      <c r="H83" s="19">
        <v>7.7158603796693201</v>
      </c>
      <c r="I83" s="19">
        <v>96.6276923076923</v>
      </c>
      <c r="J83" s="19">
        <v>3.3723076923076927</v>
      </c>
      <c r="K83" s="19">
        <v>92.628571428571433</v>
      </c>
      <c r="L83" s="19">
        <v>7.3714285714285719</v>
      </c>
      <c r="M83" s="19">
        <v>86.526576019777508</v>
      </c>
      <c r="N83" s="19">
        <v>13.473423980222496</v>
      </c>
      <c r="O83" s="19">
        <v>92.92623069149704</v>
      </c>
      <c r="P83" s="19">
        <v>7.0737693085029596</v>
      </c>
    </row>
    <row r="84" spans="1:16">
      <c r="A84" s="11" t="s">
        <v>32</v>
      </c>
      <c r="B84" s="12">
        <v>2014</v>
      </c>
      <c r="C84" s="19">
        <v>89.040451552210726</v>
      </c>
      <c r="D84" s="19">
        <v>10.959548447789276</v>
      </c>
      <c r="E84" s="19">
        <v>96.707070707070713</v>
      </c>
      <c r="F84" s="19">
        <v>3.2929292929292928</v>
      </c>
      <c r="G84" s="19">
        <v>96.141479099678463</v>
      </c>
      <c r="H84" s="19">
        <v>3.8585209003215439</v>
      </c>
      <c r="I84" s="19">
        <v>98.278905560458966</v>
      </c>
      <c r="J84" s="19">
        <v>1.7210944395410415</v>
      </c>
      <c r="K84" s="19">
        <v>96.958855098389989</v>
      </c>
      <c r="L84" s="19">
        <v>3.0411449016100178</v>
      </c>
      <c r="M84" s="19">
        <v>90.121317157712298</v>
      </c>
      <c r="N84" s="19">
        <v>9.8786828422876951</v>
      </c>
      <c r="O84" s="19">
        <v>96.123989506932915</v>
      </c>
      <c r="P84" s="19">
        <v>3.8760104930670809</v>
      </c>
    </row>
    <row r="85" spans="1:16">
      <c r="A85" s="11" t="s">
        <v>33</v>
      </c>
      <c r="B85" s="12">
        <v>2014</v>
      </c>
      <c r="C85" s="19">
        <v>87.415799142682175</v>
      </c>
      <c r="D85" s="19">
        <v>12.584200857317821</v>
      </c>
      <c r="E85" s="19">
        <v>94.854126960856178</v>
      </c>
      <c r="F85" s="19">
        <v>5.1458730391438205</v>
      </c>
      <c r="G85" s="19">
        <v>94.944341372912803</v>
      </c>
      <c r="H85" s="19">
        <v>5.0556586270871984</v>
      </c>
      <c r="I85" s="19">
        <v>97.60907888937858</v>
      </c>
      <c r="J85" s="19">
        <v>2.3909211106214192</v>
      </c>
      <c r="K85" s="19">
        <v>97.566291318561568</v>
      </c>
      <c r="L85" s="19">
        <v>2.4337086814384308</v>
      </c>
      <c r="M85" s="19">
        <v>91.816816816816811</v>
      </c>
      <c r="N85" s="19">
        <v>8.1831831831831838</v>
      </c>
      <c r="O85" s="19">
        <v>95.018142235123378</v>
      </c>
      <c r="P85" s="19">
        <v>4.9818577648766329</v>
      </c>
    </row>
    <row r="86" spans="1:16">
      <c r="A86" s="14" t="s">
        <v>34</v>
      </c>
      <c r="B86" s="15">
        <v>2014</v>
      </c>
      <c r="C86" s="20">
        <v>86.906854130052722</v>
      </c>
      <c r="D86" s="20">
        <v>13.093145869947275</v>
      </c>
      <c r="E86" s="20">
        <v>94.384842519685037</v>
      </c>
      <c r="F86" s="20">
        <v>5.6151574803149602</v>
      </c>
      <c r="G86" s="20">
        <v>95.050485052464865</v>
      </c>
      <c r="H86" s="20">
        <v>4.9495149475351417</v>
      </c>
      <c r="I86" s="20">
        <v>97.41315842313098</v>
      </c>
      <c r="J86" s="20">
        <v>2.5868415768690181</v>
      </c>
      <c r="K86" s="20">
        <v>95.415647921760396</v>
      </c>
      <c r="L86" s="20">
        <v>4.5843520782396094</v>
      </c>
      <c r="M86" s="20">
        <v>90.200308166409854</v>
      </c>
      <c r="N86" s="20">
        <v>9.7996918335901384</v>
      </c>
      <c r="O86" s="20">
        <v>94.696188870969706</v>
      </c>
      <c r="P86" s="20">
        <v>5.3038111290303025</v>
      </c>
    </row>
    <row r="87" spans="1:16">
      <c r="A87" s="11" t="s">
        <v>30</v>
      </c>
      <c r="B87" s="15">
        <v>2013</v>
      </c>
      <c r="C87" s="99">
        <v>87.665406427221171</v>
      </c>
      <c r="D87" s="99">
        <v>12.334593572778827</v>
      </c>
      <c r="E87" s="99">
        <v>92.291535391724437</v>
      </c>
      <c r="F87" s="99">
        <v>7.7084646082755723</v>
      </c>
      <c r="G87" s="99" t="s">
        <v>35</v>
      </c>
      <c r="H87" s="99" t="s">
        <v>35</v>
      </c>
      <c r="I87" s="99">
        <v>97.336365112879648</v>
      </c>
      <c r="J87" s="99">
        <v>2.663634887120351</v>
      </c>
      <c r="K87" s="99">
        <v>96.851633215269587</v>
      </c>
      <c r="L87" s="99">
        <v>3.1483667847304213</v>
      </c>
      <c r="M87" s="99">
        <v>88.047138047138048</v>
      </c>
      <c r="N87" s="99">
        <v>11.952861952861953</v>
      </c>
      <c r="O87" s="99">
        <v>94.167852062588906</v>
      </c>
      <c r="P87" s="99">
        <v>5.8321479374110954</v>
      </c>
    </row>
    <row r="88" spans="1:16">
      <c r="A88" s="11" t="s">
        <v>31</v>
      </c>
      <c r="B88" s="15">
        <v>2013</v>
      </c>
      <c r="C88" s="99">
        <v>84.060650887573956</v>
      </c>
      <c r="D88" s="99">
        <v>15.939349112426035</v>
      </c>
      <c r="E88" s="99">
        <v>91.621275232297336</v>
      </c>
      <c r="F88" s="99">
        <v>8.3787247677026588</v>
      </c>
      <c r="G88" s="99" t="s">
        <v>35</v>
      </c>
      <c r="H88" s="99" t="s">
        <v>35</v>
      </c>
      <c r="I88" s="99">
        <v>95.770179767359892</v>
      </c>
      <c r="J88" s="99">
        <v>4.2298202326401126</v>
      </c>
      <c r="K88" s="99">
        <v>92.695805221472568</v>
      </c>
      <c r="L88" s="99">
        <v>7.3041947785274273</v>
      </c>
      <c r="M88" s="99">
        <v>86.771844660194176</v>
      </c>
      <c r="N88" s="99">
        <v>13.228155339805825</v>
      </c>
      <c r="O88" s="99">
        <v>92.291378515444904</v>
      </c>
      <c r="P88" s="99">
        <v>7.7086214845550947</v>
      </c>
    </row>
    <row r="89" spans="1:16">
      <c r="A89" s="11" t="s">
        <v>32</v>
      </c>
      <c r="B89" s="15">
        <v>2013</v>
      </c>
      <c r="C89" s="99">
        <v>91.190914671577644</v>
      </c>
      <c r="D89" s="99">
        <v>8.8090853284223449</v>
      </c>
      <c r="E89" s="99">
        <v>96.96693569382974</v>
      </c>
      <c r="F89" s="99">
        <v>3.0330643061702682</v>
      </c>
      <c r="G89" s="99" t="s">
        <v>35</v>
      </c>
      <c r="H89" s="99" t="s">
        <v>35</v>
      </c>
      <c r="I89" s="99">
        <v>98.66909498458952</v>
      </c>
      <c r="J89" s="99">
        <v>1.3309050154104791</v>
      </c>
      <c r="K89" s="99">
        <v>98.303030303030297</v>
      </c>
      <c r="L89" s="99">
        <v>1.6969696969696972</v>
      </c>
      <c r="M89" s="99">
        <v>91.256830601092901</v>
      </c>
      <c r="N89" s="99">
        <v>8.7431693989071047</v>
      </c>
      <c r="O89" s="99">
        <v>96.519638083487564</v>
      </c>
      <c r="P89" s="99">
        <v>3.4803619165124409</v>
      </c>
    </row>
    <row r="90" spans="1:16">
      <c r="A90" s="11" t="s">
        <v>33</v>
      </c>
      <c r="B90" s="15">
        <v>2013</v>
      </c>
      <c r="C90" s="99">
        <v>90.400782013685244</v>
      </c>
      <c r="D90" s="99">
        <v>9.5992179863147609</v>
      </c>
      <c r="E90" s="99">
        <v>95.600074892342263</v>
      </c>
      <c r="F90" s="99">
        <v>4.3999251076577419</v>
      </c>
      <c r="G90" s="99" t="s">
        <v>35</v>
      </c>
      <c r="H90" s="99" t="s">
        <v>35</v>
      </c>
      <c r="I90" s="99">
        <v>97.672680687520014</v>
      </c>
      <c r="J90" s="99">
        <v>2.3273193124799829</v>
      </c>
      <c r="K90" s="99">
        <v>98.19678557428459</v>
      </c>
      <c r="L90" s="99">
        <v>1.8032144257154059</v>
      </c>
      <c r="M90" s="99">
        <v>91.390728476821195</v>
      </c>
      <c r="N90" s="99">
        <v>8.6092715231788084</v>
      </c>
      <c r="O90" s="99">
        <v>95.384192061635829</v>
      </c>
      <c r="P90" s="99">
        <v>4.6158079383641741</v>
      </c>
    </row>
    <row r="91" spans="1:16">
      <c r="A91" s="14" t="s">
        <v>34</v>
      </c>
      <c r="B91" s="15">
        <v>2013</v>
      </c>
      <c r="C91" s="99">
        <v>88.857727582809062</v>
      </c>
      <c r="D91" s="99">
        <v>11.142272417190934</v>
      </c>
      <c r="E91" s="99">
        <v>94.575543977934416</v>
      </c>
      <c r="F91" s="99">
        <v>5.4244560220655842</v>
      </c>
      <c r="G91" s="99" t="s">
        <v>35</v>
      </c>
      <c r="H91" s="99" t="s">
        <v>35</v>
      </c>
      <c r="I91" s="99">
        <v>97.314984120873831</v>
      </c>
      <c r="J91" s="99">
        <v>2.6850158791261669</v>
      </c>
      <c r="K91" s="99">
        <v>95.828865537207804</v>
      </c>
      <c r="L91" s="99">
        <v>4.1711344627921942</v>
      </c>
      <c r="M91" s="99">
        <v>89.627179795550219</v>
      </c>
      <c r="N91" s="99">
        <v>10.372820204449789</v>
      </c>
      <c r="O91" s="99">
        <v>94.635642762053592</v>
      </c>
      <c r="P91" s="99">
        <v>5.3643572379464031</v>
      </c>
    </row>
    <row r="92" spans="1:16">
      <c r="A92" s="11" t="s">
        <v>30</v>
      </c>
      <c r="B92" s="12">
        <v>2012</v>
      </c>
      <c r="C92" s="19">
        <v>87.432600580671917</v>
      </c>
      <c r="D92" s="19">
        <v>12.56739941932808</v>
      </c>
      <c r="E92" s="19">
        <v>92.855767379164263</v>
      </c>
      <c r="F92" s="19">
        <v>7.1442326208357398</v>
      </c>
      <c r="G92" s="21" t="s">
        <v>35</v>
      </c>
      <c r="H92" s="21" t="s">
        <v>35</v>
      </c>
      <c r="I92" s="19">
        <v>97.165030091859364</v>
      </c>
      <c r="J92" s="19">
        <v>2.8349699081406396</v>
      </c>
      <c r="K92" s="19">
        <v>94.611457742484404</v>
      </c>
      <c r="L92" s="19">
        <v>5.3885422575155983</v>
      </c>
      <c r="M92" s="19">
        <v>87.220447284345042</v>
      </c>
      <c r="N92" s="19">
        <v>12.779552715654951</v>
      </c>
      <c r="O92" s="19">
        <v>93.695958790703386</v>
      </c>
      <c r="P92" s="19">
        <v>6.3040412092966207</v>
      </c>
    </row>
    <row r="93" spans="1:16">
      <c r="A93" s="11" t="s">
        <v>31</v>
      </c>
      <c r="B93" s="12">
        <v>2012</v>
      </c>
      <c r="C93" s="19">
        <v>83.954840916866232</v>
      </c>
      <c r="D93" s="19">
        <v>16.045159083133768</v>
      </c>
      <c r="E93" s="19">
        <v>91.018922852983991</v>
      </c>
      <c r="F93" s="19">
        <v>8.9810771470160109</v>
      </c>
      <c r="G93" s="21" t="s">
        <v>35</v>
      </c>
      <c r="H93" s="21" t="s">
        <v>35</v>
      </c>
      <c r="I93" s="19">
        <v>95.382870107770842</v>
      </c>
      <c r="J93" s="19">
        <v>4.6171298922291548</v>
      </c>
      <c r="K93" s="19">
        <v>91.507135398538111</v>
      </c>
      <c r="L93" s="19">
        <v>8.4928646014618874</v>
      </c>
      <c r="M93" s="19">
        <v>83.146067415730343</v>
      </c>
      <c r="N93" s="19">
        <v>16.853932584269664</v>
      </c>
      <c r="O93" s="19">
        <v>91.531611754229743</v>
      </c>
      <c r="P93" s="19">
        <v>8.4683882457702584</v>
      </c>
    </row>
    <row r="94" spans="1:16">
      <c r="A94" s="11" t="s">
        <v>32</v>
      </c>
      <c r="B94" s="12">
        <v>2012</v>
      </c>
      <c r="C94" s="19">
        <v>90.391983495431774</v>
      </c>
      <c r="D94" s="19">
        <v>9.6080165045682282</v>
      </c>
      <c r="E94" s="19">
        <v>96.638874413757165</v>
      </c>
      <c r="F94" s="19">
        <v>3.3611255862428351</v>
      </c>
      <c r="G94" s="21" t="s">
        <v>35</v>
      </c>
      <c r="H94" s="21" t="s">
        <v>35</v>
      </c>
      <c r="I94" s="19">
        <v>98.426996504436687</v>
      </c>
      <c r="J94" s="19">
        <v>1.5730034955633236</v>
      </c>
      <c r="K94" s="19">
        <v>98.720292504570381</v>
      </c>
      <c r="L94" s="19">
        <v>1.2797074954296161</v>
      </c>
      <c r="M94" s="19">
        <v>89.905362776025228</v>
      </c>
      <c r="N94" s="19">
        <v>10.094637223974763</v>
      </c>
      <c r="O94" s="19">
        <v>96.078829744006498</v>
      </c>
      <c r="P94" s="19">
        <v>3.9211702559934989</v>
      </c>
    </row>
    <row r="95" spans="1:16">
      <c r="A95" s="11" t="s">
        <v>33</v>
      </c>
      <c r="B95" s="12">
        <v>2012</v>
      </c>
      <c r="C95" s="19">
        <v>90.007163323782237</v>
      </c>
      <c r="D95" s="19">
        <v>9.9928366762177649</v>
      </c>
      <c r="E95" s="19">
        <v>95.456582131015324</v>
      </c>
      <c r="F95" s="19">
        <v>4.543417868984676</v>
      </c>
      <c r="G95" s="21" t="s">
        <v>35</v>
      </c>
      <c r="H95" s="21" t="s">
        <v>35</v>
      </c>
      <c r="I95" s="19">
        <v>97.879487717824901</v>
      </c>
      <c r="J95" s="19">
        <v>2.1205122821750999</v>
      </c>
      <c r="K95" s="19">
        <v>98.545861297539147</v>
      </c>
      <c r="L95" s="19">
        <v>1.4541387024608501</v>
      </c>
      <c r="M95" s="19">
        <v>89.977728285077944</v>
      </c>
      <c r="N95" s="19">
        <v>10.022271714922049</v>
      </c>
      <c r="O95" s="19">
        <v>95.143517888722613</v>
      </c>
      <c r="P95" s="19">
        <v>4.8564821112773773</v>
      </c>
    </row>
    <row r="96" spans="1:16">
      <c r="A96" s="14" t="s">
        <v>34</v>
      </c>
      <c r="B96" s="15">
        <v>2012</v>
      </c>
      <c r="C96" s="20">
        <v>88.428481587589971</v>
      </c>
      <c r="D96" s="20">
        <v>11.571518412410034</v>
      </c>
      <c r="E96" s="20">
        <v>94.326493624182788</v>
      </c>
      <c r="F96" s="20">
        <v>5.6735063758172046</v>
      </c>
      <c r="G96" s="22" t="s">
        <v>35</v>
      </c>
      <c r="H96" s="22" t="s">
        <v>35</v>
      </c>
      <c r="I96" s="20">
        <v>97.180070420340883</v>
      </c>
      <c r="J96" s="20">
        <v>2.8199295796591155</v>
      </c>
      <c r="K96" s="20">
        <v>94.663606369244008</v>
      </c>
      <c r="L96" s="20">
        <v>5.3363936307559889</v>
      </c>
      <c r="M96" s="20">
        <v>87.618516452872285</v>
      </c>
      <c r="N96" s="20">
        <v>12.38148354712772</v>
      </c>
      <c r="O96" s="20">
        <v>94.161099033678965</v>
      </c>
      <c r="P96" s="20">
        <v>5.8389009663210372</v>
      </c>
    </row>
    <row r="97" spans="1:16">
      <c r="A97" s="11" t="s">
        <v>30</v>
      </c>
      <c r="B97" s="15">
        <v>2011</v>
      </c>
      <c r="C97" s="20">
        <v>87.360308285163782</v>
      </c>
      <c r="D97" s="20">
        <v>12.639691714836223</v>
      </c>
      <c r="E97" s="20" t="s">
        <v>35</v>
      </c>
      <c r="F97" s="20" t="s">
        <v>35</v>
      </c>
      <c r="G97" s="22" t="s">
        <v>35</v>
      </c>
      <c r="H97" s="22" t="s">
        <v>35</v>
      </c>
      <c r="I97" s="20" t="s">
        <v>35</v>
      </c>
      <c r="J97" s="20" t="s">
        <v>35</v>
      </c>
      <c r="K97" s="20">
        <v>94.8072383949646</v>
      </c>
      <c r="L97" s="20">
        <v>5.1927616050354048</v>
      </c>
      <c r="M97" s="20">
        <v>83.2</v>
      </c>
      <c r="N97" s="20">
        <v>16.8</v>
      </c>
      <c r="O97" s="20">
        <v>93.619019665394774</v>
      </c>
      <c r="P97" s="20">
        <v>6.3809803346052245</v>
      </c>
    </row>
    <row r="98" spans="1:16">
      <c r="A98" s="11" t="s">
        <v>31</v>
      </c>
      <c r="B98" s="15">
        <v>2011</v>
      </c>
      <c r="C98" s="20">
        <v>84.688847812692543</v>
      </c>
      <c r="D98" s="20">
        <v>15.311152187307457</v>
      </c>
      <c r="E98" s="20">
        <v>91.473859133324808</v>
      </c>
      <c r="F98" s="20">
        <v>8.5261408666751883</v>
      </c>
      <c r="G98" s="22" t="s">
        <v>35</v>
      </c>
      <c r="H98" s="22" t="s">
        <v>35</v>
      </c>
      <c r="I98" s="20">
        <v>95.173766205469008</v>
      </c>
      <c r="J98" s="20">
        <v>4.8262337945309941</v>
      </c>
      <c r="K98" s="20">
        <v>89.962018448182306</v>
      </c>
      <c r="L98" s="20">
        <v>10.037981551817689</v>
      </c>
      <c r="M98" s="20">
        <v>81.226053639846739</v>
      </c>
      <c r="N98" s="20">
        <v>18.773946360153257</v>
      </c>
      <c r="O98" s="20">
        <v>91.406959152798791</v>
      </c>
      <c r="P98" s="20">
        <v>8.5930408472012108</v>
      </c>
    </row>
    <row r="99" spans="1:16">
      <c r="A99" s="11" t="s">
        <v>32</v>
      </c>
      <c r="B99" s="15">
        <v>2011</v>
      </c>
      <c r="C99" s="20">
        <v>90.789818945158757</v>
      </c>
      <c r="D99" s="20">
        <v>9.2101810548412484</v>
      </c>
      <c r="E99" s="20">
        <v>96.461481754515304</v>
      </c>
      <c r="F99" s="20">
        <v>3.5385182454847035</v>
      </c>
      <c r="G99" s="22" t="s">
        <v>35</v>
      </c>
      <c r="H99" s="22" t="s">
        <v>35</v>
      </c>
      <c r="I99" s="20">
        <v>98.211972013474991</v>
      </c>
      <c r="J99" s="20">
        <v>1.7880279865250066</v>
      </c>
      <c r="K99" s="20">
        <v>99.739583333333343</v>
      </c>
      <c r="L99" s="20">
        <v>0.26041666666666663</v>
      </c>
      <c r="M99" s="20">
        <v>87.878787878787875</v>
      </c>
      <c r="N99" s="20">
        <v>12.121212121212121</v>
      </c>
      <c r="O99" s="20">
        <v>95.844781875150645</v>
      </c>
      <c r="P99" s="20">
        <v>4.1552181248493616</v>
      </c>
    </row>
    <row r="100" spans="1:16">
      <c r="A100" s="11" t="s">
        <v>33</v>
      </c>
      <c r="B100" s="15">
        <v>2011</v>
      </c>
      <c r="C100" s="20">
        <v>89.929357647445372</v>
      </c>
      <c r="D100" s="20">
        <v>10.070642352554625</v>
      </c>
      <c r="E100" s="20">
        <v>95.459157787924909</v>
      </c>
      <c r="F100" s="20">
        <v>4.5408422120750886</v>
      </c>
      <c r="G100" s="22" t="s">
        <v>35</v>
      </c>
      <c r="H100" s="22" t="s">
        <v>35</v>
      </c>
      <c r="I100" s="20">
        <v>97.569513902780557</v>
      </c>
      <c r="J100" s="20">
        <v>2.4304860972194442</v>
      </c>
      <c r="K100" s="20">
        <v>98.557692307692307</v>
      </c>
      <c r="L100" s="20">
        <v>1.4423076923076923</v>
      </c>
      <c r="M100" s="20">
        <v>89.026162790697668</v>
      </c>
      <c r="N100" s="20">
        <v>10.973837209302326</v>
      </c>
      <c r="O100" s="20">
        <v>94.909410272257105</v>
      </c>
      <c r="P100" s="20">
        <v>5.0905897277429011</v>
      </c>
    </row>
    <row r="101" spans="1:16">
      <c r="A101" s="14" t="s">
        <v>34</v>
      </c>
      <c r="B101" s="15">
        <v>2011</v>
      </c>
      <c r="C101" s="20">
        <v>88.63333121545206</v>
      </c>
      <c r="D101" s="20">
        <v>11.366668784547938</v>
      </c>
      <c r="E101" s="20">
        <v>56.965070690269691</v>
      </c>
      <c r="F101" s="20">
        <v>43.034929309730309</v>
      </c>
      <c r="G101" s="22" t="s">
        <v>35</v>
      </c>
      <c r="H101" s="22" t="s">
        <v>35</v>
      </c>
      <c r="I101" s="20">
        <v>96.981435680443397</v>
      </c>
      <c r="J101" s="20">
        <v>3.0185643195566016</v>
      </c>
      <c r="K101" s="20">
        <v>94.489301574485268</v>
      </c>
      <c r="L101" s="20">
        <v>5.5106984255147351</v>
      </c>
      <c r="M101" s="20">
        <v>85.660781166399147</v>
      </c>
      <c r="N101" s="20">
        <v>14.339218833600857</v>
      </c>
      <c r="O101" s="20">
        <v>93.997250649152292</v>
      </c>
      <c r="P101" s="20">
        <v>6.0027493508477168</v>
      </c>
    </row>
    <row r="102" spans="1:16">
      <c r="A102" s="11" t="s">
        <v>30</v>
      </c>
      <c r="B102" s="12">
        <v>2010</v>
      </c>
      <c r="C102" s="23">
        <v>86.239534037131421</v>
      </c>
      <c r="D102" s="23">
        <v>13.760465962868585</v>
      </c>
      <c r="E102" s="23">
        <v>93.136738634368967</v>
      </c>
      <c r="F102" s="23">
        <v>6.8632613656310335</v>
      </c>
      <c r="G102" s="21" t="s">
        <v>35</v>
      </c>
      <c r="H102" s="21" t="s">
        <v>35</v>
      </c>
      <c r="I102" s="23">
        <v>97.029702970297024</v>
      </c>
      <c r="J102" s="23">
        <v>2.9702970297029703</v>
      </c>
      <c r="K102" s="23">
        <v>95.104333868378816</v>
      </c>
      <c r="L102" s="23">
        <v>4.8956661316211871</v>
      </c>
      <c r="M102" s="23">
        <v>83.228840125391841</v>
      </c>
      <c r="N102" s="23">
        <v>16.771159874608148</v>
      </c>
      <c r="O102" s="23">
        <v>93.407288194045293</v>
      </c>
      <c r="P102" s="23">
        <v>6.592711805954707</v>
      </c>
    </row>
    <row r="103" spans="1:16">
      <c r="A103" s="11" t="s">
        <v>31</v>
      </c>
      <c r="B103" s="12">
        <v>2010</v>
      </c>
      <c r="C103" s="23">
        <v>83.760941744642309</v>
      </c>
      <c r="D103" s="23">
        <v>16.239058255357683</v>
      </c>
      <c r="E103" s="23">
        <v>90.865384615384613</v>
      </c>
      <c r="F103" s="23">
        <v>9.1346153846153832</v>
      </c>
      <c r="G103" s="21" t="s">
        <v>35</v>
      </c>
      <c r="H103" s="21" t="s">
        <v>35</v>
      </c>
      <c r="I103" s="23">
        <v>95.661811272957564</v>
      </c>
      <c r="J103" s="23">
        <v>4.3381887270424313</v>
      </c>
      <c r="K103" s="23">
        <v>91.787709497206706</v>
      </c>
      <c r="L103" s="23">
        <v>8.2122905027932962</v>
      </c>
      <c r="M103" s="23">
        <v>80.323193916349808</v>
      </c>
      <c r="N103" s="23">
        <v>19.676806083650188</v>
      </c>
      <c r="O103" s="23">
        <v>91.404594021715624</v>
      </c>
      <c r="P103" s="23">
        <v>8.5954059782843792</v>
      </c>
    </row>
    <row r="104" spans="1:16">
      <c r="A104" s="11" t="s">
        <v>32</v>
      </c>
      <c r="B104" s="12">
        <v>2010</v>
      </c>
      <c r="C104" s="23">
        <v>90.6642259414226</v>
      </c>
      <c r="D104" s="23">
        <v>9.3357740585774067</v>
      </c>
      <c r="E104" s="23">
        <v>96.662561576354676</v>
      </c>
      <c r="F104" s="23">
        <v>3.3374384236453203</v>
      </c>
      <c r="G104" s="21" t="s">
        <v>35</v>
      </c>
      <c r="H104" s="21" t="s">
        <v>35</v>
      </c>
      <c r="I104" s="23">
        <v>98.307422266800401</v>
      </c>
      <c r="J104" s="23">
        <v>1.6925777331995988</v>
      </c>
      <c r="K104" s="23">
        <v>99.430199430199423</v>
      </c>
      <c r="L104" s="23">
        <v>0.56980056980056981</v>
      </c>
      <c r="M104" s="23">
        <v>91.290824261275276</v>
      </c>
      <c r="N104" s="23">
        <v>8.7091757387247277</v>
      </c>
      <c r="O104" s="23">
        <v>96.07439992349623</v>
      </c>
      <c r="P104" s="23">
        <v>3.9256000765037777</v>
      </c>
    </row>
    <row r="105" spans="1:16">
      <c r="A105" s="11" t="s">
        <v>33</v>
      </c>
      <c r="B105" s="12">
        <v>2010</v>
      </c>
      <c r="C105" s="23">
        <v>90.694263363754885</v>
      </c>
      <c r="D105" s="23">
        <v>9.3057366362451113</v>
      </c>
      <c r="E105" s="23">
        <v>95.899482129213013</v>
      </c>
      <c r="F105" s="23">
        <v>4.1005178707869936</v>
      </c>
      <c r="G105" s="21" t="s">
        <v>35</v>
      </c>
      <c r="H105" s="21" t="s">
        <v>35</v>
      </c>
      <c r="I105" s="23">
        <v>97.813688212927758</v>
      </c>
      <c r="J105" s="23">
        <v>2.1863117870722433</v>
      </c>
      <c r="K105" s="23">
        <v>98.354525056095738</v>
      </c>
      <c r="L105" s="23">
        <v>1.6454749439042633</v>
      </c>
      <c r="M105" s="23">
        <v>90.104166666666657</v>
      </c>
      <c r="N105" s="23">
        <v>9.8958333333333321</v>
      </c>
      <c r="O105" s="23">
        <v>95.375369584779534</v>
      </c>
      <c r="P105" s="23">
        <v>4.6246304152204658</v>
      </c>
    </row>
    <row r="106" spans="1:16">
      <c r="A106" s="14" t="s">
        <v>34</v>
      </c>
      <c r="B106" s="15">
        <v>2010</v>
      </c>
      <c r="C106" s="20">
        <v>88.489388264669174</v>
      </c>
      <c r="D106" s="20">
        <v>11.510611735330837</v>
      </c>
      <c r="E106" s="20">
        <v>94.471647926490149</v>
      </c>
      <c r="F106" s="20">
        <v>5.5283520735098541</v>
      </c>
      <c r="G106" s="22" t="s">
        <v>35</v>
      </c>
      <c r="H106" s="22" t="s">
        <v>35</v>
      </c>
      <c r="I106" s="20">
        <v>97.186073059360737</v>
      </c>
      <c r="J106" s="20">
        <v>2.8139269406392695</v>
      </c>
      <c r="K106" s="20">
        <v>95.088907705334464</v>
      </c>
      <c r="L106" s="20">
        <v>4.9110922946655373</v>
      </c>
      <c r="M106" s="20">
        <v>86.320369866739185</v>
      </c>
      <c r="N106" s="20">
        <v>13.679630133260812</v>
      </c>
      <c r="O106" s="20">
        <v>94.171484142849422</v>
      </c>
      <c r="P106" s="20">
        <v>5.8285158571505757</v>
      </c>
    </row>
    <row r="107" spans="1:16">
      <c r="A107" s="11" t="s">
        <v>30</v>
      </c>
      <c r="B107" s="12">
        <v>2005</v>
      </c>
      <c r="C107" s="19">
        <v>86.913463805706201</v>
      </c>
      <c r="D107" s="19">
        <v>13.086536194293799</v>
      </c>
      <c r="E107" s="19">
        <v>93.560314281312586</v>
      </c>
      <c r="F107" s="19">
        <v>6.4396857186874126</v>
      </c>
      <c r="G107" s="21" t="s">
        <v>35</v>
      </c>
      <c r="H107" s="21" t="s">
        <v>35</v>
      </c>
      <c r="I107" s="19">
        <v>96.894803548795949</v>
      </c>
      <c r="J107" s="19">
        <v>3.1051964512040557</v>
      </c>
      <c r="K107" s="19">
        <v>93.974820143884898</v>
      </c>
      <c r="L107" s="19">
        <v>6.0251798561151082</v>
      </c>
      <c r="M107" s="19">
        <v>82.465462274176403</v>
      </c>
      <c r="N107" s="19">
        <v>17.534537725823593</v>
      </c>
      <c r="O107" s="19">
        <v>92.663769178404991</v>
      </c>
      <c r="P107" s="19">
        <v>7.3362308215950147</v>
      </c>
    </row>
    <row r="108" spans="1:16">
      <c r="A108" s="11" t="s">
        <v>31</v>
      </c>
      <c r="B108" s="12">
        <v>2005</v>
      </c>
      <c r="C108" s="19">
        <v>85.288440917864037</v>
      </c>
      <c r="D108" s="19">
        <v>14.711559082135963</v>
      </c>
      <c r="E108" s="19">
        <v>90.760604583130174</v>
      </c>
      <c r="F108" s="19">
        <v>9.2393954168698187</v>
      </c>
      <c r="G108" s="21" t="s">
        <v>35</v>
      </c>
      <c r="H108" s="21" t="s">
        <v>35</v>
      </c>
      <c r="I108" s="19">
        <v>94.035594035594045</v>
      </c>
      <c r="J108" s="19">
        <v>5.9644059644059642</v>
      </c>
      <c r="K108" s="19">
        <v>91.464891041162232</v>
      </c>
      <c r="L108" s="19">
        <v>8.5351089588377729</v>
      </c>
      <c r="M108" s="19">
        <v>77.061469265367322</v>
      </c>
      <c r="N108" s="19">
        <v>22.938530734632685</v>
      </c>
      <c r="O108" s="19">
        <v>90.123712193305465</v>
      </c>
      <c r="P108" s="19">
        <v>9.8762878066945259</v>
      </c>
    </row>
    <row r="109" spans="1:16">
      <c r="A109" s="11" t="s">
        <v>32</v>
      </c>
      <c r="B109" s="12">
        <v>2005</v>
      </c>
      <c r="C109" s="19">
        <v>90.577507598784194</v>
      </c>
      <c r="D109" s="19">
        <v>9.4224924012158056</v>
      </c>
      <c r="E109" s="19">
        <v>96.638340414896277</v>
      </c>
      <c r="F109" s="19">
        <v>3.3616595851037241</v>
      </c>
      <c r="G109" s="21" t="s">
        <v>35</v>
      </c>
      <c r="H109" s="21" t="s">
        <v>35</v>
      </c>
      <c r="I109" s="19">
        <v>98.081991215226935</v>
      </c>
      <c r="J109" s="19">
        <v>1.91800878477306</v>
      </c>
      <c r="K109" s="19">
        <v>100</v>
      </c>
      <c r="L109" s="24" t="s">
        <v>35</v>
      </c>
      <c r="M109" s="19">
        <v>85.654450261780099</v>
      </c>
      <c r="N109" s="19">
        <v>14.345549738219896</v>
      </c>
      <c r="O109" s="19">
        <v>95.095870206489678</v>
      </c>
      <c r="P109" s="19">
        <v>4.9041297935103243</v>
      </c>
    </row>
    <row r="110" spans="1:16">
      <c r="A110" s="11" t="s">
        <v>33</v>
      </c>
      <c r="B110" s="12">
        <v>2005</v>
      </c>
      <c r="C110" s="19">
        <v>92.082011780697783</v>
      </c>
      <c r="D110" s="19">
        <v>7.9179882193022202</v>
      </c>
      <c r="E110" s="19">
        <v>96.033129904097649</v>
      </c>
      <c r="F110" s="19">
        <v>3.9668700959023542</v>
      </c>
      <c r="G110" s="21" t="s">
        <v>35</v>
      </c>
      <c r="H110" s="21" t="s">
        <v>35</v>
      </c>
      <c r="I110" s="19">
        <v>97.395491354782223</v>
      </c>
      <c r="J110" s="19">
        <v>2.6045086452177721</v>
      </c>
      <c r="K110" s="19">
        <v>96.677215189873422</v>
      </c>
      <c r="L110" s="19">
        <v>3.3227848101265818</v>
      </c>
      <c r="M110" s="19">
        <v>86.965699208443269</v>
      </c>
      <c r="N110" s="19">
        <v>13.034300791556728</v>
      </c>
      <c r="O110" s="19">
        <v>94.842767295597483</v>
      </c>
      <c r="P110" s="19">
        <v>5.1572327044025164</v>
      </c>
    </row>
    <row r="111" spans="1:16">
      <c r="A111" s="14" t="s">
        <v>34</v>
      </c>
      <c r="B111" s="15">
        <v>2005</v>
      </c>
      <c r="C111" s="20">
        <v>89.423365487674161</v>
      </c>
      <c r="D111" s="20">
        <v>10.57663451232583</v>
      </c>
      <c r="E111" s="20">
        <v>94.43907864313519</v>
      </c>
      <c r="F111" s="20">
        <v>5.560921356864811</v>
      </c>
      <c r="G111" s="22" t="s">
        <v>35</v>
      </c>
      <c r="H111" s="22" t="s">
        <v>35</v>
      </c>
      <c r="I111" s="20">
        <v>96.53222643482809</v>
      </c>
      <c r="J111" s="20">
        <v>3.4677735651719179</v>
      </c>
      <c r="K111" s="20">
        <v>94.244935543278089</v>
      </c>
      <c r="L111" s="20">
        <v>5.7550644567219154</v>
      </c>
      <c r="M111" s="20">
        <v>83.317073170731703</v>
      </c>
      <c r="N111" s="20">
        <v>16.682926829268293</v>
      </c>
      <c r="O111" s="20">
        <v>93.303402113636139</v>
      </c>
      <c r="P111" s="20">
        <v>6.69659788636387</v>
      </c>
    </row>
  </sheetData>
  <mergeCells count="20">
    <mergeCell ref="K58:L58"/>
    <mergeCell ref="M58:N58"/>
    <mergeCell ref="O58:P58"/>
    <mergeCell ref="C60:P60"/>
    <mergeCell ref="K2:L2"/>
    <mergeCell ref="M2:N2"/>
    <mergeCell ref="O2:P2"/>
    <mergeCell ref="C4:P4"/>
    <mergeCell ref="I58:J58"/>
    <mergeCell ref="I2:J2"/>
    <mergeCell ref="A58:A60"/>
    <mergeCell ref="B58:B60"/>
    <mergeCell ref="C58:D58"/>
    <mergeCell ref="E58:F58"/>
    <mergeCell ref="G58:H58"/>
    <mergeCell ref="A2:A4"/>
    <mergeCell ref="B2:B4"/>
    <mergeCell ref="C2:D2"/>
    <mergeCell ref="E2:F2"/>
    <mergeCell ref="G2:H2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U158"/>
  <sheetViews>
    <sheetView workbookViewId="0"/>
  </sheetViews>
  <sheetFormatPr baseColWidth="10" defaultRowHeight="15"/>
  <cols>
    <col min="1" max="1" width="49.5703125" customWidth="1"/>
  </cols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60</v>
      </c>
      <c r="T14" t="s">
        <v>60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899056</v>
      </c>
      <c r="C28" s="43">
        <v>3336</v>
      </c>
      <c r="D28" s="43">
        <v>77674</v>
      </c>
      <c r="E28" s="43">
        <v>77804</v>
      </c>
      <c r="F28" s="43">
        <v>74967</v>
      </c>
      <c r="G28" s="43">
        <v>76876</v>
      </c>
      <c r="H28" s="43">
        <v>82805</v>
      </c>
      <c r="I28" s="43">
        <v>84662</v>
      </c>
      <c r="J28" s="43">
        <v>87541</v>
      </c>
      <c r="K28" s="72">
        <v>91658</v>
      </c>
      <c r="L28" s="43">
        <v>91153</v>
      </c>
      <c r="M28" s="43">
        <v>51667</v>
      </c>
      <c r="N28" s="43">
        <v>557</v>
      </c>
      <c r="O28" s="43">
        <v>31385</v>
      </c>
      <c r="P28" s="43">
        <v>33017</v>
      </c>
      <c r="Q28" s="43">
        <v>30729</v>
      </c>
      <c r="R28" s="43">
        <v>3225</v>
      </c>
      <c r="T28" s="43" t="s">
        <v>40</v>
      </c>
      <c r="U28" s="43">
        <v>50097</v>
      </c>
      <c r="V28" s="43">
        <v>445</v>
      </c>
      <c r="W28" s="43">
        <v>4688</v>
      </c>
      <c r="X28" s="43">
        <v>4726</v>
      </c>
      <c r="Y28" s="43">
        <v>4589</v>
      </c>
      <c r="Z28" s="43">
        <v>4512</v>
      </c>
      <c r="AA28" s="43">
        <v>3802</v>
      </c>
      <c r="AB28" s="43">
        <v>4188</v>
      </c>
      <c r="AC28" s="43">
        <v>5049</v>
      </c>
      <c r="AD28" s="72">
        <v>5502</v>
      </c>
      <c r="AE28" s="43">
        <v>5224</v>
      </c>
      <c r="AF28" s="43">
        <v>3733</v>
      </c>
      <c r="AG28" s="43">
        <v>498</v>
      </c>
      <c r="AH28" s="43">
        <v>1082</v>
      </c>
      <c r="AI28" s="43">
        <v>1066</v>
      </c>
      <c r="AJ28" s="43">
        <v>891</v>
      </c>
      <c r="AK28" s="43">
        <v>102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3255</v>
      </c>
      <c r="C30" s="43">
        <v>3255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432</v>
      </c>
      <c r="V30" s="43">
        <v>432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293000</v>
      </c>
      <c r="C31" s="43" t="s">
        <v>35</v>
      </c>
      <c r="D31" s="43">
        <v>72976</v>
      </c>
      <c r="E31" s="43">
        <v>74648</v>
      </c>
      <c r="F31" s="43">
        <v>71822</v>
      </c>
      <c r="G31" s="43">
        <v>73458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96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17602</v>
      </c>
      <c r="V31" s="43" t="s">
        <v>35</v>
      </c>
      <c r="W31" s="43">
        <v>4360</v>
      </c>
      <c r="X31" s="43">
        <v>4523</v>
      </c>
      <c r="Y31" s="43">
        <v>4359</v>
      </c>
      <c r="Z31" s="43">
        <v>4269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91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69303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5788</v>
      </c>
      <c r="I33" s="43">
        <v>9730</v>
      </c>
      <c r="J33" s="43">
        <v>12378</v>
      </c>
      <c r="K33" s="72">
        <v>14689</v>
      </c>
      <c r="L33" s="43">
        <v>15284</v>
      </c>
      <c r="M33" s="43">
        <v>11001</v>
      </c>
      <c r="N33" s="43">
        <v>433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8124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560</v>
      </c>
      <c r="AB33" s="43">
        <v>997</v>
      </c>
      <c r="AC33" s="43">
        <v>1433</v>
      </c>
      <c r="AD33" s="72">
        <v>1712</v>
      </c>
      <c r="AE33" s="43">
        <v>1772</v>
      </c>
      <c r="AF33" s="43">
        <v>1269</v>
      </c>
      <c r="AG33" s="43">
        <v>381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161152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17589</v>
      </c>
      <c r="I35" s="43">
        <v>25510</v>
      </c>
      <c r="J35" s="43">
        <v>27794</v>
      </c>
      <c r="K35" s="72">
        <v>30920</v>
      </c>
      <c r="L35" s="43">
        <v>30573</v>
      </c>
      <c r="M35" s="43">
        <v>28766</v>
      </c>
      <c r="N35" s="43" t="s">
        <v>35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9101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938</v>
      </c>
      <c r="AB35" s="43">
        <v>1440</v>
      </c>
      <c r="AC35" s="43">
        <v>1696</v>
      </c>
      <c r="AD35" s="72">
        <v>1767</v>
      </c>
      <c r="AE35" s="43">
        <v>1640</v>
      </c>
      <c r="AF35" s="43">
        <v>1620</v>
      </c>
      <c r="AG35" s="43" t="s">
        <v>35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8236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8236</v>
      </c>
      <c r="I36" s="43" t="s">
        <v>35</v>
      </c>
      <c r="J36" s="43" t="s">
        <v>35</v>
      </c>
      <c r="K36" s="72" t="s">
        <v>35</v>
      </c>
      <c r="L36" s="43" t="s">
        <v>35</v>
      </c>
      <c r="M36" s="43" t="s">
        <v>35</v>
      </c>
      <c r="N36" s="43" t="s">
        <v>35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339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339</v>
      </c>
      <c r="AB36" s="43" t="s">
        <v>35</v>
      </c>
      <c r="AC36" s="43" t="s">
        <v>35</v>
      </c>
      <c r="AD36" s="72" t="s">
        <v>35</v>
      </c>
      <c r="AE36" s="43" t="s">
        <v>35</v>
      </c>
      <c r="AF36" s="43" t="s">
        <v>35</v>
      </c>
      <c r="AG36" s="43" t="s">
        <v>35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233342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29334</v>
      </c>
      <c r="I37" s="43">
        <v>30384</v>
      </c>
      <c r="J37" s="43">
        <v>30593</v>
      </c>
      <c r="K37" s="72">
        <v>30889</v>
      </c>
      <c r="L37" s="43">
        <v>30717</v>
      </c>
      <c r="M37" s="43" t="s">
        <v>35</v>
      </c>
      <c r="N37" s="43" t="s">
        <v>35</v>
      </c>
      <c r="O37" s="43">
        <v>29437</v>
      </c>
      <c r="P37" s="43">
        <v>26844</v>
      </c>
      <c r="Q37" s="43">
        <v>25144</v>
      </c>
      <c r="R37" s="43" t="s">
        <v>35</v>
      </c>
      <c r="T37" s="43" t="s">
        <v>82</v>
      </c>
      <c r="U37" s="43">
        <v>6791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772</v>
      </c>
      <c r="AB37" s="43">
        <v>819</v>
      </c>
      <c r="AC37" s="43">
        <v>875</v>
      </c>
      <c r="AD37" s="72">
        <v>963</v>
      </c>
      <c r="AE37" s="43">
        <v>862</v>
      </c>
      <c r="AF37" s="43" t="s">
        <v>35</v>
      </c>
      <c r="AG37" s="43" t="s">
        <v>35</v>
      </c>
      <c r="AH37" s="43">
        <v>1015</v>
      </c>
      <c r="AI37" s="43">
        <v>789</v>
      </c>
      <c r="AJ37" s="43">
        <v>696</v>
      </c>
      <c r="AK37" s="43" t="s">
        <v>35</v>
      </c>
      <c r="AU37" s="49"/>
    </row>
    <row r="38" spans="1:47" ht="45">
      <c r="A38" s="43" t="s">
        <v>83</v>
      </c>
      <c r="B38" s="43">
        <v>52443</v>
      </c>
      <c r="C38" s="43">
        <v>17</v>
      </c>
      <c r="D38" s="43">
        <v>814</v>
      </c>
      <c r="E38" s="43">
        <v>834</v>
      </c>
      <c r="F38" s="43">
        <v>869</v>
      </c>
      <c r="G38" s="43">
        <v>843</v>
      </c>
      <c r="H38" s="43">
        <v>9944</v>
      </c>
      <c r="I38" s="43">
        <v>9405</v>
      </c>
      <c r="J38" s="43">
        <v>6941</v>
      </c>
      <c r="K38" s="72">
        <v>4954</v>
      </c>
      <c r="L38" s="43">
        <v>4730</v>
      </c>
      <c r="M38" s="43">
        <v>4505</v>
      </c>
      <c r="N38" s="43" t="s">
        <v>35</v>
      </c>
      <c r="O38" s="43" t="s">
        <v>35</v>
      </c>
      <c r="P38" s="43">
        <v>3119</v>
      </c>
      <c r="Q38" s="43">
        <v>2998</v>
      </c>
      <c r="R38" s="43">
        <v>2470</v>
      </c>
      <c r="T38" s="43" t="s">
        <v>83</v>
      </c>
      <c r="U38" s="43">
        <v>2459</v>
      </c>
      <c r="V38" s="43">
        <v>7</v>
      </c>
      <c r="W38" s="43">
        <v>33</v>
      </c>
      <c r="X38" s="43">
        <v>55</v>
      </c>
      <c r="Y38" s="43">
        <v>42</v>
      </c>
      <c r="Z38" s="43">
        <v>30</v>
      </c>
      <c r="AA38" s="43">
        <v>403</v>
      </c>
      <c r="AB38" s="43">
        <v>365</v>
      </c>
      <c r="AC38" s="43">
        <v>363</v>
      </c>
      <c r="AD38" s="72">
        <v>273</v>
      </c>
      <c r="AE38" s="43">
        <v>257</v>
      </c>
      <c r="AF38" s="43">
        <v>278</v>
      </c>
      <c r="AG38" s="43" t="s">
        <v>35</v>
      </c>
      <c r="AH38" s="43" t="s">
        <v>35</v>
      </c>
      <c r="AI38" s="43">
        <v>160</v>
      </c>
      <c r="AJ38" s="43">
        <v>109</v>
      </c>
      <c r="AK38" s="43">
        <v>84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5716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761</v>
      </c>
      <c r="I40" s="43">
        <v>886</v>
      </c>
      <c r="J40" s="43">
        <v>996</v>
      </c>
      <c r="K40" s="72">
        <v>1050</v>
      </c>
      <c r="L40" s="43">
        <v>1119</v>
      </c>
      <c r="M40" s="43">
        <v>886</v>
      </c>
      <c r="N40" s="43">
        <v>18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431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40</v>
      </c>
      <c r="AB40" s="43">
        <v>59</v>
      </c>
      <c r="AC40" s="43">
        <v>68</v>
      </c>
      <c r="AD40" s="72">
        <v>77</v>
      </c>
      <c r="AE40" s="43">
        <v>86</v>
      </c>
      <c r="AF40" s="43">
        <v>85</v>
      </c>
      <c r="AG40" s="43">
        <v>16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16158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2731</v>
      </c>
      <c r="I41" s="43">
        <v>2782</v>
      </c>
      <c r="J41" s="43">
        <v>2652</v>
      </c>
      <c r="K41" s="72">
        <v>2748</v>
      </c>
      <c r="L41" s="43">
        <v>2632</v>
      </c>
      <c r="M41" s="43">
        <v>2603</v>
      </c>
      <c r="N41" s="43">
        <v>10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648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100</v>
      </c>
      <c r="AB41" s="43">
        <v>91</v>
      </c>
      <c r="AC41" s="43">
        <v>94</v>
      </c>
      <c r="AD41" s="72">
        <v>124</v>
      </c>
      <c r="AE41" s="43">
        <v>111</v>
      </c>
      <c r="AF41" s="43">
        <v>118</v>
      </c>
      <c r="AG41" s="43">
        <v>10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15301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1994</v>
      </c>
      <c r="I42" s="43">
        <v>2110</v>
      </c>
      <c r="J42" s="43">
        <v>2060</v>
      </c>
      <c r="K42" s="72">
        <v>1963</v>
      </c>
      <c r="L42" s="43">
        <v>1930</v>
      </c>
      <c r="M42" s="43" t="s">
        <v>35</v>
      </c>
      <c r="N42" s="43" t="s">
        <v>35</v>
      </c>
      <c r="O42" s="43">
        <v>1948</v>
      </c>
      <c r="P42" s="43">
        <v>1714</v>
      </c>
      <c r="Q42" s="43">
        <v>1582</v>
      </c>
      <c r="R42" s="43" t="s">
        <v>35</v>
      </c>
      <c r="T42" s="43" t="s">
        <v>87</v>
      </c>
      <c r="U42" s="43">
        <v>364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32</v>
      </c>
      <c r="AB42" s="43">
        <v>35</v>
      </c>
      <c r="AC42" s="43">
        <v>52</v>
      </c>
      <c r="AD42" s="72">
        <v>35</v>
      </c>
      <c r="AE42" s="43">
        <v>47</v>
      </c>
      <c r="AF42" s="43" t="s">
        <v>35</v>
      </c>
      <c r="AG42" s="43" t="s">
        <v>35</v>
      </c>
      <c r="AH42" s="43">
        <v>67</v>
      </c>
      <c r="AI42" s="43">
        <v>48</v>
      </c>
      <c r="AJ42" s="43">
        <v>48</v>
      </c>
      <c r="AK42" s="43" t="s">
        <v>35</v>
      </c>
      <c r="AU42" s="49"/>
    </row>
    <row r="43" spans="1:47" ht="75">
      <c r="A43" s="43" t="s">
        <v>88</v>
      </c>
      <c r="B43" s="43">
        <v>4852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544</v>
      </c>
      <c r="I43" s="43">
        <v>605</v>
      </c>
      <c r="J43" s="43">
        <v>640</v>
      </c>
      <c r="K43" s="72">
        <v>707</v>
      </c>
      <c r="L43" s="43">
        <v>633</v>
      </c>
      <c r="M43" s="43">
        <v>441</v>
      </c>
      <c r="N43" s="43" t="s">
        <v>35</v>
      </c>
      <c r="O43" s="43" t="s">
        <v>35</v>
      </c>
      <c r="P43" s="43">
        <v>479</v>
      </c>
      <c r="Q43" s="43">
        <v>439</v>
      </c>
      <c r="R43" s="43">
        <v>364</v>
      </c>
      <c r="T43" s="43" t="s">
        <v>88</v>
      </c>
      <c r="U43" s="43">
        <v>101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18</v>
      </c>
      <c r="AB43" s="43">
        <v>9</v>
      </c>
      <c r="AC43" s="43">
        <v>13</v>
      </c>
      <c r="AD43" s="72">
        <v>15</v>
      </c>
      <c r="AE43" s="43">
        <v>9</v>
      </c>
      <c r="AF43" s="43">
        <v>6</v>
      </c>
      <c r="AG43" s="43" t="s">
        <v>35</v>
      </c>
      <c r="AH43" s="43" t="s">
        <v>35</v>
      </c>
      <c r="AI43" s="43">
        <v>14</v>
      </c>
      <c r="AJ43" s="43">
        <v>11</v>
      </c>
      <c r="AK43" s="43">
        <v>6</v>
      </c>
      <c r="AU43" s="49"/>
    </row>
    <row r="44" spans="1:47" ht="45">
      <c r="A44" s="43" t="s">
        <v>89</v>
      </c>
      <c r="B44" s="43">
        <v>64</v>
      </c>
      <c r="C44" s="43">
        <v>64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6</v>
      </c>
      <c r="V44" s="43">
        <v>6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16884</v>
      </c>
      <c r="C45" s="43" t="s">
        <v>35</v>
      </c>
      <c r="D45" s="43">
        <v>464</v>
      </c>
      <c r="E45" s="43">
        <v>612</v>
      </c>
      <c r="F45" s="43">
        <v>1008</v>
      </c>
      <c r="G45" s="43">
        <v>1472</v>
      </c>
      <c r="H45" s="43">
        <v>1896</v>
      </c>
      <c r="I45" s="43">
        <v>2310</v>
      </c>
      <c r="J45" s="43">
        <v>2571</v>
      </c>
      <c r="K45" s="72">
        <v>2836</v>
      </c>
      <c r="L45" s="43">
        <v>2591</v>
      </c>
      <c r="M45" s="43">
        <v>1124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2341</v>
      </c>
      <c r="V45" s="43" t="s">
        <v>35</v>
      </c>
      <c r="W45" s="43">
        <v>55</v>
      </c>
      <c r="X45" s="43">
        <v>49</v>
      </c>
      <c r="Y45" s="43">
        <v>116</v>
      </c>
      <c r="Z45" s="43">
        <v>164</v>
      </c>
      <c r="AA45" s="43">
        <v>232</v>
      </c>
      <c r="AB45" s="43">
        <v>317</v>
      </c>
      <c r="AC45" s="43">
        <v>400</v>
      </c>
      <c r="AD45" s="72">
        <v>475</v>
      </c>
      <c r="AE45" s="43">
        <v>371</v>
      </c>
      <c r="AF45" s="43">
        <v>162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7081</v>
      </c>
      <c r="C46" s="43" t="s">
        <v>35</v>
      </c>
      <c r="D46" s="43">
        <v>1967</v>
      </c>
      <c r="E46" s="43" t="s">
        <v>35</v>
      </c>
      <c r="F46" s="43" t="s">
        <v>35</v>
      </c>
      <c r="G46" s="43" t="s">
        <v>35</v>
      </c>
      <c r="H46" s="43">
        <v>3094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2020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647</v>
      </c>
      <c r="V46" s="43" t="s">
        <v>35</v>
      </c>
      <c r="W46" s="43">
        <v>156</v>
      </c>
      <c r="X46" s="43" t="s">
        <v>35</v>
      </c>
      <c r="Y46" s="43" t="s">
        <v>35</v>
      </c>
      <c r="Z46" s="43" t="s">
        <v>35</v>
      </c>
      <c r="AA46" s="43">
        <v>319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172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10451</v>
      </c>
      <c r="C47" s="43" t="s">
        <v>35</v>
      </c>
      <c r="D47" s="43">
        <v>1453</v>
      </c>
      <c r="E47" s="43">
        <v>1710</v>
      </c>
      <c r="F47" s="43">
        <v>1268</v>
      </c>
      <c r="G47" s="43">
        <v>1103</v>
      </c>
      <c r="H47" s="43">
        <v>894</v>
      </c>
      <c r="I47" s="43">
        <v>940</v>
      </c>
      <c r="J47" s="43">
        <v>916</v>
      </c>
      <c r="K47" s="72">
        <v>902</v>
      </c>
      <c r="L47" s="43">
        <v>944</v>
      </c>
      <c r="M47" s="43">
        <v>321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617</v>
      </c>
      <c r="V47" s="43" t="s">
        <v>35</v>
      </c>
      <c r="W47" s="43">
        <v>84</v>
      </c>
      <c r="X47" s="43">
        <v>99</v>
      </c>
      <c r="Y47" s="43">
        <v>72</v>
      </c>
      <c r="Z47" s="43">
        <v>49</v>
      </c>
      <c r="AA47" s="43">
        <v>49</v>
      </c>
      <c r="AB47" s="43">
        <v>56</v>
      </c>
      <c r="AC47" s="43">
        <v>55</v>
      </c>
      <c r="AD47" s="72">
        <v>61</v>
      </c>
      <c r="AE47" s="43">
        <v>69</v>
      </c>
      <c r="AF47" s="43">
        <v>23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867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433</v>
      </c>
      <c r="Q48" s="43">
        <v>262</v>
      </c>
      <c r="R48" s="43">
        <v>172</v>
      </c>
      <c r="T48" s="43" t="s">
        <v>93</v>
      </c>
      <c r="U48" s="43">
        <v>42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22</v>
      </c>
      <c r="AJ48" s="43">
        <v>14</v>
      </c>
      <c r="AK48" s="43">
        <v>6</v>
      </c>
      <c r="AU48" s="49"/>
    </row>
    <row r="49" spans="1:47">
      <c r="A49" s="43" t="s">
        <v>94</v>
      </c>
      <c r="B49" s="43">
        <v>951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428</v>
      </c>
      <c r="Q49" s="43">
        <v>304</v>
      </c>
      <c r="R49" s="43">
        <v>219</v>
      </c>
      <c r="T49" s="43" t="s">
        <v>94</v>
      </c>
      <c r="U49" s="43">
        <v>52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33</v>
      </c>
      <c r="AJ49" s="43">
        <v>13</v>
      </c>
      <c r="AK49" s="43">
        <v>6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170757</v>
      </c>
      <c r="C52" s="43">
        <v>635</v>
      </c>
      <c r="D52" s="43">
        <v>14462</v>
      </c>
      <c r="E52" s="43">
        <v>14240</v>
      </c>
      <c r="F52" s="43">
        <v>13733</v>
      </c>
      <c r="G52" s="43">
        <v>14243</v>
      </c>
      <c r="H52" s="43">
        <v>15523</v>
      </c>
      <c r="I52" s="43">
        <v>15972</v>
      </c>
      <c r="J52" s="43">
        <v>16283</v>
      </c>
      <c r="K52" s="72">
        <v>17035</v>
      </c>
      <c r="L52" s="43">
        <v>17061</v>
      </c>
      <c r="M52" s="43">
        <v>10082</v>
      </c>
      <c r="N52" s="43">
        <v>69</v>
      </c>
      <c r="O52" s="43">
        <v>6357</v>
      </c>
      <c r="P52" s="43">
        <v>7283</v>
      </c>
      <c r="Q52" s="43">
        <v>6823</v>
      </c>
      <c r="R52" s="43">
        <v>956</v>
      </c>
      <c r="T52" s="43" t="s">
        <v>40</v>
      </c>
      <c r="U52" s="43">
        <v>10374</v>
      </c>
      <c r="V52" s="43">
        <v>97</v>
      </c>
      <c r="W52" s="43">
        <v>962</v>
      </c>
      <c r="X52" s="43">
        <v>941</v>
      </c>
      <c r="Y52" s="43">
        <v>1000</v>
      </c>
      <c r="Z52" s="43">
        <v>947</v>
      </c>
      <c r="AA52" s="43">
        <v>749</v>
      </c>
      <c r="AB52" s="43">
        <v>853</v>
      </c>
      <c r="AC52" s="43">
        <v>1028</v>
      </c>
      <c r="AD52" s="72">
        <v>1087</v>
      </c>
      <c r="AE52" s="43">
        <v>1065</v>
      </c>
      <c r="AF52" s="43">
        <v>876</v>
      </c>
      <c r="AG52" s="43">
        <v>52</v>
      </c>
      <c r="AH52" s="43">
        <v>267</v>
      </c>
      <c r="AI52" s="43">
        <v>229</v>
      </c>
      <c r="AJ52" s="43">
        <v>207</v>
      </c>
      <c r="AK52" s="43">
        <v>14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618</v>
      </c>
      <c r="C54" s="43">
        <v>618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90</v>
      </c>
      <c r="V54" s="43">
        <v>90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54047</v>
      </c>
      <c r="C55" s="43" t="s">
        <v>35</v>
      </c>
      <c r="D55" s="43">
        <v>13617</v>
      </c>
      <c r="E55" s="43">
        <v>13706</v>
      </c>
      <c r="F55" s="43">
        <v>13126</v>
      </c>
      <c r="G55" s="43">
        <v>13575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23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3644</v>
      </c>
      <c r="V55" s="43" t="s">
        <v>35</v>
      </c>
      <c r="W55" s="43">
        <v>879</v>
      </c>
      <c r="X55" s="43">
        <v>899</v>
      </c>
      <c r="Y55" s="43">
        <v>952</v>
      </c>
      <c r="Z55" s="43">
        <v>894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20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12299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1100</v>
      </c>
      <c r="I57" s="43">
        <v>1609</v>
      </c>
      <c r="J57" s="43">
        <v>2119</v>
      </c>
      <c r="K57" s="72">
        <v>2501</v>
      </c>
      <c r="L57" s="43">
        <v>2681</v>
      </c>
      <c r="M57" s="43">
        <v>2243</v>
      </c>
      <c r="N57" s="43">
        <v>46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1578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120</v>
      </c>
      <c r="AB57" s="43">
        <v>191</v>
      </c>
      <c r="AC57" s="43">
        <v>268</v>
      </c>
      <c r="AD57" s="72">
        <v>326</v>
      </c>
      <c r="AE57" s="43">
        <v>345</v>
      </c>
      <c r="AF57" s="43">
        <v>296</v>
      </c>
      <c r="AG57" s="43">
        <v>32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29255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3376</v>
      </c>
      <c r="I59" s="43">
        <v>4285</v>
      </c>
      <c r="J59" s="43">
        <v>4941</v>
      </c>
      <c r="K59" s="72">
        <v>5643</v>
      </c>
      <c r="L59" s="43">
        <v>5463</v>
      </c>
      <c r="M59" s="43">
        <v>5547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2144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218</v>
      </c>
      <c r="AB59" s="43">
        <v>327</v>
      </c>
      <c r="AC59" s="43">
        <v>410</v>
      </c>
      <c r="AD59" s="72">
        <v>399</v>
      </c>
      <c r="AE59" s="43">
        <v>367</v>
      </c>
      <c r="AF59" s="43">
        <v>423</v>
      </c>
      <c r="AG59" s="43" t="s">
        <v>35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947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947</v>
      </c>
      <c r="I60" s="43" t="s">
        <v>35</v>
      </c>
      <c r="J60" s="43" t="s">
        <v>35</v>
      </c>
      <c r="K60" s="72" t="s">
        <v>35</v>
      </c>
      <c r="L60" s="43" t="s">
        <v>35</v>
      </c>
      <c r="M60" s="43" t="s">
        <v>35</v>
      </c>
      <c r="N60" s="43" t="s">
        <v>35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24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24</v>
      </c>
      <c r="AB60" s="43" t="s">
        <v>35</v>
      </c>
      <c r="AC60" s="43" t="s">
        <v>35</v>
      </c>
      <c r="AD60" s="72" t="s">
        <v>35</v>
      </c>
      <c r="AE60" s="43" t="s">
        <v>35</v>
      </c>
      <c r="AF60" s="43" t="s">
        <v>35</v>
      </c>
      <c r="AG60" s="43" t="s">
        <v>35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49471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5998</v>
      </c>
      <c r="I61" s="43">
        <v>6240</v>
      </c>
      <c r="J61" s="43">
        <v>6332</v>
      </c>
      <c r="K61" s="72">
        <v>6427</v>
      </c>
      <c r="L61" s="43">
        <v>6464</v>
      </c>
      <c r="M61" s="43" t="s">
        <v>35</v>
      </c>
      <c r="N61" s="43" t="s">
        <v>35</v>
      </c>
      <c r="O61" s="43">
        <v>6343</v>
      </c>
      <c r="P61" s="43">
        <v>5989</v>
      </c>
      <c r="Q61" s="43">
        <v>5678</v>
      </c>
      <c r="R61" s="43" t="s">
        <v>35</v>
      </c>
      <c r="T61" s="43" t="s">
        <v>82</v>
      </c>
      <c r="U61" s="43">
        <v>1518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169</v>
      </c>
      <c r="AB61" s="43">
        <v>168</v>
      </c>
      <c r="AC61" s="43">
        <v>179</v>
      </c>
      <c r="AD61" s="72">
        <v>188</v>
      </c>
      <c r="AE61" s="43">
        <v>190</v>
      </c>
      <c r="AF61" s="43" t="s">
        <v>35</v>
      </c>
      <c r="AG61" s="43" t="s">
        <v>35</v>
      </c>
      <c r="AH61" s="43">
        <v>266</v>
      </c>
      <c r="AI61" s="43">
        <v>182</v>
      </c>
      <c r="AJ61" s="43">
        <v>176</v>
      </c>
      <c r="AK61" s="43" t="s">
        <v>35</v>
      </c>
      <c r="AU61" s="49"/>
    </row>
    <row r="62" spans="1:47" ht="45">
      <c r="A62" s="43" t="s">
        <v>83</v>
      </c>
      <c r="B62" s="43">
        <v>13061</v>
      </c>
      <c r="C62" s="43">
        <v>17</v>
      </c>
      <c r="D62" s="43">
        <v>133</v>
      </c>
      <c r="E62" s="43">
        <v>125</v>
      </c>
      <c r="F62" s="43">
        <v>155</v>
      </c>
      <c r="G62" s="43">
        <v>122</v>
      </c>
      <c r="H62" s="43">
        <v>2461</v>
      </c>
      <c r="I62" s="43">
        <v>2541</v>
      </c>
      <c r="J62" s="43">
        <v>1760</v>
      </c>
      <c r="K62" s="72">
        <v>1271</v>
      </c>
      <c r="L62" s="43">
        <v>1245</v>
      </c>
      <c r="M62" s="43">
        <v>1226</v>
      </c>
      <c r="N62" s="43" t="s">
        <v>35</v>
      </c>
      <c r="O62" s="43" t="s">
        <v>35</v>
      </c>
      <c r="P62" s="43">
        <v>732</v>
      </c>
      <c r="Q62" s="43">
        <v>695</v>
      </c>
      <c r="R62" s="43">
        <v>578</v>
      </c>
      <c r="T62" s="43" t="s">
        <v>83</v>
      </c>
      <c r="U62" s="43">
        <v>539</v>
      </c>
      <c r="V62" s="43">
        <v>7</v>
      </c>
      <c r="W62" s="43">
        <v>14</v>
      </c>
      <c r="X62" s="43">
        <v>15</v>
      </c>
      <c r="Y62" s="43">
        <v>10</v>
      </c>
      <c r="Z62" s="43">
        <v>4</v>
      </c>
      <c r="AA62" s="43">
        <v>80</v>
      </c>
      <c r="AB62" s="43">
        <v>76</v>
      </c>
      <c r="AC62" s="43">
        <v>88</v>
      </c>
      <c r="AD62" s="72">
        <v>66</v>
      </c>
      <c r="AE62" s="43">
        <v>65</v>
      </c>
      <c r="AF62" s="43">
        <v>74</v>
      </c>
      <c r="AG62" s="43" t="s">
        <v>35</v>
      </c>
      <c r="AH62" s="43" t="s">
        <v>35</v>
      </c>
      <c r="AI62" s="43">
        <v>21</v>
      </c>
      <c r="AJ62" s="43">
        <v>14</v>
      </c>
      <c r="AK62" s="43">
        <v>5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567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105</v>
      </c>
      <c r="I64" s="43">
        <v>113</v>
      </c>
      <c r="J64" s="43">
        <v>81</v>
      </c>
      <c r="K64" s="72">
        <v>94</v>
      </c>
      <c r="L64" s="43">
        <v>97</v>
      </c>
      <c r="M64" s="43">
        <v>77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17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1</v>
      </c>
      <c r="AB64" s="43">
        <v>4</v>
      </c>
      <c r="AC64" s="43" t="s">
        <v>35</v>
      </c>
      <c r="AD64" s="72">
        <v>2</v>
      </c>
      <c r="AE64" s="43">
        <v>4</v>
      </c>
      <c r="AF64" s="43">
        <v>6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1483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274</v>
      </c>
      <c r="I65" s="43">
        <v>295</v>
      </c>
      <c r="J65" s="43">
        <v>218</v>
      </c>
      <c r="K65" s="72">
        <v>237</v>
      </c>
      <c r="L65" s="43">
        <v>230</v>
      </c>
      <c r="M65" s="43">
        <v>229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32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6</v>
      </c>
      <c r="AB65" s="43">
        <v>8</v>
      </c>
      <c r="AC65" s="43">
        <v>7</v>
      </c>
      <c r="AD65" s="72" t="s">
        <v>35</v>
      </c>
      <c r="AE65" s="43">
        <v>3</v>
      </c>
      <c r="AF65" s="43">
        <v>8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294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85</v>
      </c>
      <c r="I66" s="43">
        <v>81</v>
      </c>
      <c r="J66" s="43">
        <v>34</v>
      </c>
      <c r="K66" s="72">
        <v>41</v>
      </c>
      <c r="L66" s="43">
        <v>39</v>
      </c>
      <c r="M66" s="43" t="s">
        <v>35</v>
      </c>
      <c r="N66" s="43" t="s">
        <v>35</v>
      </c>
      <c r="O66" s="43">
        <v>14</v>
      </c>
      <c r="P66" s="43" t="s">
        <v>35</v>
      </c>
      <c r="Q66" s="43" t="s">
        <v>35</v>
      </c>
      <c r="R66" s="43" t="s">
        <v>35</v>
      </c>
      <c r="T66" s="43" t="s">
        <v>87</v>
      </c>
      <c r="U66" s="43">
        <v>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1</v>
      </c>
      <c r="AC66" s="43">
        <v>1</v>
      </c>
      <c r="AD66" s="72">
        <v>1</v>
      </c>
      <c r="AE66" s="43" t="s">
        <v>35</v>
      </c>
      <c r="AF66" s="43" t="s">
        <v>35</v>
      </c>
      <c r="AG66" s="43" t="s">
        <v>35</v>
      </c>
      <c r="AH66" s="43">
        <v>1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1779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164</v>
      </c>
      <c r="I67" s="43">
        <v>191</v>
      </c>
      <c r="J67" s="43">
        <v>190</v>
      </c>
      <c r="K67" s="72">
        <v>196</v>
      </c>
      <c r="L67" s="43">
        <v>221</v>
      </c>
      <c r="M67" s="43">
        <v>148</v>
      </c>
      <c r="N67" s="43" t="s">
        <v>35</v>
      </c>
      <c r="O67" s="43" t="s">
        <v>35</v>
      </c>
      <c r="P67" s="43">
        <v>232</v>
      </c>
      <c r="Q67" s="43">
        <v>228</v>
      </c>
      <c r="R67" s="43">
        <v>209</v>
      </c>
      <c r="T67" s="43" t="s">
        <v>88</v>
      </c>
      <c r="U67" s="43">
        <v>28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2</v>
      </c>
      <c r="AB67" s="43">
        <v>1</v>
      </c>
      <c r="AC67" s="43">
        <v>1</v>
      </c>
      <c r="AD67" s="72" t="s">
        <v>35</v>
      </c>
      <c r="AE67" s="43">
        <v>2</v>
      </c>
      <c r="AF67" s="43" t="s">
        <v>35</v>
      </c>
      <c r="AG67" s="43" t="s">
        <v>35</v>
      </c>
      <c r="AH67" s="43" t="s">
        <v>35</v>
      </c>
      <c r="AI67" s="43">
        <v>5</v>
      </c>
      <c r="AJ67" s="43">
        <v>11</v>
      </c>
      <c r="AK67" s="43">
        <v>6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2880</v>
      </c>
      <c r="C69" s="43" t="s">
        <v>35</v>
      </c>
      <c r="D69" s="43">
        <v>75</v>
      </c>
      <c r="E69" s="43">
        <v>94</v>
      </c>
      <c r="F69" s="43">
        <v>185</v>
      </c>
      <c r="G69" s="43">
        <v>282</v>
      </c>
      <c r="H69" s="43">
        <v>304</v>
      </c>
      <c r="I69" s="43">
        <v>415</v>
      </c>
      <c r="J69" s="43">
        <v>436</v>
      </c>
      <c r="K69" s="72">
        <v>476</v>
      </c>
      <c r="L69" s="43">
        <v>425</v>
      </c>
      <c r="M69" s="43">
        <v>188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453</v>
      </c>
      <c r="V69" s="43" t="s">
        <v>35</v>
      </c>
      <c r="W69" s="43">
        <v>10</v>
      </c>
      <c r="X69" s="43">
        <v>11</v>
      </c>
      <c r="Y69" s="43">
        <v>23</v>
      </c>
      <c r="Z69" s="43">
        <v>37</v>
      </c>
      <c r="AA69" s="43">
        <v>42</v>
      </c>
      <c r="AB69" s="43">
        <v>65</v>
      </c>
      <c r="AC69" s="43">
        <v>65</v>
      </c>
      <c r="AD69" s="72">
        <v>93</v>
      </c>
      <c r="AE69" s="43">
        <v>81</v>
      </c>
      <c r="AF69" s="43">
        <v>26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1326</v>
      </c>
      <c r="C70" s="43" t="s">
        <v>35</v>
      </c>
      <c r="D70" s="43">
        <v>392</v>
      </c>
      <c r="E70" s="43" t="s">
        <v>35</v>
      </c>
      <c r="F70" s="43" t="s">
        <v>35</v>
      </c>
      <c r="G70" s="43" t="s">
        <v>35</v>
      </c>
      <c r="H70" s="43">
        <v>537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397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166</v>
      </c>
      <c r="V70" s="43" t="s">
        <v>35</v>
      </c>
      <c r="W70" s="43">
        <v>43</v>
      </c>
      <c r="X70" s="43" t="s">
        <v>35</v>
      </c>
      <c r="Y70" s="43" t="s">
        <v>35</v>
      </c>
      <c r="Z70" s="43" t="s">
        <v>35</v>
      </c>
      <c r="AA70" s="43">
        <v>81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42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2009</v>
      </c>
      <c r="C71" s="43" t="s">
        <v>35</v>
      </c>
      <c r="D71" s="43">
        <v>245</v>
      </c>
      <c r="E71" s="43">
        <v>315</v>
      </c>
      <c r="F71" s="43">
        <v>267</v>
      </c>
      <c r="G71" s="43">
        <v>264</v>
      </c>
      <c r="H71" s="43">
        <v>172</v>
      </c>
      <c r="I71" s="43">
        <v>202</v>
      </c>
      <c r="J71" s="43">
        <v>172</v>
      </c>
      <c r="K71" s="72">
        <v>149</v>
      </c>
      <c r="L71" s="43">
        <v>196</v>
      </c>
      <c r="M71" s="43">
        <v>27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107</v>
      </c>
      <c r="V71" s="43" t="s">
        <v>35</v>
      </c>
      <c r="W71" s="43">
        <v>16</v>
      </c>
      <c r="X71" s="43">
        <v>16</v>
      </c>
      <c r="Y71" s="43">
        <v>15</v>
      </c>
      <c r="Z71" s="43">
        <v>12</v>
      </c>
      <c r="AA71" s="43">
        <v>6</v>
      </c>
      <c r="AB71" s="43">
        <v>12</v>
      </c>
      <c r="AC71" s="43">
        <v>9</v>
      </c>
      <c r="AD71" s="72">
        <v>12</v>
      </c>
      <c r="AE71" s="43">
        <v>8</v>
      </c>
      <c r="AF71" s="43">
        <v>1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321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168</v>
      </c>
      <c r="Q72" s="43">
        <v>87</v>
      </c>
      <c r="R72" s="43">
        <v>66</v>
      </c>
      <c r="T72" s="43" t="s">
        <v>93</v>
      </c>
      <c r="U72" s="43">
        <v>13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10</v>
      </c>
      <c r="AJ72" s="43">
        <v>2</v>
      </c>
      <c r="AK72" s="43">
        <v>1</v>
      </c>
      <c r="AU72" s="49"/>
    </row>
    <row r="73" spans="1:47">
      <c r="A73" s="43" t="s">
        <v>94</v>
      </c>
      <c r="B73" s="43">
        <v>400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162</v>
      </c>
      <c r="Q73" s="43">
        <v>135</v>
      </c>
      <c r="R73" s="43">
        <v>103</v>
      </c>
      <c r="T73" s="43" t="s">
        <v>94</v>
      </c>
      <c r="U73" s="43">
        <v>17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11</v>
      </c>
      <c r="AJ73" s="43">
        <v>4</v>
      </c>
      <c r="AK73" s="43">
        <v>2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232256</v>
      </c>
      <c r="C76" s="43">
        <v>810</v>
      </c>
      <c r="D76" s="43">
        <v>20066</v>
      </c>
      <c r="E76" s="43">
        <v>19843</v>
      </c>
      <c r="F76" s="43">
        <v>19182</v>
      </c>
      <c r="G76" s="43">
        <v>19443</v>
      </c>
      <c r="H76" s="43">
        <v>20868</v>
      </c>
      <c r="I76" s="43">
        <v>21057</v>
      </c>
      <c r="J76" s="43">
        <v>22392</v>
      </c>
      <c r="K76" s="72">
        <v>23135</v>
      </c>
      <c r="L76" s="43">
        <v>22843</v>
      </c>
      <c r="M76" s="43">
        <v>12852</v>
      </c>
      <c r="N76" s="43">
        <v>212</v>
      </c>
      <c r="O76" s="43">
        <v>8887</v>
      </c>
      <c r="P76" s="43">
        <v>10005</v>
      </c>
      <c r="Q76" s="43">
        <v>9466</v>
      </c>
      <c r="R76" s="43">
        <v>1195</v>
      </c>
      <c r="T76" s="43" t="s">
        <v>40</v>
      </c>
      <c r="U76" s="43">
        <v>18226</v>
      </c>
      <c r="V76" s="43">
        <v>136</v>
      </c>
      <c r="W76" s="43">
        <v>1617</v>
      </c>
      <c r="X76" s="43">
        <v>1612</v>
      </c>
      <c r="Y76" s="43">
        <v>1528</v>
      </c>
      <c r="Z76" s="43">
        <v>1528</v>
      </c>
      <c r="AA76" s="43">
        <v>1338</v>
      </c>
      <c r="AB76" s="43">
        <v>1500</v>
      </c>
      <c r="AC76" s="43">
        <v>1849</v>
      </c>
      <c r="AD76" s="72">
        <v>1988</v>
      </c>
      <c r="AE76" s="43">
        <v>1917</v>
      </c>
      <c r="AF76" s="43">
        <v>1391</v>
      </c>
      <c r="AG76" s="43">
        <v>187</v>
      </c>
      <c r="AH76" s="43">
        <v>498</v>
      </c>
      <c r="AI76" s="43">
        <v>598</v>
      </c>
      <c r="AJ76" s="43">
        <v>465</v>
      </c>
      <c r="AK76" s="43">
        <v>74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752</v>
      </c>
      <c r="C78" s="43">
        <v>752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132</v>
      </c>
      <c r="V78" s="43">
        <v>132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74100</v>
      </c>
      <c r="C79" s="43" t="s">
        <v>35</v>
      </c>
      <c r="D79" s="43">
        <v>18662</v>
      </c>
      <c r="E79" s="43">
        <v>18857</v>
      </c>
      <c r="F79" s="43">
        <v>18175</v>
      </c>
      <c r="G79" s="43">
        <v>18393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13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5899</v>
      </c>
      <c r="V79" s="43" t="s">
        <v>35</v>
      </c>
      <c r="W79" s="43">
        <v>1498</v>
      </c>
      <c r="X79" s="43">
        <v>1521</v>
      </c>
      <c r="Y79" s="43">
        <v>1433</v>
      </c>
      <c r="Z79" s="43">
        <v>1434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13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13113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853</v>
      </c>
      <c r="I81" s="43">
        <v>1613</v>
      </c>
      <c r="J81" s="43">
        <v>2341</v>
      </c>
      <c r="K81" s="72">
        <v>2844</v>
      </c>
      <c r="L81" s="43">
        <v>2993</v>
      </c>
      <c r="M81" s="43">
        <v>2298</v>
      </c>
      <c r="N81" s="43">
        <v>171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2222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86</v>
      </c>
      <c r="AB81" s="43">
        <v>234</v>
      </c>
      <c r="AC81" s="43">
        <v>378</v>
      </c>
      <c r="AD81" s="72">
        <v>458</v>
      </c>
      <c r="AE81" s="43">
        <v>509</v>
      </c>
      <c r="AF81" s="43">
        <v>409</v>
      </c>
      <c r="AG81" s="43">
        <v>148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32777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3362</v>
      </c>
      <c r="I83" s="43">
        <v>4782</v>
      </c>
      <c r="J83" s="43">
        <v>5472</v>
      </c>
      <c r="K83" s="72">
        <v>6613</v>
      </c>
      <c r="L83" s="43">
        <v>6453</v>
      </c>
      <c r="M83" s="43">
        <v>6095</v>
      </c>
      <c r="N83" s="43" t="s">
        <v>35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3019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288</v>
      </c>
      <c r="AB83" s="43">
        <v>456</v>
      </c>
      <c r="AC83" s="43">
        <v>545</v>
      </c>
      <c r="AD83" s="72">
        <v>597</v>
      </c>
      <c r="AE83" s="43">
        <v>580</v>
      </c>
      <c r="AF83" s="43">
        <v>553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1446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1446</v>
      </c>
      <c r="I84" s="43" t="s">
        <v>35</v>
      </c>
      <c r="J84" s="43" t="s">
        <v>35</v>
      </c>
      <c r="K84" s="72" t="s">
        <v>35</v>
      </c>
      <c r="L84" s="43" t="s">
        <v>35</v>
      </c>
      <c r="M84" s="43" t="s">
        <v>35</v>
      </c>
      <c r="N84" s="43" t="s">
        <v>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106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106</v>
      </c>
      <c r="AB84" s="43" t="s">
        <v>35</v>
      </c>
      <c r="AC84" s="43" t="s">
        <v>35</v>
      </c>
      <c r="AD84" s="72" t="s">
        <v>35</v>
      </c>
      <c r="AE84" s="43" t="s">
        <v>35</v>
      </c>
      <c r="AF84" s="43" t="s">
        <v>35</v>
      </c>
      <c r="AG84" s="43" t="s">
        <v>35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61457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7582</v>
      </c>
      <c r="I85" s="43">
        <v>7764</v>
      </c>
      <c r="J85" s="43">
        <v>7869</v>
      </c>
      <c r="K85" s="72">
        <v>8015</v>
      </c>
      <c r="L85" s="43">
        <v>7966</v>
      </c>
      <c r="M85" s="43" t="s">
        <v>35</v>
      </c>
      <c r="N85" s="43" t="s">
        <v>35</v>
      </c>
      <c r="O85" s="43">
        <v>7864</v>
      </c>
      <c r="P85" s="43">
        <v>7347</v>
      </c>
      <c r="Q85" s="43">
        <v>7050</v>
      </c>
      <c r="R85" s="43" t="s">
        <v>35</v>
      </c>
      <c r="T85" s="43" t="s">
        <v>82</v>
      </c>
      <c r="U85" s="43">
        <v>2983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294</v>
      </c>
      <c r="AB85" s="43">
        <v>337</v>
      </c>
      <c r="AC85" s="43">
        <v>392</v>
      </c>
      <c r="AD85" s="72">
        <v>417</v>
      </c>
      <c r="AE85" s="43">
        <v>345</v>
      </c>
      <c r="AF85" s="43" t="s">
        <v>35</v>
      </c>
      <c r="AG85" s="43" t="s">
        <v>35</v>
      </c>
      <c r="AH85" s="43">
        <v>452</v>
      </c>
      <c r="AI85" s="43">
        <v>412</v>
      </c>
      <c r="AJ85" s="43">
        <v>334</v>
      </c>
      <c r="AK85" s="43" t="s">
        <v>35</v>
      </c>
      <c r="AU85" s="49"/>
    </row>
    <row r="86" spans="1:47" ht="45">
      <c r="A86" s="43" t="s">
        <v>83</v>
      </c>
      <c r="B86" s="43">
        <v>20198</v>
      </c>
      <c r="C86" s="43" t="s">
        <v>35</v>
      </c>
      <c r="D86" s="43">
        <v>309</v>
      </c>
      <c r="E86" s="43">
        <v>325</v>
      </c>
      <c r="F86" s="43">
        <v>315</v>
      </c>
      <c r="G86" s="43">
        <v>314</v>
      </c>
      <c r="H86" s="43">
        <v>3528</v>
      </c>
      <c r="I86" s="43">
        <v>3436</v>
      </c>
      <c r="J86" s="43">
        <v>2890</v>
      </c>
      <c r="K86" s="72">
        <v>1843</v>
      </c>
      <c r="L86" s="43">
        <v>1809</v>
      </c>
      <c r="M86" s="43">
        <v>1687</v>
      </c>
      <c r="N86" s="43" t="s">
        <v>35</v>
      </c>
      <c r="O86" s="43" t="s">
        <v>35</v>
      </c>
      <c r="P86" s="43">
        <v>1329</v>
      </c>
      <c r="Q86" s="43">
        <v>1316</v>
      </c>
      <c r="R86" s="43">
        <v>1097</v>
      </c>
      <c r="T86" s="43" t="s">
        <v>83</v>
      </c>
      <c r="U86" s="43">
        <v>1631</v>
      </c>
      <c r="V86" s="43" t="s">
        <v>35</v>
      </c>
      <c r="W86" s="43">
        <v>18</v>
      </c>
      <c r="X86" s="43">
        <v>38</v>
      </c>
      <c r="Y86" s="43">
        <v>32</v>
      </c>
      <c r="Z86" s="43">
        <v>26</v>
      </c>
      <c r="AA86" s="43">
        <v>240</v>
      </c>
      <c r="AB86" s="43">
        <v>233</v>
      </c>
      <c r="AC86" s="43">
        <v>238</v>
      </c>
      <c r="AD86" s="72">
        <v>185</v>
      </c>
      <c r="AE86" s="43">
        <v>170</v>
      </c>
      <c r="AF86" s="43">
        <v>172</v>
      </c>
      <c r="AG86" s="43" t="s">
        <v>35</v>
      </c>
      <c r="AH86" s="43" t="s">
        <v>35</v>
      </c>
      <c r="AI86" s="43">
        <v>124</v>
      </c>
      <c r="AJ86" s="43">
        <v>86</v>
      </c>
      <c r="AK86" s="43">
        <v>69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2311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262</v>
      </c>
      <c r="I88" s="43">
        <v>335</v>
      </c>
      <c r="J88" s="43">
        <v>407</v>
      </c>
      <c r="K88" s="72">
        <v>402</v>
      </c>
      <c r="L88" s="43">
        <v>469</v>
      </c>
      <c r="M88" s="43">
        <v>418</v>
      </c>
      <c r="N88" s="43">
        <v>18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245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26</v>
      </c>
      <c r="AB88" s="43">
        <v>34</v>
      </c>
      <c r="AC88" s="43">
        <v>39</v>
      </c>
      <c r="AD88" s="72">
        <v>39</v>
      </c>
      <c r="AE88" s="43">
        <v>51</v>
      </c>
      <c r="AF88" s="43">
        <v>40</v>
      </c>
      <c r="AG88" s="43">
        <v>16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6999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1134</v>
      </c>
      <c r="I89" s="43">
        <v>1139</v>
      </c>
      <c r="J89" s="43">
        <v>1235</v>
      </c>
      <c r="K89" s="72">
        <v>1210</v>
      </c>
      <c r="L89" s="43">
        <v>1124</v>
      </c>
      <c r="M89" s="43">
        <v>1147</v>
      </c>
      <c r="N89" s="43">
        <v>10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359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44</v>
      </c>
      <c r="AB89" s="43">
        <v>51</v>
      </c>
      <c r="AC89" s="43">
        <v>53</v>
      </c>
      <c r="AD89" s="72">
        <v>70</v>
      </c>
      <c r="AE89" s="43">
        <v>66</v>
      </c>
      <c r="AF89" s="43">
        <v>65</v>
      </c>
      <c r="AG89" s="43">
        <v>10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8112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986</v>
      </c>
      <c r="I90" s="43">
        <v>1036</v>
      </c>
      <c r="J90" s="43">
        <v>1078</v>
      </c>
      <c r="K90" s="72">
        <v>1002</v>
      </c>
      <c r="L90" s="43">
        <v>952</v>
      </c>
      <c r="M90" s="43" t="s">
        <v>35</v>
      </c>
      <c r="N90" s="43" t="s">
        <v>35</v>
      </c>
      <c r="O90" s="43">
        <v>1023</v>
      </c>
      <c r="P90" s="43">
        <v>1085</v>
      </c>
      <c r="Q90" s="43">
        <v>950</v>
      </c>
      <c r="R90" s="43" t="s">
        <v>35</v>
      </c>
      <c r="T90" s="43" t="s">
        <v>87</v>
      </c>
      <c r="U90" s="43">
        <v>252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20</v>
      </c>
      <c r="AB90" s="43">
        <v>27</v>
      </c>
      <c r="AC90" s="43">
        <v>30</v>
      </c>
      <c r="AD90" s="72">
        <v>21</v>
      </c>
      <c r="AE90" s="43">
        <v>29</v>
      </c>
      <c r="AF90" s="43" t="s">
        <v>35</v>
      </c>
      <c r="AG90" s="43" t="s">
        <v>35</v>
      </c>
      <c r="AH90" s="43">
        <v>46</v>
      </c>
      <c r="AI90" s="43">
        <v>43</v>
      </c>
      <c r="AJ90" s="43">
        <v>36</v>
      </c>
      <c r="AK90" s="43" t="s">
        <v>35</v>
      </c>
      <c r="AU90" s="49"/>
    </row>
    <row r="91" spans="1:47" ht="75">
      <c r="A91" s="43" t="s">
        <v>88</v>
      </c>
      <c r="B91" s="43">
        <v>751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93</v>
      </c>
      <c r="I91" s="43">
        <v>115</v>
      </c>
      <c r="J91" s="43">
        <v>145</v>
      </c>
      <c r="K91" s="72">
        <v>162</v>
      </c>
      <c r="L91" s="43">
        <v>123</v>
      </c>
      <c r="M91" s="43">
        <v>95</v>
      </c>
      <c r="N91" s="43" t="s">
        <v>35</v>
      </c>
      <c r="O91" s="43" t="s">
        <v>35</v>
      </c>
      <c r="P91" s="43">
        <v>18</v>
      </c>
      <c r="Q91" s="43" t="s">
        <v>35</v>
      </c>
      <c r="R91" s="43" t="s">
        <v>35</v>
      </c>
      <c r="T91" s="43" t="s">
        <v>88</v>
      </c>
      <c r="U91" s="43">
        <v>18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2</v>
      </c>
      <c r="AB91" s="43">
        <v>6</v>
      </c>
      <c r="AC91" s="43">
        <v>3</v>
      </c>
      <c r="AD91" s="72">
        <v>5</v>
      </c>
      <c r="AE91" s="43">
        <v>1</v>
      </c>
      <c r="AF91" s="43" t="s">
        <v>35</v>
      </c>
      <c r="AG91" s="43" t="s">
        <v>35</v>
      </c>
      <c r="AH91" s="43" t="s">
        <v>35</v>
      </c>
      <c r="AI91" s="43">
        <v>1</v>
      </c>
      <c r="AJ91" s="43" t="s">
        <v>35</v>
      </c>
      <c r="AK91" s="43" t="s">
        <v>35</v>
      </c>
      <c r="AU91" s="49"/>
    </row>
    <row r="92" spans="1:47" ht="45">
      <c r="A92" s="43" t="s">
        <v>89</v>
      </c>
      <c r="B92" s="43">
        <v>58</v>
      </c>
      <c r="C92" s="43">
        <v>58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4372</v>
      </c>
      <c r="C93" s="43" t="s">
        <v>35</v>
      </c>
      <c r="D93" s="43">
        <v>108</v>
      </c>
      <c r="E93" s="43">
        <v>178</v>
      </c>
      <c r="F93" s="43">
        <v>267</v>
      </c>
      <c r="G93" s="43">
        <v>394</v>
      </c>
      <c r="H93" s="43">
        <v>461</v>
      </c>
      <c r="I93" s="43">
        <v>547</v>
      </c>
      <c r="J93" s="43">
        <v>673</v>
      </c>
      <c r="K93" s="72">
        <v>730</v>
      </c>
      <c r="L93" s="43">
        <v>668</v>
      </c>
      <c r="M93" s="43">
        <v>346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795</v>
      </c>
      <c r="V93" s="43" t="s">
        <v>35</v>
      </c>
      <c r="W93" s="43">
        <v>13</v>
      </c>
      <c r="X93" s="43">
        <v>19</v>
      </c>
      <c r="Y93" s="43">
        <v>36</v>
      </c>
      <c r="Z93" s="43">
        <v>49</v>
      </c>
      <c r="AA93" s="43">
        <v>75</v>
      </c>
      <c r="AB93" s="43">
        <v>100</v>
      </c>
      <c r="AC93" s="43">
        <v>144</v>
      </c>
      <c r="AD93" s="72">
        <v>166</v>
      </c>
      <c r="AE93" s="43">
        <v>131</v>
      </c>
      <c r="AF93" s="43">
        <v>62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1978</v>
      </c>
      <c r="C94" s="43" t="s">
        <v>35</v>
      </c>
      <c r="D94" s="43">
        <v>561</v>
      </c>
      <c r="E94" s="43" t="s">
        <v>35</v>
      </c>
      <c r="F94" s="43" t="s">
        <v>35</v>
      </c>
      <c r="G94" s="43" t="s">
        <v>35</v>
      </c>
      <c r="H94" s="43">
        <v>873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544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263</v>
      </c>
      <c r="V94" s="43" t="s">
        <v>35</v>
      </c>
      <c r="W94" s="43">
        <v>62</v>
      </c>
      <c r="X94" s="43" t="s">
        <v>35</v>
      </c>
      <c r="Y94" s="43" t="s">
        <v>35</v>
      </c>
      <c r="Z94" s="43" t="s">
        <v>35</v>
      </c>
      <c r="AA94" s="43">
        <v>131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70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3358</v>
      </c>
      <c r="C95" s="43" t="s">
        <v>35</v>
      </c>
      <c r="D95" s="43">
        <v>426</v>
      </c>
      <c r="E95" s="43">
        <v>483</v>
      </c>
      <c r="F95" s="43">
        <v>425</v>
      </c>
      <c r="G95" s="43">
        <v>342</v>
      </c>
      <c r="H95" s="43">
        <v>288</v>
      </c>
      <c r="I95" s="43">
        <v>290</v>
      </c>
      <c r="J95" s="43">
        <v>282</v>
      </c>
      <c r="K95" s="72">
        <v>314</v>
      </c>
      <c r="L95" s="43">
        <v>286</v>
      </c>
      <c r="M95" s="43">
        <v>222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266</v>
      </c>
      <c r="V95" s="43" t="s">
        <v>35</v>
      </c>
      <c r="W95" s="43">
        <v>26</v>
      </c>
      <c r="X95" s="43">
        <v>34</v>
      </c>
      <c r="Y95" s="43">
        <v>27</v>
      </c>
      <c r="Z95" s="43">
        <v>19</v>
      </c>
      <c r="AA95" s="43">
        <v>26</v>
      </c>
      <c r="AB95" s="43">
        <v>22</v>
      </c>
      <c r="AC95" s="43">
        <v>27</v>
      </c>
      <c r="AD95" s="72">
        <v>30</v>
      </c>
      <c r="AE95" s="43">
        <v>35</v>
      </c>
      <c r="AF95" s="43">
        <v>20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201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96</v>
      </c>
      <c r="Q96" s="43">
        <v>59</v>
      </c>
      <c r="R96" s="43">
        <v>46</v>
      </c>
      <c r="T96" s="43" t="s">
        <v>93</v>
      </c>
      <c r="U96" s="43">
        <v>8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3</v>
      </c>
      <c r="AJ96" s="43">
        <v>2</v>
      </c>
      <c r="AK96" s="43">
        <v>3</v>
      </c>
      <c r="AU96" s="49"/>
    </row>
    <row r="97" spans="1:47">
      <c r="A97" s="43" t="s">
        <v>94</v>
      </c>
      <c r="B97" s="43">
        <v>273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130</v>
      </c>
      <c r="Q97" s="43">
        <v>91</v>
      </c>
      <c r="R97" s="43">
        <v>52</v>
      </c>
      <c r="T97" s="43" t="s">
        <v>94</v>
      </c>
      <c r="U97" s="43">
        <v>24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15</v>
      </c>
      <c r="AJ97" s="43">
        <v>7</v>
      </c>
      <c r="AK97" s="43">
        <v>2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198960</v>
      </c>
      <c r="C100" s="43">
        <v>728</v>
      </c>
      <c r="D100" s="43">
        <v>17266</v>
      </c>
      <c r="E100" s="43">
        <v>17391</v>
      </c>
      <c r="F100" s="43">
        <v>16837</v>
      </c>
      <c r="G100" s="43">
        <v>17155</v>
      </c>
      <c r="H100" s="43">
        <v>18649</v>
      </c>
      <c r="I100" s="43">
        <v>19196</v>
      </c>
      <c r="J100" s="43">
        <v>19500</v>
      </c>
      <c r="K100" s="72">
        <v>20745</v>
      </c>
      <c r="L100" s="43">
        <v>20512</v>
      </c>
      <c r="M100" s="43">
        <v>11341</v>
      </c>
      <c r="N100" s="43">
        <v>66</v>
      </c>
      <c r="O100" s="43">
        <v>6967</v>
      </c>
      <c r="P100" s="43">
        <v>6535</v>
      </c>
      <c r="Q100" s="43">
        <v>5863</v>
      </c>
      <c r="R100" s="43">
        <v>209</v>
      </c>
      <c r="T100" s="43" t="s">
        <v>40</v>
      </c>
      <c r="U100" s="43">
        <v>7661</v>
      </c>
      <c r="V100" s="43">
        <v>85</v>
      </c>
      <c r="W100" s="43">
        <v>739</v>
      </c>
      <c r="X100" s="43">
        <v>746</v>
      </c>
      <c r="Y100" s="43">
        <v>718</v>
      </c>
      <c r="Z100" s="43">
        <v>771</v>
      </c>
      <c r="AA100" s="43">
        <v>611</v>
      </c>
      <c r="AB100" s="43">
        <v>642</v>
      </c>
      <c r="AC100" s="43">
        <v>791</v>
      </c>
      <c r="AD100" s="72">
        <v>862</v>
      </c>
      <c r="AE100" s="43">
        <v>817</v>
      </c>
      <c r="AF100" s="43">
        <v>534</v>
      </c>
      <c r="AG100" s="43">
        <v>62</v>
      </c>
      <c r="AH100" s="43">
        <v>141</v>
      </c>
      <c r="AI100" s="43">
        <v>73</v>
      </c>
      <c r="AJ100" s="43">
        <v>69</v>
      </c>
      <c r="AK100" s="43" t="s">
        <v>35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728</v>
      </c>
      <c r="C102" s="43">
        <v>728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85</v>
      </c>
      <c r="V102" s="43">
        <v>85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65938</v>
      </c>
      <c r="C103" s="43" t="s">
        <v>35</v>
      </c>
      <c r="D103" s="43">
        <v>16303</v>
      </c>
      <c r="E103" s="43">
        <v>16794</v>
      </c>
      <c r="F103" s="43">
        <v>16268</v>
      </c>
      <c r="G103" s="43">
        <v>16562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11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2872</v>
      </c>
      <c r="V103" s="43" t="s">
        <v>35</v>
      </c>
      <c r="W103" s="43">
        <v>696</v>
      </c>
      <c r="X103" s="43">
        <v>735</v>
      </c>
      <c r="Y103" s="43">
        <v>694</v>
      </c>
      <c r="Z103" s="43">
        <v>736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11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16103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1286</v>
      </c>
      <c r="I105" s="43">
        <v>2409</v>
      </c>
      <c r="J105" s="43">
        <v>2930</v>
      </c>
      <c r="K105" s="72">
        <v>3469</v>
      </c>
      <c r="L105" s="43">
        <v>3554</v>
      </c>
      <c r="M105" s="43">
        <v>2400</v>
      </c>
      <c r="N105" s="43">
        <v>55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1588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140</v>
      </c>
      <c r="AB105" s="43">
        <v>220</v>
      </c>
      <c r="AC105" s="43">
        <v>288</v>
      </c>
      <c r="AD105" s="72">
        <v>334</v>
      </c>
      <c r="AE105" s="43">
        <v>348</v>
      </c>
      <c r="AF105" s="43">
        <v>207</v>
      </c>
      <c r="AG105" s="43">
        <v>51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39282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3966</v>
      </c>
      <c r="I107" s="43">
        <v>6711</v>
      </c>
      <c r="J107" s="43">
        <v>6831</v>
      </c>
      <c r="K107" s="72">
        <v>7405</v>
      </c>
      <c r="L107" s="43">
        <v>7387</v>
      </c>
      <c r="M107" s="43">
        <v>6982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1380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148</v>
      </c>
      <c r="AB107" s="43">
        <v>224</v>
      </c>
      <c r="AC107" s="43">
        <v>262</v>
      </c>
      <c r="AD107" s="72">
        <v>262</v>
      </c>
      <c r="AE107" s="43">
        <v>244</v>
      </c>
      <c r="AF107" s="43">
        <v>240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2832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2832</v>
      </c>
      <c r="I108" s="43" t="s">
        <v>35</v>
      </c>
      <c r="J108" s="43" t="s">
        <v>35</v>
      </c>
      <c r="K108" s="72" t="s">
        <v>35</v>
      </c>
      <c r="L108" s="43" t="s">
        <v>35</v>
      </c>
      <c r="M108" s="43" t="s">
        <v>35</v>
      </c>
      <c r="N108" s="43" t="s">
        <v>35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86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86</v>
      </c>
      <c r="AB108" s="43" t="s">
        <v>35</v>
      </c>
      <c r="AC108" s="43" t="s">
        <v>35</v>
      </c>
      <c r="AD108" s="72" t="s">
        <v>35</v>
      </c>
      <c r="AE108" s="43" t="s">
        <v>35</v>
      </c>
      <c r="AF108" s="43" t="s">
        <v>35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52284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6625</v>
      </c>
      <c r="I109" s="43">
        <v>7022</v>
      </c>
      <c r="J109" s="43">
        <v>7052</v>
      </c>
      <c r="K109" s="72">
        <v>7103</v>
      </c>
      <c r="L109" s="43">
        <v>6933</v>
      </c>
      <c r="M109" s="43" t="s">
        <v>35</v>
      </c>
      <c r="N109" s="43" t="s">
        <v>35</v>
      </c>
      <c r="O109" s="43">
        <v>6477</v>
      </c>
      <c r="P109" s="43">
        <v>5829</v>
      </c>
      <c r="Q109" s="43">
        <v>5243</v>
      </c>
      <c r="R109" s="43" t="s">
        <v>35</v>
      </c>
      <c r="T109" s="43" t="s">
        <v>82</v>
      </c>
      <c r="U109" s="43">
        <v>832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119</v>
      </c>
      <c r="AB109" s="43">
        <v>104</v>
      </c>
      <c r="AC109" s="43">
        <v>107</v>
      </c>
      <c r="AD109" s="72">
        <v>128</v>
      </c>
      <c r="AE109" s="43">
        <v>124</v>
      </c>
      <c r="AF109" s="43" t="s">
        <v>35</v>
      </c>
      <c r="AG109" s="43" t="s">
        <v>35</v>
      </c>
      <c r="AH109" s="43">
        <v>125</v>
      </c>
      <c r="AI109" s="43">
        <v>66</v>
      </c>
      <c r="AJ109" s="43">
        <v>59</v>
      </c>
      <c r="AK109" s="43" t="s">
        <v>35</v>
      </c>
      <c r="AU109" s="49"/>
    </row>
    <row r="110" spans="1:47" ht="45">
      <c r="A110" s="43" t="s">
        <v>83</v>
      </c>
      <c r="B110" s="43">
        <v>5173</v>
      </c>
      <c r="C110" s="43" t="s">
        <v>35</v>
      </c>
      <c r="D110" s="43">
        <v>201</v>
      </c>
      <c r="E110" s="43">
        <v>216</v>
      </c>
      <c r="F110" s="43">
        <v>246</v>
      </c>
      <c r="G110" s="43">
        <v>225</v>
      </c>
      <c r="H110" s="43">
        <v>1163</v>
      </c>
      <c r="I110" s="43">
        <v>843</v>
      </c>
      <c r="J110" s="43">
        <v>523</v>
      </c>
      <c r="K110" s="72">
        <v>384</v>
      </c>
      <c r="L110" s="43">
        <v>338</v>
      </c>
      <c r="M110" s="43">
        <v>335</v>
      </c>
      <c r="N110" s="43" t="s">
        <v>35</v>
      </c>
      <c r="O110" s="43" t="s">
        <v>35</v>
      </c>
      <c r="P110" s="43">
        <v>295</v>
      </c>
      <c r="Q110" s="43">
        <v>245</v>
      </c>
      <c r="R110" s="43">
        <v>159</v>
      </c>
      <c r="T110" s="43" t="s">
        <v>83</v>
      </c>
      <c r="U110" s="43">
        <v>62</v>
      </c>
      <c r="V110" s="43" t="s">
        <v>35</v>
      </c>
      <c r="W110" s="43">
        <v>1</v>
      </c>
      <c r="X110" s="43">
        <v>2</v>
      </c>
      <c r="Y110" s="43" t="s">
        <v>35</v>
      </c>
      <c r="Z110" s="43" t="s">
        <v>35</v>
      </c>
      <c r="AA110" s="43">
        <v>25</v>
      </c>
      <c r="AB110" s="43">
        <v>13</v>
      </c>
      <c r="AC110" s="43">
        <v>10</v>
      </c>
      <c r="AD110" s="72">
        <v>1</v>
      </c>
      <c r="AE110" s="43">
        <v>4</v>
      </c>
      <c r="AF110" s="43">
        <v>3</v>
      </c>
      <c r="AG110" s="43" t="s">
        <v>35</v>
      </c>
      <c r="AH110" s="43" t="s">
        <v>35</v>
      </c>
      <c r="AI110" s="43">
        <v>1</v>
      </c>
      <c r="AJ110" s="43">
        <v>2</v>
      </c>
      <c r="AK110" s="43" t="s">
        <v>35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1623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236</v>
      </c>
      <c r="I112" s="43">
        <v>247</v>
      </c>
      <c r="J112" s="43">
        <v>252</v>
      </c>
      <c r="K112" s="72">
        <v>342</v>
      </c>
      <c r="L112" s="43">
        <v>319</v>
      </c>
      <c r="M112" s="43">
        <v>227</v>
      </c>
      <c r="N112" s="43" t="s">
        <v>35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77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3</v>
      </c>
      <c r="AB112" s="43">
        <v>11</v>
      </c>
      <c r="AC112" s="43">
        <v>12</v>
      </c>
      <c r="AD112" s="72">
        <v>17</v>
      </c>
      <c r="AE112" s="43">
        <v>16</v>
      </c>
      <c r="AF112" s="43">
        <v>18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4291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729</v>
      </c>
      <c r="I113" s="43">
        <v>783</v>
      </c>
      <c r="J113" s="43">
        <v>652</v>
      </c>
      <c r="K113" s="72">
        <v>734</v>
      </c>
      <c r="L113" s="43">
        <v>735</v>
      </c>
      <c r="M113" s="43">
        <v>658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117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21</v>
      </c>
      <c r="AB113" s="43">
        <v>16</v>
      </c>
      <c r="AC113" s="43">
        <v>17</v>
      </c>
      <c r="AD113" s="72">
        <v>26</v>
      </c>
      <c r="AE113" s="43">
        <v>19</v>
      </c>
      <c r="AF113" s="43">
        <v>18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3616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511</v>
      </c>
      <c r="I114" s="43">
        <v>532</v>
      </c>
      <c r="J114" s="43">
        <v>505</v>
      </c>
      <c r="K114" s="72">
        <v>480</v>
      </c>
      <c r="L114" s="43">
        <v>485</v>
      </c>
      <c r="M114" s="43" t="s">
        <v>35</v>
      </c>
      <c r="N114" s="43" t="s">
        <v>35</v>
      </c>
      <c r="O114" s="43">
        <v>490</v>
      </c>
      <c r="P114" s="43">
        <v>312</v>
      </c>
      <c r="Q114" s="43">
        <v>301</v>
      </c>
      <c r="R114" s="43" t="s">
        <v>35</v>
      </c>
      <c r="T114" s="43" t="s">
        <v>87</v>
      </c>
      <c r="U114" s="43">
        <v>65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7</v>
      </c>
      <c r="AB114" s="43">
        <v>4</v>
      </c>
      <c r="AC114" s="43">
        <v>9</v>
      </c>
      <c r="AD114" s="72">
        <v>8</v>
      </c>
      <c r="AE114" s="43">
        <v>10</v>
      </c>
      <c r="AF114" s="43" t="s">
        <v>35</v>
      </c>
      <c r="AG114" s="43" t="s">
        <v>35</v>
      </c>
      <c r="AH114" s="43">
        <v>16</v>
      </c>
      <c r="AI114" s="43">
        <v>3</v>
      </c>
      <c r="AJ114" s="43">
        <v>8</v>
      </c>
      <c r="AK114" s="43" t="s">
        <v>35</v>
      </c>
      <c r="AU114" s="49"/>
    </row>
    <row r="115" spans="1:47" ht="75">
      <c r="A115" s="43" t="s">
        <v>88</v>
      </c>
      <c r="B115" s="43">
        <v>908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143</v>
      </c>
      <c r="I115" s="43">
        <v>119</v>
      </c>
      <c r="J115" s="43">
        <v>133</v>
      </c>
      <c r="K115" s="72">
        <v>135</v>
      </c>
      <c r="L115" s="43">
        <v>118</v>
      </c>
      <c r="M115" s="43">
        <v>37</v>
      </c>
      <c r="N115" s="43" t="s">
        <v>35</v>
      </c>
      <c r="O115" s="43" t="s">
        <v>35</v>
      </c>
      <c r="P115" s="43">
        <v>99</v>
      </c>
      <c r="Q115" s="43">
        <v>74</v>
      </c>
      <c r="R115" s="43">
        <v>50</v>
      </c>
      <c r="T115" s="43" t="s">
        <v>88</v>
      </c>
      <c r="U115" s="43">
        <v>11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</v>
      </c>
      <c r="AB115" s="43">
        <v>1</v>
      </c>
      <c r="AC115" s="43">
        <v>2</v>
      </c>
      <c r="AD115" s="72">
        <v>2</v>
      </c>
      <c r="AE115" s="43">
        <v>1</v>
      </c>
      <c r="AF115" s="43" t="s">
        <v>35</v>
      </c>
      <c r="AG115" s="43" t="s">
        <v>35</v>
      </c>
      <c r="AH115" s="43" t="s">
        <v>35</v>
      </c>
      <c r="AI115" s="43">
        <v>3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3319</v>
      </c>
      <c r="C117" s="43" t="s">
        <v>35</v>
      </c>
      <c r="D117" s="43">
        <v>85</v>
      </c>
      <c r="E117" s="43">
        <v>102</v>
      </c>
      <c r="F117" s="43">
        <v>180</v>
      </c>
      <c r="G117" s="43">
        <v>263</v>
      </c>
      <c r="H117" s="43">
        <v>381</v>
      </c>
      <c r="I117" s="43">
        <v>444</v>
      </c>
      <c r="J117" s="43">
        <v>518</v>
      </c>
      <c r="K117" s="72">
        <v>604</v>
      </c>
      <c r="L117" s="43">
        <v>527</v>
      </c>
      <c r="M117" s="43">
        <v>215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391</v>
      </c>
      <c r="V117" s="43" t="s">
        <v>35</v>
      </c>
      <c r="W117" s="43">
        <v>12</v>
      </c>
      <c r="X117" s="43">
        <v>1</v>
      </c>
      <c r="Y117" s="43">
        <v>16</v>
      </c>
      <c r="Z117" s="43">
        <v>33</v>
      </c>
      <c r="AA117" s="43">
        <v>36</v>
      </c>
      <c r="AB117" s="43">
        <v>48</v>
      </c>
      <c r="AC117" s="43">
        <v>82</v>
      </c>
      <c r="AD117" s="72">
        <v>81</v>
      </c>
      <c r="AE117" s="43">
        <v>47</v>
      </c>
      <c r="AF117" s="43">
        <v>35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1570</v>
      </c>
      <c r="C118" s="43" t="s">
        <v>35</v>
      </c>
      <c r="D118" s="43">
        <v>426</v>
      </c>
      <c r="E118" s="43" t="s">
        <v>35</v>
      </c>
      <c r="F118" s="43" t="s">
        <v>35</v>
      </c>
      <c r="G118" s="43" t="s">
        <v>35</v>
      </c>
      <c r="H118" s="43">
        <v>682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462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52</v>
      </c>
      <c r="V118" s="43" t="s">
        <v>35</v>
      </c>
      <c r="W118" s="43">
        <v>16</v>
      </c>
      <c r="X118" s="43" t="s">
        <v>35</v>
      </c>
      <c r="Y118" s="43" t="s">
        <v>35</v>
      </c>
      <c r="Z118" s="43" t="s">
        <v>35</v>
      </c>
      <c r="AA118" s="43">
        <v>23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13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1293</v>
      </c>
      <c r="C119" s="43" t="s">
        <v>35</v>
      </c>
      <c r="D119" s="43">
        <v>251</v>
      </c>
      <c r="E119" s="43">
        <v>279</v>
      </c>
      <c r="F119" s="43">
        <v>143</v>
      </c>
      <c r="G119" s="43">
        <v>105</v>
      </c>
      <c r="H119" s="43">
        <v>95</v>
      </c>
      <c r="I119" s="43">
        <v>86</v>
      </c>
      <c r="J119" s="43">
        <v>104</v>
      </c>
      <c r="K119" s="72">
        <v>89</v>
      </c>
      <c r="L119" s="43">
        <v>116</v>
      </c>
      <c r="M119" s="43">
        <v>25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43</v>
      </c>
      <c r="V119" s="43" t="s">
        <v>35</v>
      </c>
      <c r="W119" s="43">
        <v>14</v>
      </c>
      <c r="X119" s="43">
        <v>8</v>
      </c>
      <c r="Y119" s="43">
        <v>8</v>
      </c>
      <c r="Z119" s="43">
        <v>2</v>
      </c>
      <c r="AA119" s="43">
        <v>1</v>
      </c>
      <c r="AB119" s="43">
        <v>1</v>
      </c>
      <c r="AC119" s="43">
        <v>2</v>
      </c>
      <c r="AD119" s="72">
        <v>3</v>
      </c>
      <c r="AE119" s="43">
        <v>4</v>
      </c>
      <c r="AF119" s="43" t="s">
        <v>35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297083</v>
      </c>
      <c r="C124" s="43">
        <v>1163</v>
      </c>
      <c r="D124" s="43">
        <v>25880</v>
      </c>
      <c r="E124" s="43">
        <v>26330</v>
      </c>
      <c r="F124" s="43">
        <v>25215</v>
      </c>
      <c r="G124" s="43">
        <v>26035</v>
      </c>
      <c r="H124" s="43">
        <v>27765</v>
      </c>
      <c r="I124" s="43">
        <v>28437</v>
      </c>
      <c r="J124" s="43">
        <v>29366</v>
      </c>
      <c r="K124" s="72">
        <v>30743</v>
      </c>
      <c r="L124" s="43">
        <v>30737</v>
      </c>
      <c r="M124" s="43">
        <v>17392</v>
      </c>
      <c r="N124" s="43">
        <v>210</v>
      </c>
      <c r="O124" s="43">
        <v>9174</v>
      </c>
      <c r="P124" s="43">
        <v>9194</v>
      </c>
      <c r="Q124" s="43">
        <v>8577</v>
      </c>
      <c r="R124" s="43">
        <v>865</v>
      </c>
      <c r="T124" s="43" t="s">
        <v>40</v>
      </c>
      <c r="U124" s="43">
        <v>13836</v>
      </c>
      <c r="V124" s="43">
        <v>127</v>
      </c>
      <c r="W124" s="43">
        <v>1370</v>
      </c>
      <c r="X124" s="43">
        <v>1427</v>
      </c>
      <c r="Y124" s="43">
        <v>1343</v>
      </c>
      <c r="Z124" s="43">
        <v>1266</v>
      </c>
      <c r="AA124" s="43">
        <v>1104</v>
      </c>
      <c r="AB124" s="43">
        <v>1193</v>
      </c>
      <c r="AC124" s="43">
        <v>1381</v>
      </c>
      <c r="AD124" s="72">
        <v>1565</v>
      </c>
      <c r="AE124" s="43">
        <v>1425</v>
      </c>
      <c r="AF124" s="43">
        <v>932</v>
      </c>
      <c r="AG124" s="43">
        <v>197</v>
      </c>
      <c r="AH124" s="43">
        <v>176</v>
      </c>
      <c r="AI124" s="43">
        <v>166</v>
      </c>
      <c r="AJ124" s="43">
        <v>150</v>
      </c>
      <c r="AK124" s="43">
        <v>14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1157</v>
      </c>
      <c r="C126" s="43">
        <v>1157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125</v>
      </c>
      <c r="V126" s="43">
        <v>125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98915</v>
      </c>
      <c r="C127" s="43" t="s">
        <v>35</v>
      </c>
      <c r="D127" s="43">
        <v>24394</v>
      </c>
      <c r="E127" s="43">
        <v>25291</v>
      </c>
      <c r="F127" s="43">
        <v>24253</v>
      </c>
      <c r="G127" s="43">
        <v>24928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49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5187</v>
      </c>
      <c r="V127" s="43" t="s">
        <v>35</v>
      </c>
      <c r="W127" s="43">
        <v>1287</v>
      </c>
      <c r="X127" s="43">
        <v>1368</v>
      </c>
      <c r="Y127" s="43">
        <v>1280</v>
      </c>
      <c r="Z127" s="43">
        <v>1205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47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27788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2549</v>
      </c>
      <c r="I129" s="43">
        <v>4099</v>
      </c>
      <c r="J129" s="43">
        <v>4988</v>
      </c>
      <c r="K129" s="72">
        <v>5875</v>
      </c>
      <c r="L129" s="43">
        <v>6056</v>
      </c>
      <c r="M129" s="43">
        <v>4060</v>
      </c>
      <c r="N129" s="43">
        <v>161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2736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214</v>
      </c>
      <c r="AB129" s="43">
        <v>352</v>
      </c>
      <c r="AC129" s="43">
        <v>499</v>
      </c>
      <c r="AD129" s="72">
        <v>594</v>
      </c>
      <c r="AE129" s="43">
        <v>570</v>
      </c>
      <c r="AF129" s="43">
        <v>357</v>
      </c>
      <c r="AG129" s="43">
        <v>150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59838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6885</v>
      </c>
      <c r="I131" s="43">
        <v>9732</v>
      </c>
      <c r="J131" s="43">
        <v>10550</v>
      </c>
      <c r="K131" s="72">
        <v>11259</v>
      </c>
      <c r="L131" s="43">
        <v>11270</v>
      </c>
      <c r="M131" s="43">
        <v>10142</v>
      </c>
      <c r="N131" s="43" t="s">
        <v>35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2558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284</v>
      </c>
      <c r="AB131" s="43">
        <v>433</v>
      </c>
      <c r="AC131" s="43">
        <v>479</v>
      </c>
      <c r="AD131" s="72">
        <v>509</v>
      </c>
      <c r="AE131" s="43">
        <v>449</v>
      </c>
      <c r="AF131" s="43">
        <v>404</v>
      </c>
      <c r="AG131" s="43" t="s">
        <v>35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3011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3011</v>
      </c>
      <c r="I132" s="43" t="s">
        <v>35</v>
      </c>
      <c r="J132" s="43" t="s">
        <v>35</v>
      </c>
      <c r="K132" s="72" t="s">
        <v>35</v>
      </c>
      <c r="L132" s="43" t="s">
        <v>35</v>
      </c>
      <c r="M132" s="43" t="s">
        <v>35</v>
      </c>
      <c r="N132" s="43" t="s">
        <v>35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123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123</v>
      </c>
      <c r="AB132" s="43" t="s">
        <v>35</v>
      </c>
      <c r="AC132" s="43" t="s">
        <v>35</v>
      </c>
      <c r="AD132" s="72" t="s">
        <v>35</v>
      </c>
      <c r="AE132" s="43" t="s">
        <v>35</v>
      </c>
      <c r="AF132" s="43" t="s">
        <v>35</v>
      </c>
      <c r="AG132" s="43" t="s">
        <v>35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70130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9129</v>
      </c>
      <c r="I133" s="43">
        <v>9358</v>
      </c>
      <c r="J133" s="43">
        <v>9340</v>
      </c>
      <c r="K133" s="72">
        <v>9344</v>
      </c>
      <c r="L133" s="43">
        <v>9354</v>
      </c>
      <c r="M133" s="43" t="s">
        <v>35</v>
      </c>
      <c r="N133" s="43" t="s">
        <v>35</v>
      </c>
      <c r="O133" s="43">
        <v>8753</v>
      </c>
      <c r="P133" s="43">
        <v>7679</v>
      </c>
      <c r="Q133" s="43">
        <v>7173</v>
      </c>
      <c r="R133" s="43" t="s">
        <v>35</v>
      </c>
      <c r="T133" s="43" t="s">
        <v>82</v>
      </c>
      <c r="U133" s="43">
        <v>1458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190</v>
      </c>
      <c r="AB133" s="43">
        <v>210</v>
      </c>
      <c r="AC133" s="43">
        <v>197</v>
      </c>
      <c r="AD133" s="72">
        <v>230</v>
      </c>
      <c r="AE133" s="43">
        <v>203</v>
      </c>
      <c r="AF133" s="43" t="s">
        <v>35</v>
      </c>
      <c r="AG133" s="43" t="s">
        <v>35</v>
      </c>
      <c r="AH133" s="43">
        <v>172</v>
      </c>
      <c r="AI133" s="43">
        <v>129</v>
      </c>
      <c r="AJ133" s="43">
        <v>127</v>
      </c>
      <c r="AK133" s="43" t="s">
        <v>35</v>
      </c>
      <c r="AU133" s="49"/>
    </row>
    <row r="134" spans="1:47" ht="45">
      <c r="A134" s="43" t="s">
        <v>83</v>
      </c>
      <c r="B134" s="43">
        <v>14011</v>
      </c>
      <c r="C134" s="43" t="s">
        <v>35</v>
      </c>
      <c r="D134" s="43">
        <v>171</v>
      </c>
      <c r="E134" s="43">
        <v>168</v>
      </c>
      <c r="F134" s="43">
        <v>153</v>
      </c>
      <c r="G134" s="43">
        <v>182</v>
      </c>
      <c r="H134" s="43">
        <v>2792</v>
      </c>
      <c r="I134" s="43">
        <v>2585</v>
      </c>
      <c r="J134" s="43">
        <v>1768</v>
      </c>
      <c r="K134" s="72">
        <v>1456</v>
      </c>
      <c r="L134" s="43">
        <v>1338</v>
      </c>
      <c r="M134" s="43">
        <v>1257</v>
      </c>
      <c r="N134" s="43" t="s">
        <v>35</v>
      </c>
      <c r="O134" s="43" t="s">
        <v>35</v>
      </c>
      <c r="P134" s="43">
        <v>763</v>
      </c>
      <c r="Q134" s="43">
        <v>742</v>
      </c>
      <c r="R134" s="43">
        <v>636</v>
      </c>
      <c r="T134" s="43" t="s">
        <v>83</v>
      </c>
      <c r="U134" s="43">
        <v>227</v>
      </c>
      <c r="V134" s="43" t="s">
        <v>35</v>
      </c>
      <c r="W134" s="43" t="s">
        <v>35</v>
      </c>
      <c r="X134" s="43" t="s">
        <v>35</v>
      </c>
      <c r="Y134" s="43" t="s">
        <v>35</v>
      </c>
      <c r="Z134" s="43" t="s">
        <v>35</v>
      </c>
      <c r="AA134" s="43">
        <v>58</v>
      </c>
      <c r="AB134" s="43">
        <v>43</v>
      </c>
      <c r="AC134" s="43">
        <v>27</v>
      </c>
      <c r="AD134" s="72">
        <v>21</v>
      </c>
      <c r="AE134" s="43">
        <v>18</v>
      </c>
      <c r="AF134" s="43">
        <v>29</v>
      </c>
      <c r="AG134" s="43" t="s">
        <v>35</v>
      </c>
      <c r="AH134" s="43" t="s">
        <v>35</v>
      </c>
      <c r="AI134" s="43">
        <v>14</v>
      </c>
      <c r="AJ134" s="43">
        <v>7</v>
      </c>
      <c r="AK134" s="43">
        <v>10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1215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158</v>
      </c>
      <c r="I136" s="43">
        <v>191</v>
      </c>
      <c r="J136" s="43">
        <v>256</v>
      </c>
      <c r="K136" s="72">
        <v>212</v>
      </c>
      <c r="L136" s="43">
        <v>234</v>
      </c>
      <c r="M136" s="43">
        <v>164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92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10</v>
      </c>
      <c r="AB136" s="43">
        <v>10</v>
      </c>
      <c r="AC136" s="43">
        <v>17</v>
      </c>
      <c r="AD136" s="72">
        <v>19</v>
      </c>
      <c r="AE136" s="43">
        <v>15</v>
      </c>
      <c r="AF136" s="43">
        <v>21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3385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594</v>
      </c>
      <c r="I137" s="43">
        <v>565</v>
      </c>
      <c r="J137" s="43">
        <v>547</v>
      </c>
      <c r="K137" s="72">
        <v>567</v>
      </c>
      <c r="L137" s="43">
        <v>543</v>
      </c>
      <c r="M137" s="43">
        <v>569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140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29</v>
      </c>
      <c r="AB137" s="43">
        <v>16</v>
      </c>
      <c r="AC137" s="43">
        <v>17</v>
      </c>
      <c r="AD137" s="72">
        <v>28</v>
      </c>
      <c r="AE137" s="43">
        <v>23</v>
      </c>
      <c r="AF137" s="43">
        <v>27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3279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412</v>
      </c>
      <c r="I138" s="43">
        <v>461</v>
      </c>
      <c r="J138" s="43">
        <v>443</v>
      </c>
      <c r="K138" s="72">
        <v>440</v>
      </c>
      <c r="L138" s="43">
        <v>454</v>
      </c>
      <c r="M138" s="43" t="s">
        <v>35</v>
      </c>
      <c r="N138" s="43" t="s">
        <v>35</v>
      </c>
      <c r="O138" s="43">
        <v>421</v>
      </c>
      <c r="P138" s="43">
        <v>317</v>
      </c>
      <c r="Q138" s="43">
        <v>331</v>
      </c>
      <c r="R138" s="43" t="s">
        <v>35</v>
      </c>
      <c r="T138" s="43" t="s">
        <v>87</v>
      </c>
      <c r="U138" s="43">
        <v>43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5</v>
      </c>
      <c r="AB138" s="43">
        <v>3</v>
      </c>
      <c r="AC138" s="43">
        <v>12</v>
      </c>
      <c r="AD138" s="72">
        <v>5</v>
      </c>
      <c r="AE138" s="43">
        <v>8</v>
      </c>
      <c r="AF138" s="43" t="s">
        <v>35</v>
      </c>
      <c r="AG138" s="43" t="s">
        <v>35</v>
      </c>
      <c r="AH138" s="43">
        <v>4</v>
      </c>
      <c r="AI138" s="43">
        <v>2</v>
      </c>
      <c r="AJ138" s="43">
        <v>4</v>
      </c>
      <c r="AK138" s="43" t="s">
        <v>35</v>
      </c>
      <c r="AU138" s="49"/>
    </row>
    <row r="139" spans="1:47" ht="75">
      <c r="A139" s="43" t="s">
        <v>88</v>
      </c>
      <c r="B139" s="43">
        <v>1414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144</v>
      </c>
      <c r="I139" s="43">
        <v>180</v>
      </c>
      <c r="J139" s="43">
        <v>172</v>
      </c>
      <c r="K139" s="72">
        <v>214</v>
      </c>
      <c r="L139" s="43">
        <v>171</v>
      </c>
      <c r="M139" s="43">
        <v>161</v>
      </c>
      <c r="N139" s="43" t="s">
        <v>35</v>
      </c>
      <c r="O139" s="43" t="s">
        <v>35</v>
      </c>
      <c r="P139" s="43">
        <v>130</v>
      </c>
      <c r="Q139" s="43">
        <v>137</v>
      </c>
      <c r="R139" s="43">
        <v>105</v>
      </c>
      <c r="T139" s="43" t="s">
        <v>88</v>
      </c>
      <c r="U139" s="43">
        <v>44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12</v>
      </c>
      <c r="AB139" s="43">
        <v>1</v>
      </c>
      <c r="AC139" s="43">
        <v>7</v>
      </c>
      <c r="AD139" s="72">
        <v>8</v>
      </c>
      <c r="AE139" s="43">
        <v>5</v>
      </c>
      <c r="AF139" s="43">
        <v>6</v>
      </c>
      <c r="AG139" s="43" t="s">
        <v>35</v>
      </c>
      <c r="AH139" s="43" t="s">
        <v>35</v>
      </c>
      <c r="AI139" s="43">
        <v>5</v>
      </c>
      <c r="AJ139" s="43" t="s">
        <v>35</v>
      </c>
      <c r="AK139" s="43" t="s">
        <v>35</v>
      </c>
      <c r="AU139" s="49"/>
    </row>
    <row r="140" spans="1:47" ht="45">
      <c r="A140" s="43" t="s">
        <v>89</v>
      </c>
      <c r="B140" s="43">
        <v>6</v>
      </c>
      <c r="C140" s="43">
        <v>6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>
        <v>2</v>
      </c>
      <c r="V140" s="43">
        <v>2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6313</v>
      </c>
      <c r="C141" s="43" t="s">
        <v>35</v>
      </c>
      <c r="D141" s="43">
        <v>196</v>
      </c>
      <c r="E141" s="43">
        <v>238</v>
      </c>
      <c r="F141" s="43">
        <v>376</v>
      </c>
      <c r="G141" s="43">
        <v>533</v>
      </c>
      <c r="H141" s="43">
        <v>750</v>
      </c>
      <c r="I141" s="43">
        <v>904</v>
      </c>
      <c r="J141" s="43">
        <v>944</v>
      </c>
      <c r="K141" s="72">
        <v>1026</v>
      </c>
      <c r="L141" s="43">
        <v>971</v>
      </c>
      <c r="M141" s="43">
        <v>375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702</v>
      </c>
      <c r="V141" s="43" t="s">
        <v>35</v>
      </c>
      <c r="W141" s="43">
        <v>20</v>
      </c>
      <c r="X141" s="43">
        <v>18</v>
      </c>
      <c r="Y141" s="43">
        <v>41</v>
      </c>
      <c r="Z141" s="43">
        <v>45</v>
      </c>
      <c r="AA141" s="43">
        <v>79</v>
      </c>
      <c r="AB141" s="43">
        <v>104</v>
      </c>
      <c r="AC141" s="43">
        <v>109</v>
      </c>
      <c r="AD141" s="72">
        <v>135</v>
      </c>
      <c r="AE141" s="43">
        <v>112</v>
      </c>
      <c r="AF141" s="43">
        <v>39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2207</v>
      </c>
      <c r="C142" s="43" t="s">
        <v>35</v>
      </c>
      <c r="D142" s="43">
        <v>588</v>
      </c>
      <c r="E142" s="43" t="s">
        <v>35</v>
      </c>
      <c r="F142" s="43" t="s">
        <v>35</v>
      </c>
      <c r="G142" s="43" t="s">
        <v>35</v>
      </c>
      <c r="H142" s="43">
        <v>1002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617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166</v>
      </c>
      <c r="V142" s="43" t="s">
        <v>35</v>
      </c>
      <c r="W142" s="43">
        <v>35</v>
      </c>
      <c r="X142" s="43" t="s">
        <v>35</v>
      </c>
      <c r="Y142" s="43" t="s">
        <v>35</v>
      </c>
      <c r="Z142" s="43" t="s">
        <v>35</v>
      </c>
      <c r="AA142" s="43">
        <v>84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47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3791</v>
      </c>
      <c r="C143" s="43" t="s">
        <v>35</v>
      </c>
      <c r="D143" s="43">
        <v>531</v>
      </c>
      <c r="E143" s="43">
        <v>633</v>
      </c>
      <c r="F143" s="43">
        <v>433</v>
      </c>
      <c r="G143" s="43">
        <v>392</v>
      </c>
      <c r="H143" s="43">
        <v>339</v>
      </c>
      <c r="I143" s="43">
        <v>362</v>
      </c>
      <c r="J143" s="43">
        <v>358</v>
      </c>
      <c r="K143" s="72">
        <v>350</v>
      </c>
      <c r="L143" s="43">
        <v>346</v>
      </c>
      <c r="M143" s="43">
        <v>47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201</v>
      </c>
      <c r="V143" s="43" t="s">
        <v>35</v>
      </c>
      <c r="W143" s="43">
        <v>28</v>
      </c>
      <c r="X143" s="43">
        <v>41</v>
      </c>
      <c r="Y143" s="43">
        <v>22</v>
      </c>
      <c r="Z143" s="43">
        <v>16</v>
      </c>
      <c r="AA143" s="43">
        <v>16</v>
      </c>
      <c r="AB143" s="43">
        <v>21</v>
      </c>
      <c r="AC143" s="43">
        <v>17</v>
      </c>
      <c r="AD143" s="72">
        <v>16</v>
      </c>
      <c r="AE143" s="43">
        <v>22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345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169</v>
      </c>
      <c r="Q144" s="43">
        <v>116</v>
      </c>
      <c r="R144" s="43">
        <v>60</v>
      </c>
      <c r="T144" s="43" t="s">
        <v>93</v>
      </c>
      <c r="U144" s="43">
        <v>21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9</v>
      </c>
      <c r="AJ144" s="43">
        <v>10</v>
      </c>
      <c r="AK144" s="43">
        <v>2</v>
      </c>
      <c r="AU144" s="49"/>
    </row>
    <row r="145" spans="1:47">
      <c r="A145" s="43" t="s">
        <v>94</v>
      </c>
      <c r="B145" s="43">
        <v>278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136</v>
      </c>
      <c r="Q145" s="43">
        <v>78</v>
      </c>
      <c r="R145" s="43">
        <v>64</v>
      </c>
      <c r="S145" s="44"/>
      <c r="T145" s="43" t="s">
        <v>94</v>
      </c>
      <c r="U145" s="43">
        <v>11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7</v>
      </c>
      <c r="AJ145" s="43">
        <v>2</v>
      </c>
      <c r="AK145" s="43">
        <v>2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B3CD18E32DE98195D6FFC3E1F65DC11ABC088A1E.zip"/>
    <hyperlink ref="T1" r:id="rId2" display="https://www1.nls.niedersachsen.de/Statistik/pool/K300151A/K300151A_000016CE1821DC133F5DD876C1254AAFD936EBC58BB3D5AFA874.zip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U158"/>
  <sheetViews>
    <sheetView workbookViewId="0"/>
  </sheetViews>
  <sheetFormatPr baseColWidth="10" defaultRowHeight="15"/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103</v>
      </c>
      <c r="T14" t="s">
        <v>103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869262</v>
      </c>
      <c r="C28" s="43">
        <v>2864</v>
      </c>
      <c r="D28" s="43">
        <v>71885</v>
      </c>
      <c r="E28" s="43">
        <v>75702</v>
      </c>
      <c r="F28" s="43">
        <v>75531</v>
      </c>
      <c r="G28" s="43">
        <v>75841</v>
      </c>
      <c r="H28" s="43">
        <v>77835</v>
      </c>
      <c r="I28" s="43">
        <v>78133</v>
      </c>
      <c r="J28" s="43">
        <v>81849</v>
      </c>
      <c r="K28" s="72">
        <v>86385</v>
      </c>
      <c r="L28" s="43">
        <v>87592</v>
      </c>
      <c r="M28" s="43">
        <v>53887</v>
      </c>
      <c r="N28" s="43">
        <v>763</v>
      </c>
      <c r="O28" s="43">
        <v>31804</v>
      </c>
      <c r="P28" s="43">
        <v>35525</v>
      </c>
      <c r="Q28" s="43">
        <v>30546</v>
      </c>
      <c r="R28" s="43">
        <v>3120</v>
      </c>
      <c r="T28" s="43" t="s">
        <v>40</v>
      </c>
      <c r="U28" s="43">
        <v>48271</v>
      </c>
      <c r="V28" s="43">
        <v>387</v>
      </c>
      <c r="W28" s="43">
        <v>4754</v>
      </c>
      <c r="X28" s="43">
        <v>4996</v>
      </c>
      <c r="Y28" s="43">
        <v>4805</v>
      </c>
      <c r="Z28" s="43">
        <v>4856</v>
      </c>
      <c r="AA28" s="43">
        <v>3580</v>
      </c>
      <c r="AB28" s="43">
        <v>3341</v>
      </c>
      <c r="AC28" s="43">
        <v>3936</v>
      </c>
      <c r="AD28" s="72">
        <v>4634</v>
      </c>
      <c r="AE28" s="43">
        <v>5272</v>
      </c>
      <c r="AF28" s="43">
        <v>3776</v>
      </c>
      <c r="AG28" s="43">
        <v>695</v>
      </c>
      <c r="AH28" s="43">
        <v>1144</v>
      </c>
      <c r="AI28" s="43">
        <v>1081</v>
      </c>
      <c r="AJ28" s="43">
        <v>898</v>
      </c>
      <c r="AK28" s="43">
        <v>116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2803</v>
      </c>
      <c r="C30" s="43">
        <v>2803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374</v>
      </c>
      <c r="V30" s="43">
        <v>374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286215</v>
      </c>
      <c r="C31" s="43" t="s">
        <v>35</v>
      </c>
      <c r="D31" s="43">
        <v>67750</v>
      </c>
      <c r="E31" s="43">
        <v>72705</v>
      </c>
      <c r="F31" s="43">
        <v>72785</v>
      </c>
      <c r="G31" s="43">
        <v>72813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162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18669</v>
      </c>
      <c r="V31" s="43" t="s">
        <v>35</v>
      </c>
      <c r="W31" s="43">
        <v>4472</v>
      </c>
      <c r="X31" s="43">
        <v>4808</v>
      </c>
      <c r="Y31" s="43">
        <v>4614</v>
      </c>
      <c r="Z31" s="43">
        <v>4637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138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51767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3076</v>
      </c>
      <c r="I33" s="43">
        <v>4354</v>
      </c>
      <c r="J33" s="43">
        <v>7274</v>
      </c>
      <c r="K33" s="72">
        <v>12056</v>
      </c>
      <c r="L33" s="43">
        <v>13661</v>
      </c>
      <c r="M33" s="43">
        <v>10817</v>
      </c>
      <c r="N33" s="43">
        <v>529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6604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385</v>
      </c>
      <c r="AB33" s="43">
        <v>545</v>
      </c>
      <c r="AC33" s="43">
        <v>897</v>
      </c>
      <c r="AD33" s="72">
        <v>1388</v>
      </c>
      <c r="AE33" s="43">
        <v>1680</v>
      </c>
      <c r="AF33" s="43">
        <v>1223</v>
      </c>
      <c r="AG33" s="43">
        <v>486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124819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10370</v>
      </c>
      <c r="I35" s="43">
        <v>11898</v>
      </c>
      <c r="J35" s="43">
        <v>17061</v>
      </c>
      <c r="K35" s="72">
        <v>26518</v>
      </c>
      <c r="L35" s="43">
        <v>28541</v>
      </c>
      <c r="M35" s="43">
        <v>30405</v>
      </c>
      <c r="N35" s="43">
        <v>26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7235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658</v>
      </c>
      <c r="AB35" s="43">
        <v>640</v>
      </c>
      <c r="AC35" s="43">
        <v>946</v>
      </c>
      <c r="AD35" s="72">
        <v>1498</v>
      </c>
      <c r="AE35" s="43">
        <v>1723</v>
      </c>
      <c r="AF35" s="43">
        <v>1745</v>
      </c>
      <c r="AG35" s="43">
        <v>25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38093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14186</v>
      </c>
      <c r="I36" s="43">
        <v>14144</v>
      </c>
      <c r="J36" s="43">
        <v>9746</v>
      </c>
      <c r="K36" s="72" t="s">
        <v>35</v>
      </c>
      <c r="L36" s="43" t="s">
        <v>35</v>
      </c>
      <c r="M36" s="43" t="s">
        <v>35</v>
      </c>
      <c r="N36" s="43">
        <v>17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1739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679</v>
      </c>
      <c r="AB36" s="43">
        <v>616</v>
      </c>
      <c r="AC36" s="43">
        <v>427</v>
      </c>
      <c r="AD36" s="72" t="s">
        <v>35</v>
      </c>
      <c r="AE36" s="43" t="s">
        <v>35</v>
      </c>
      <c r="AF36" s="43" t="s">
        <v>35</v>
      </c>
      <c r="AG36" s="43">
        <v>17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225378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28302</v>
      </c>
      <c r="I37" s="43">
        <v>28519</v>
      </c>
      <c r="J37" s="43">
        <v>28505</v>
      </c>
      <c r="K37" s="72">
        <v>28557</v>
      </c>
      <c r="L37" s="43">
        <v>28300</v>
      </c>
      <c r="M37" s="43" t="s">
        <v>35</v>
      </c>
      <c r="N37" s="43" t="s">
        <v>35</v>
      </c>
      <c r="O37" s="43">
        <v>29610</v>
      </c>
      <c r="P37" s="43">
        <v>28875</v>
      </c>
      <c r="Q37" s="43">
        <v>24710</v>
      </c>
      <c r="R37" s="43" t="s">
        <v>35</v>
      </c>
      <c r="T37" s="43" t="s">
        <v>82</v>
      </c>
      <c r="U37" s="43">
        <v>6402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801</v>
      </c>
      <c r="AB37" s="43">
        <v>690</v>
      </c>
      <c r="AC37" s="43">
        <v>729</v>
      </c>
      <c r="AD37" s="72">
        <v>796</v>
      </c>
      <c r="AE37" s="43">
        <v>815</v>
      </c>
      <c r="AF37" s="43" t="s">
        <v>35</v>
      </c>
      <c r="AG37" s="43" t="s">
        <v>35</v>
      </c>
      <c r="AH37" s="43">
        <v>1093</v>
      </c>
      <c r="AI37" s="43">
        <v>796</v>
      </c>
      <c r="AJ37" s="43">
        <v>682</v>
      </c>
      <c r="AK37" s="43" t="s">
        <v>35</v>
      </c>
      <c r="AU37" s="49"/>
    </row>
    <row r="38" spans="1:47" ht="45">
      <c r="A38" s="43" t="s">
        <v>83</v>
      </c>
      <c r="B38" s="43">
        <v>64214</v>
      </c>
      <c r="C38" s="43">
        <v>17</v>
      </c>
      <c r="D38" s="43">
        <v>816</v>
      </c>
      <c r="E38" s="43">
        <v>784</v>
      </c>
      <c r="F38" s="43">
        <v>848</v>
      </c>
      <c r="G38" s="43">
        <v>924</v>
      </c>
      <c r="H38" s="43">
        <v>10695</v>
      </c>
      <c r="I38" s="43">
        <v>10513</v>
      </c>
      <c r="J38" s="43">
        <v>9861</v>
      </c>
      <c r="K38" s="72">
        <v>9326</v>
      </c>
      <c r="L38" s="43">
        <v>6951</v>
      </c>
      <c r="M38" s="43">
        <v>4699</v>
      </c>
      <c r="N38" s="43" t="s">
        <v>35</v>
      </c>
      <c r="O38" s="43" t="s">
        <v>35</v>
      </c>
      <c r="P38" s="43">
        <v>3239</v>
      </c>
      <c r="Q38" s="43">
        <v>3158</v>
      </c>
      <c r="R38" s="43">
        <v>2383</v>
      </c>
      <c r="T38" s="43" t="s">
        <v>83</v>
      </c>
      <c r="U38" s="43">
        <v>2972</v>
      </c>
      <c r="V38" s="43">
        <v>11</v>
      </c>
      <c r="W38" s="43">
        <v>53</v>
      </c>
      <c r="X38" s="43">
        <v>46</v>
      </c>
      <c r="Y38" s="43">
        <v>36</v>
      </c>
      <c r="Z38" s="43">
        <v>68</v>
      </c>
      <c r="AA38" s="43">
        <v>477</v>
      </c>
      <c r="AB38" s="43">
        <v>449</v>
      </c>
      <c r="AC38" s="43">
        <v>425</v>
      </c>
      <c r="AD38" s="72">
        <v>389</v>
      </c>
      <c r="AE38" s="43">
        <v>377</v>
      </c>
      <c r="AF38" s="43">
        <v>251</v>
      </c>
      <c r="AG38" s="43" t="s">
        <v>35</v>
      </c>
      <c r="AH38" s="43" t="s">
        <v>35</v>
      </c>
      <c r="AI38" s="43">
        <v>163</v>
      </c>
      <c r="AJ38" s="43">
        <v>136</v>
      </c>
      <c r="AK38" s="43">
        <v>91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5641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761</v>
      </c>
      <c r="I40" s="43">
        <v>804</v>
      </c>
      <c r="J40" s="43">
        <v>995</v>
      </c>
      <c r="K40" s="72">
        <v>1137</v>
      </c>
      <c r="L40" s="43">
        <v>1073</v>
      </c>
      <c r="M40" s="43">
        <v>856</v>
      </c>
      <c r="N40" s="43">
        <v>15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397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42</v>
      </c>
      <c r="AB40" s="43">
        <v>44</v>
      </c>
      <c r="AC40" s="43">
        <v>65</v>
      </c>
      <c r="AD40" s="72">
        <v>82</v>
      </c>
      <c r="AE40" s="43">
        <v>85</v>
      </c>
      <c r="AF40" s="43">
        <v>64</v>
      </c>
      <c r="AG40" s="43">
        <v>15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16386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2666</v>
      </c>
      <c r="I41" s="43">
        <v>2549</v>
      </c>
      <c r="J41" s="43">
        <v>2659</v>
      </c>
      <c r="K41" s="72">
        <v>2849</v>
      </c>
      <c r="L41" s="43">
        <v>2901</v>
      </c>
      <c r="M41" s="43">
        <v>2748</v>
      </c>
      <c r="N41" s="43">
        <v>14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596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78</v>
      </c>
      <c r="AB41" s="43">
        <v>75</v>
      </c>
      <c r="AC41" s="43">
        <v>104</v>
      </c>
      <c r="AD41" s="72">
        <v>95</v>
      </c>
      <c r="AE41" s="43">
        <v>110</v>
      </c>
      <c r="AF41" s="43">
        <v>120</v>
      </c>
      <c r="AG41" s="43">
        <v>14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16214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2015</v>
      </c>
      <c r="I42" s="43">
        <v>2078</v>
      </c>
      <c r="J42" s="43">
        <v>2097</v>
      </c>
      <c r="K42" s="72">
        <v>2092</v>
      </c>
      <c r="L42" s="43">
        <v>2003</v>
      </c>
      <c r="M42" s="43" t="s">
        <v>35</v>
      </c>
      <c r="N42" s="43" t="s">
        <v>35</v>
      </c>
      <c r="O42" s="43">
        <v>2194</v>
      </c>
      <c r="P42" s="43">
        <v>2072</v>
      </c>
      <c r="Q42" s="43">
        <v>1663</v>
      </c>
      <c r="R42" s="43" t="s">
        <v>35</v>
      </c>
      <c r="T42" s="43" t="s">
        <v>87</v>
      </c>
      <c r="U42" s="43">
        <v>319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28</v>
      </c>
      <c r="AB42" s="43">
        <v>41</v>
      </c>
      <c r="AC42" s="43">
        <v>30</v>
      </c>
      <c r="AD42" s="72">
        <v>32</v>
      </c>
      <c r="AE42" s="43">
        <v>52</v>
      </c>
      <c r="AF42" s="43" t="s">
        <v>35</v>
      </c>
      <c r="AG42" s="43" t="s">
        <v>35</v>
      </c>
      <c r="AH42" s="43">
        <v>51</v>
      </c>
      <c r="AI42" s="43">
        <v>54</v>
      </c>
      <c r="AJ42" s="43">
        <v>31</v>
      </c>
      <c r="AK42" s="43" t="s">
        <v>35</v>
      </c>
      <c r="AU42" s="49"/>
    </row>
    <row r="43" spans="1:47" ht="75">
      <c r="A43" s="43" t="s">
        <v>88</v>
      </c>
      <c r="B43" s="43">
        <v>4483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481</v>
      </c>
      <c r="I43" s="43">
        <v>546</v>
      </c>
      <c r="J43" s="43">
        <v>561</v>
      </c>
      <c r="K43" s="72">
        <v>524</v>
      </c>
      <c r="L43" s="43">
        <v>564</v>
      </c>
      <c r="M43" s="43">
        <v>617</v>
      </c>
      <c r="N43" s="43" t="s">
        <v>35</v>
      </c>
      <c r="O43" s="43" t="s">
        <v>35</v>
      </c>
      <c r="P43" s="43">
        <v>511</v>
      </c>
      <c r="Q43" s="43">
        <v>364</v>
      </c>
      <c r="R43" s="43">
        <v>315</v>
      </c>
      <c r="T43" s="43" t="s">
        <v>88</v>
      </c>
      <c r="U43" s="43">
        <v>114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7</v>
      </c>
      <c r="AB43" s="43">
        <v>20</v>
      </c>
      <c r="AC43" s="43">
        <v>16</v>
      </c>
      <c r="AD43" s="72">
        <v>9</v>
      </c>
      <c r="AE43" s="43">
        <v>17</v>
      </c>
      <c r="AF43" s="43">
        <v>14</v>
      </c>
      <c r="AG43" s="43" t="s">
        <v>35</v>
      </c>
      <c r="AH43" s="43" t="s">
        <v>35</v>
      </c>
      <c r="AI43" s="43">
        <v>11</v>
      </c>
      <c r="AJ43" s="43">
        <v>13</v>
      </c>
      <c r="AK43" s="43">
        <v>7</v>
      </c>
      <c r="AU43" s="49"/>
    </row>
    <row r="44" spans="1:47" ht="45">
      <c r="A44" s="43" t="s">
        <v>89</v>
      </c>
      <c r="B44" s="43">
        <v>44</v>
      </c>
      <c r="C44" s="43">
        <v>44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2</v>
      </c>
      <c r="V44" s="43">
        <v>2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13873</v>
      </c>
      <c r="C45" s="43" t="s">
        <v>35</v>
      </c>
      <c r="D45" s="43" t="s">
        <v>35</v>
      </c>
      <c r="E45" s="43">
        <v>552</v>
      </c>
      <c r="F45" s="43">
        <v>705</v>
      </c>
      <c r="G45" s="43">
        <v>983</v>
      </c>
      <c r="H45" s="43">
        <v>1360</v>
      </c>
      <c r="I45" s="43">
        <v>1862</v>
      </c>
      <c r="J45" s="43">
        <v>2152</v>
      </c>
      <c r="K45" s="72">
        <v>2349</v>
      </c>
      <c r="L45" s="43">
        <v>2658</v>
      </c>
      <c r="M45" s="43">
        <v>1252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1650</v>
      </c>
      <c r="V45" s="43" t="s">
        <v>35</v>
      </c>
      <c r="W45" s="43" t="s">
        <v>35</v>
      </c>
      <c r="X45" s="43">
        <v>52</v>
      </c>
      <c r="Y45" s="43">
        <v>85</v>
      </c>
      <c r="Z45" s="43">
        <v>94</v>
      </c>
      <c r="AA45" s="43">
        <v>145</v>
      </c>
      <c r="AB45" s="43">
        <v>189</v>
      </c>
      <c r="AC45" s="43">
        <v>256</v>
      </c>
      <c r="AD45" s="72">
        <v>300</v>
      </c>
      <c r="AE45" s="43">
        <v>367</v>
      </c>
      <c r="AF45" s="43">
        <v>162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7157</v>
      </c>
      <c r="C46" s="43" t="s">
        <v>35</v>
      </c>
      <c r="D46" s="43">
        <v>1908</v>
      </c>
      <c r="E46" s="43" t="s">
        <v>35</v>
      </c>
      <c r="F46" s="43" t="s">
        <v>35</v>
      </c>
      <c r="G46" s="43" t="s">
        <v>35</v>
      </c>
      <c r="H46" s="43">
        <v>3144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2105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568</v>
      </c>
      <c r="V46" s="43" t="s">
        <v>35</v>
      </c>
      <c r="W46" s="43">
        <v>143</v>
      </c>
      <c r="X46" s="43" t="s">
        <v>35</v>
      </c>
      <c r="Y46" s="43" t="s">
        <v>35</v>
      </c>
      <c r="Z46" s="43" t="s">
        <v>35</v>
      </c>
      <c r="AA46" s="43">
        <v>247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178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10274</v>
      </c>
      <c r="C47" s="43" t="s">
        <v>35</v>
      </c>
      <c r="D47" s="43">
        <v>1411</v>
      </c>
      <c r="E47" s="43">
        <v>1661</v>
      </c>
      <c r="F47" s="43">
        <v>1193</v>
      </c>
      <c r="G47" s="43">
        <v>1121</v>
      </c>
      <c r="H47" s="43">
        <v>779</v>
      </c>
      <c r="I47" s="43">
        <v>866</v>
      </c>
      <c r="J47" s="43">
        <v>938</v>
      </c>
      <c r="K47" s="72">
        <v>977</v>
      </c>
      <c r="L47" s="43">
        <v>940</v>
      </c>
      <c r="M47" s="43">
        <v>388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519</v>
      </c>
      <c r="V47" s="43" t="s">
        <v>35</v>
      </c>
      <c r="W47" s="43">
        <v>86</v>
      </c>
      <c r="X47" s="43">
        <v>90</v>
      </c>
      <c r="Y47" s="43">
        <v>70</v>
      </c>
      <c r="Z47" s="43">
        <v>57</v>
      </c>
      <c r="AA47" s="43">
        <v>33</v>
      </c>
      <c r="AB47" s="43">
        <v>32</v>
      </c>
      <c r="AC47" s="43">
        <v>41</v>
      </c>
      <c r="AD47" s="72">
        <v>45</v>
      </c>
      <c r="AE47" s="43">
        <v>46</v>
      </c>
      <c r="AF47" s="43">
        <v>19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917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410</v>
      </c>
      <c r="Q48" s="43">
        <v>310</v>
      </c>
      <c r="R48" s="43">
        <v>197</v>
      </c>
      <c r="T48" s="43" t="s">
        <v>93</v>
      </c>
      <c r="U48" s="43">
        <v>52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28</v>
      </c>
      <c r="AJ48" s="43">
        <v>17</v>
      </c>
      <c r="AK48" s="43">
        <v>7</v>
      </c>
      <c r="AU48" s="49"/>
    </row>
    <row r="49" spans="1:47">
      <c r="A49" s="43" t="s">
        <v>94</v>
      </c>
      <c r="B49" s="43">
        <v>984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418</v>
      </c>
      <c r="Q49" s="43">
        <v>341</v>
      </c>
      <c r="R49" s="43">
        <v>225</v>
      </c>
      <c r="T49" s="43" t="s">
        <v>94</v>
      </c>
      <c r="U49" s="43">
        <v>59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29</v>
      </c>
      <c r="AJ49" s="43">
        <v>19</v>
      </c>
      <c r="AK49" s="43">
        <v>11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164892</v>
      </c>
      <c r="C52" s="43">
        <v>561</v>
      </c>
      <c r="D52" s="43">
        <v>13602</v>
      </c>
      <c r="E52" s="43">
        <v>14125</v>
      </c>
      <c r="F52" s="43">
        <v>13983</v>
      </c>
      <c r="G52" s="43">
        <v>13954</v>
      </c>
      <c r="H52" s="43">
        <v>14424</v>
      </c>
      <c r="I52" s="43">
        <v>14581</v>
      </c>
      <c r="J52" s="43">
        <v>15427</v>
      </c>
      <c r="K52" s="72">
        <v>16169</v>
      </c>
      <c r="L52" s="43">
        <v>16299</v>
      </c>
      <c r="M52" s="43">
        <v>10098</v>
      </c>
      <c r="N52" s="43">
        <v>131</v>
      </c>
      <c r="O52" s="43">
        <v>6365</v>
      </c>
      <c r="P52" s="43">
        <v>7654</v>
      </c>
      <c r="Q52" s="43">
        <v>6535</v>
      </c>
      <c r="R52" s="43">
        <v>984</v>
      </c>
      <c r="T52" s="43" t="s">
        <v>40</v>
      </c>
      <c r="U52" s="43">
        <v>9830</v>
      </c>
      <c r="V52" s="43">
        <v>77</v>
      </c>
      <c r="W52" s="43">
        <v>963</v>
      </c>
      <c r="X52" s="43">
        <v>969</v>
      </c>
      <c r="Y52" s="43">
        <v>937</v>
      </c>
      <c r="Z52" s="43">
        <v>996</v>
      </c>
      <c r="AA52" s="43">
        <v>741</v>
      </c>
      <c r="AB52" s="43">
        <v>647</v>
      </c>
      <c r="AC52" s="43">
        <v>778</v>
      </c>
      <c r="AD52" s="72">
        <v>943</v>
      </c>
      <c r="AE52" s="43">
        <v>1055</v>
      </c>
      <c r="AF52" s="43">
        <v>835</v>
      </c>
      <c r="AG52" s="43">
        <v>120</v>
      </c>
      <c r="AH52" s="43">
        <v>297</v>
      </c>
      <c r="AI52" s="43">
        <v>251</v>
      </c>
      <c r="AJ52" s="43">
        <v>207</v>
      </c>
      <c r="AK52" s="43">
        <v>14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544</v>
      </c>
      <c r="C54" s="43">
        <v>544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66</v>
      </c>
      <c r="V54" s="43">
        <v>66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53415</v>
      </c>
      <c r="C55" s="43" t="s">
        <v>35</v>
      </c>
      <c r="D55" s="43">
        <v>12888</v>
      </c>
      <c r="E55" s="43">
        <v>13630</v>
      </c>
      <c r="F55" s="43">
        <v>13483</v>
      </c>
      <c r="G55" s="43">
        <v>13380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34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3691</v>
      </c>
      <c r="V55" s="43" t="s">
        <v>35</v>
      </c>
      <c r="W55" s="43">
        <v>886</v>
      </c>
      <c r="X55" s="43">
        <v>930</v>
      </c>
      <c r="Y55" s="43">
        <v>893</v>
      </c>
      <c r="Z55" s="43">
        <v>950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32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9792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713</v>
      </c>
      <c r="I57" s="43">
        <v>1019</v>
      </c>
      <c r="J57" s="43">
        <v>1550</v>
      </c>
      <c r="K57" s="72">
        <v>2002</v>
      </c>
      <c r="L57" s="43">
        <v>2375</v>
      </c>
      <c r="M57" s="43">
        <v>2051</v>
      </c>
      <c r="N57" s="43">
        <v>82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1419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103</v>
      </c>
      <c r="AB57" s="43">
        <v>145</v>
      </c>
      <c r="AC57" s="43">
        <v>222</v>
      </c>
      <c r="AD57" s="72">
        <v>258</v>
      </c>
      <c r="AE57" s="43">
        <v>337</v>
      </c>
      <c r="AF57" s="43">
        <v>280</v>
      </c>
      <c r="AG57" s="43">
        <v>74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23648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2416</v>
      </c>
      <c r="I59" s="43">
        <v>2667</v>
      </c>
      <c r="J59" s="43">
        <v>3428</v>
      </c>
      <c r="K59" s="72">
        <v>4435</v>
      </c>
      <c r="L59" s="43">
        <v>5067</v>
      </c>
      <c r="M59" s="43">
        <v>5620</v>
      </c>
      <c r="N59" s="43">
        <v>15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1703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194</v>
      </c>
      <c r="AB59" s="43">
        <v>143</v>
      </c>
      <c r="AC59" s="43">
        <v>219</v>
      </c>
      <c r="AD59" s="72">
        <v>357</v>
      </c>
      <c r="AE59" s="43">
        <v>377</v>
      </c>
      <c r="AF59" s="43">
        <v>399</v>
      </c>
      <c r="AG59" s="43">
        <v>14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3581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1256</v>
      </c>
      <c r="I60" s="43">
        <v>1333</v>
      </c>
      <c r="J60" s="43">
        <v>992</v>
      </c>
      <c r="K60" s="72" t="s">
        <v>35</v>
      </c>
      <c r="L60" s="43" t="s">
        <v>35</v>
      </c>
      <c r="M60" s="43" t="s">
        <v>35</v>
      </c>
      <c r="N60" s="43" t="s">
        <v>35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119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57</v>
      </c>
      <c r="AB60" s="43">
        <v>34</v>
      </c>
      <c r="AC60" s="43">
        <v>28</v>
      </c>
      <c r="AD60" s="72" t="s">
        <v>35</v>
      </c>
      <c r="AE60" s="43" t="s">
        <v>35</v>
      </c>
      <c r="AF60" s="43" t="s">
        <v>35</v>
      </c>
      <c r="AG60" s="43" t="s">
        <v>35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46945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5716</v>
      </c>
      <c r="I61" s="43">
        <v>5716</v>
      </c>
      <c r="J61" s="43">
        <v>5843</v>
      </c>
      <c r="K61" s="72">
        <v>5885</v>
      </c>
      <c r="L61" s="43">
        <v>5869</v>
      </c>
      <c r="M61" s="43" t="s">
        <v>35</v>
      </c>
      <c r="N61" s="43" t="s">
        <v>35</v>
      </c>
      <c r="O61" s="43">
        <v>6325</v>
      </c>
      <c r="P61" s="43">
        <v>6296</v>
      </c>
      <c r="Q61" s="43">
        <v>5295</v>
      </c>
      <c r="R61" s="43" t="s">
        <v>35</v>
      </c>
      <c r="T61" s="43" t="s">
        <v>82</v>
      </c>
      <c r="U61" s="43">
        <v>1504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192</v>
      </c>
      <c r="AB61" s="43">
        <v>155</v>
      </c>
      <c r="AC61" s="43">
        <v>160</v>
      </c>
      <c r="AD61" s="72">
        <v>161</v>
      </c>
      <c r="AE61" s="43">
        <v>164</v>
      </c>
      <c r="AF61" s="43" t="s">
        <v>35</v>
      </c>
      <c r="AG61" s="43" t="s">
        <v>35</v>
      </c>
      <c r="AH61" s="43">
        <v>297</v>
      </c>
      <c r="AI61" s="43">
        <v>209</v>
      </c>
      <c r="AJ61" s="43">
        <v>166</v>
      </c>
      <c r="AK61" s="43" t="s">
        <v>35</v>
      </c>
      <c r="AU61" s="49"/>
    </row>
    <row r="62" spans="1:47" ht="45">
      <c r="A62" s="43" t="s">
        <v>83</v>
      </c>
      <c r="B62" s="43">
        <v>16175</v>
      </c>
      <c r="C62" s="43">
        <v>17</v>
      </c>
      <c r="D62" s="43">
        <v>133</v>
      </c>
      <c r="E62" s="43">
        <v>144</v>
      </c>
      <c r="F62" s="43">
        <v>149</v>
      </c>
      <c r="G62" s="43">
        <v>155</v>
      </c>
      <c r="H62" s="43">
        <v>2769</v>
      </c>
      <c r="I62" s="43">
        <v>2721</v>
      </c>
      <c r="J62" s="43">
        <v>2456</v>
      </c>
      <c r="K62" s="72">
        <v>2541</v>
      </c>
      <c r="L62" s="43">
        <v>1760</v>
      </c>
      <c r="M62" s="43">
        <v>1201</v>
      </c>
      <c r="N62" s="43" t="s">
        <v>35</v>
      </c>
      <c r="O62" s="43" t="s">
        <v>35</v>
      </c>
      <c r="P62" s="43">
        <v>770</v>
      </c>
      <c r="Q62" s="43">
        <v>757</v>
      </c>
      <c r="R62" s="43">
        <v>602</v>
      </c>
      <c r="T62" s="43" t="s">
        <v>83</v>
      </c>
      <c r="U62" s="43">
        <v>615</v>
      </c>
      <c r="V62" s="43">
        <v>11</v>
      </c>
      <c r="W62" s="43">
        <v>18</v>
      </c>
      <c r="X62" s="43">
        <v>21</v>
      </c>
      <c r="Y62" s="43">
        <v>11</v>
      </c>
      <c r="Z62" s="43">
        <v>13</v>
      </c>
      <c r="AA62" s="43">
        <v>85</v>
      </c>
      <c r="AB62" s="43">
        <v>102</v>
      </c>
      <c r="AC62" s="43">
        <v>80</v>
      </c>
      <c r="AD62" s="72">
        <v>80</v>
      </c>
      <c r="AE62" s="43">
        <v>91</v>
      </c>
      <c r="AF62" s="43">
        <v>57</v>
      </c>
      <c r="AG62" s="43" t="s">
        <v>35</v>
      </c>
      <c r="AH62" s="43" t="s">
        <v>35</v>
      </c>
      <c r="AI62" s="43">
        <v>18</v>
      </c>
      <c r="AJ62" s="43">
        <v>24</v>
      </c>
      <c r="AK62" s="43">
        <v>4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583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105</v>
      </c>
      <c r="I64" s="43">
        <v>106</v>
      </c>
      <c r="J64" s="43">
        <v>77</v>
      </c>
      <c r="K64" s="72">
        <v>114</v>
      </c>
      <c r="L64" s="43">
        <v>95</v>
      </c>
      <c r="M64" s="43">
        <v>86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23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4</v>
      </c>
      <c r="AB64" s="43">
        <v>4</v>
      </c>
      <c r="AC64" s="43">
        <v>8</v>
      </c>
      <c r="AD64" s="72">
        <v>3</v>
      </c>
      <c r="AE64" s="43">
        <v>3</v>
      </c>
      <c r="AF64" s="43">
        <v>1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1617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272</v>
      </c>
      <c r="I65" s="43">
        <v>263</v>
      </c>
      <c r="J65" s="43">
        <v>272</v>
      </c>
      <c r="K65" s="72">
        <v>326</v>
      </c>
      <c r="L65" s="43">
        <v>230</v>
      </c>
      <c r="M65" s="43">
        <v>254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38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5</v>
      </c>
      <c r="AB65" s="43">
        <v>10</v>
      </c>
      <c r="AC65" s="43">
        <v>5</v>
      </c>
      <c r="AD65" s="72">
        <v>10</v>
      </c>
      <c r="AE65" s="43">
        <v>6</v>
      </c>
      <c r="AF65" s="43">
        <v>2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426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89</v>
      </c>
      <c r="I66" s="43">
        <v>84</v>
      </c>
      <c r="J66" s="43">
        <v>99</v>
      </c>
      <c r="K66" s="72">
        <v>82</v>
      </c>
      <c r="L66" s="43">
        <v>32</v>
      </c>
      <c r="M66" s="43" t="s">
        <v>35</v>
      </c>
      <c r="N66" s="43" t="s">
        <v>35</v>
      </c>
      <c r="O66" s="43">
        <v>40</v>
      </c>
      <c r="P66" s="43" t="s">
        <v>35</v>
      </c>
      <c r="Q66" s="43" t="s">
        <v>35</v>
      </c>
      <c r="R66" s="43" t="s">
        <v>35</v>
      </c>
      <c r="T66" s="43" t="s">
        <v>87</v>
      </c>
      <c r="U66" s="43">
        <v>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2</v>
      </c>
      <c r="AC66" s="43">
        <v>1</v>
      </c>
      <c r="AD66" s="72">
        <v>1</v>
      </c>
      <c r="AE66" s="43" t="s">
        <v>35</v>
      </c>
      <c r="AF66" s="43" t="s">
        <v>35</v>
      </c>
      <c r="AG66" s="43" t="s">
        <v>35</v>
      </c>
      <c r="AH66" s="43" t="s">
        <v>35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1854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160</v>
      </c>
      <c r="I67" s="43">
        <v>174</v>
      </c>
      <c r="J67" s="43">
        <v>194</v>
      </c>
      <c r="K67" s="72">
        <v>190</v>
      </c>
      <c r="L67" s="43">
        <v>195</v>
      </c>
      <c r="M67" s="43">
        <v>211</v>
      </c>
      <c r="N67" s="43" t="s">
        <v>35</v>
      </c>
      <c r="O67" s="43" t="s">
        <v>35</v>
      </c>
      <c r="P67" s="43">
        <v>297</v>
      </c>
      <c r="Q67" s="43">
        <v>221</v>
      </c>
      <c r="R67" s="43">
        <v>212</v>
      </c>
      <c r="T67" s="43" t="s">
        <v>88</v>
      </c>
      <c r="U67" s="43">
        <v>25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 t="s">
        <v>35</v>
      </c>
      <c r="AB67" s="43">
        <v>5</v>
      </c>
      <c r="AC67" s="43">
        <v>1</v>
      </c>
      <c r="AD67" s="72">
        <v>2</v>
      </c>
      <c r="AE67" s="43">
        <v>4</v>
      </c>
      <c r="AF67" s="43">
        <v>1</v>
      </c>
      <c r="AG67" s="43" t="s">
        <v>35</v>
      </c>
      <c r="AH67" s="43" t="s">
        <v>35</v>
      </c>
      <c r="AI67" s="43">
        <v>5</v>
      </c>
      <c r="AJ67" s="43">
        <v>3</v>
      </c>
      <c r="AK67" s="43">
        <v>4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2361</v>
      </c>
      <c r="C69" s="43" t="s">
        <v>35</v>
      </c>
      <c r="D69" s="43" t="s">
        <v>35</v>
      </c>
      <c r="E69" s="43">
        <v>78</v>
      </c>
      <c r="F69" s="43">
        <v>113</v>
      </c>
      <c r="G69" s="43">
        <v>161</v>
      </c>
      <c r="H69" s="43">
        <v>218</v>
      </c>
      <c r="I69" s="43">
        <v>327</v>
      </c>
      <c r="J69" s="43">
        <v>348</v>
      </c>
      <c r="K69" s="72">
        <v>414</v>
      </c>
      <c r="L69" s="43">
        <v>450</v>
      </c>
      <c r="M69" s="43">
        <v>252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339</v>
      </c>
      <c r="V69" s="43" t="s">
        <v>35</v>
      </c>
      <c r="W69" s="43" t="s">
        <v>35</v>
      </c>
      <c r="X69" s="43">
        <v>7</v>
      </c>
      <c r="Y69" s="43">
        <v>17</v>
      </c>
      <c r="Z69" s="43">
        <v>18</v>
      </c>
      <c r="AA69" s="43">
        <v>33</v>
      </c>
      <c r="AB69" s="43">
        <v>42</v>
      </c>
      <c r="AC69" s="43">
        <v>52</v>
      </c>
      <c r="AD69" s="72">
        <v>65</v>
      </c>
      <c r="AE69" s="43">
        <v>65</v>
      </c>
      <c r="AF69" s="43">
        <v>40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1327</v>
      </c>
      <c r="C70" s="43" t="s">
        <v>35</v>
      </c>
      <c r="D70" s="43">
        <v>360</v>
      </c>
      <c r="E70" s="43" t="s">
        <v>35</v>
      </c>
      <c r="F70" s="43" t="s">
        <v>35</v>
      </c>
      <c r="G70" s="43" t="s">
        <v>35</v>
      </c>
      <c r="H70" s="43">
        <v>563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404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165</v>
      </c>
      <c r="V70" s="43" t="s">
        <v>35</v>
      </c>
      <c r="W70" s="43">
        <v>45</v>
      </c>
      <c r="X70" s="43" t="s">
        <v>35</v>
      </c>
      <c r="Y70" s="43" t="s">
        <v>35</v>
      </c>
      <c r="Z70" s="43" t="s">
        <v>35</v>
      </c>
      <c r="AA70" s="43">
        <v>66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54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1901</v>
      </c>
      <c r="C71" s="43" t="s">
        <v>35</v>
      </c>
      <c r="D71" s="43">
        <v>221</v>
      </c>
      <c r="E71" s="43">
        <v>273</v>
      </c>
      <c r="F71" s="43">
        <v>238</v>
      </c>
      <c r="G71" s="43">
        <v>258</v>
      </c>
      <c r="H71" s="43">
        <v>147</v>
      </c>
      <c r="I71" s="43">
        <v>171</v>
      </c>
      <c r="J71" s="43">
        <v>168</v>
      </c>
      <c r="K71" s="72">
        <v>180</v>
      </c>
      <c r="L71" s="43">
        <v>226</v>
      </c>
      <c r="M71" s="43">
        <v>19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80</v>
      </c>
      <c r="V71" s="43" t="s">
        <v>35</v>
      </c>
      <c r="W71" s="43">
        <v>14</v>
      </c>
      <c r="X71" s="43">
        <v>11</v>
      </c>
      <c r="Y71" s="43">
        <v>16</v>
      </c>
      <c r="Z71" s="43">
        <v>15</v>
      </c>
      <c r="AA71" s="43">
        <v>2</v>
      </c>
      <c r="AB71" s="43">
        <v>5</v>
      </c>
      <c r="AC71" s="43">
        <v>2</v>
      </c>
      <c r="AD71" s="72">
        <v>6</v>
      </c>
      <c r="AE71" s="43">
        <v>8</v>
      </c>
      <c r="AF71" s="43">
        <v>1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334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129</v>
      </c>
      <c r="Q72" s="43">
        <v>122</v>
      </c>
      <c r="R72" s="43">
        <v>83</v>
      </c>
      <c r="T72" s="43" t="s">
        <v>93</v>
      </c>
      <c r="U72" s="43">
        <v>19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7</v>
      </c>
      <c r="AJ72" s="43">
        <v>8</v>
      </c>
      <c r="AK72" s="43">
        <v>4</v>
      </c>
      <c r="AU72" s="49"/>
    </row>
    <row r="73" spans="1:47">
      <c r="A73" s="43" t="s">
        <v>94</v>
      </c>
      <c r="B73" s="43">
        <v>389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162</v>
      </c>
      <c r="Q73" s="43">
        <v>140</v>
      </c>
      <c r="R73" s="43">
        <v>87</v>
      </c>
      <c r="T73" s="43" t="s">
        <v>94</v>
      </c>
      <c r="U73" s="43">
        <v>20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12</v>
      </c>
      <c r="AJ73" s="43">
        <v>6</v>
      </c>
      <c r="AK73" s="43">
        <v>2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226107</v>
      </c>
      <c r="C76" s="43">
        <v>679</v>
      </c>
      <c r="D76" s="43">
        <v>19012</v>
      </c>
      <c r="E76" s="43">
        <v>19690</v>
      </c>
      <c r="F76" s="43">
        <v>19502</v>
      </c>
      <c r="G76" s="43">
        <v>19432</v>
      </c>
      <c r="H76" s="43">
        <v>19906</v>
      </c>
      <c r="I76" s="43">
        <v>19708</v>
      </c>
      <c r="J76" s="43">
        <v>20580</v>
      </c>
      <c r="K76" s="72">
        <v>21690</v>
      </c>
      <c r="L76" s="43">
        <v>22582</v>
      </c>
      <c r="M76" s="43">
        <v>13406</v>
      </c>
      <c r="N76" s="43">
        <v>222</v>
      </c>
      <c r="O76" s="43">
        <v>8957</v>
      </c>
      <c r="P76" s="43">
        <v>10500</v>
      </c>
      <c r="Q76" s="43">
        <v>9117</v>
      </c>
      <c r="R76" s="43">
        <v>1124</v>
      </c>
      <c r="T76" s="43" t="s">
        <v>40</v>
      </c>
      <c r="U76" s="43">
        <v>17063</v>
      </c>
      <c r="V76" s="43">
        <v>120</v>
      </c>
      <c r="W76" s="43">
        <v>1584</v>
      </c>
      <c r="X76" s="43">
        <v>1594</v>
      </c>
      <c r="Y76" s="43">
        <v>1634</v>
      </c>
      <c r="Z76" s="43">
        <v>1687</v>
      </c>
      <c r="AA76" s="43">
        <v>1207</v>
      </c>
      <c r="AB76" s="43">
        <v>1158</v>
      </c>
      <c r="AC76" s="43">
        <v>1324</v>
      </c>
      <c r="AD76" s="72">
        <v>1672</v>
      </c>
      <c r="AE76" s="43">
        <v>1991</v>
      </c>
      <c r="AF76" s="43">
        <v>1385</v>
      </c>
      <c r="AG76" s="43">
        <v>204</v>
      </c>
      <c r="AH76" s="43">
        <v>468</v>
      </c>
      <c r="AI76" s="43">
        <v>502</v>
      </c>
      <c r="AJ76" s="43">
        <v>447</v>
      </c>
      <c r="AK76" s="43">
        <v>86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636</v>
      </c>
      <c r="C78" s="43">
        <v>636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118</v>
      </c>
      <c r="V78" s="43">
        <v>118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73610</v>
      </c>
      <c r="C79" s="43" t="s">
        <v>35</v>
      </c>
      <c r="D79" s="43">
        <v>17744</v>
      </c>
      <c r="E79" s="43">
        <v>18781</v>
      </c>
      <c r="F79" s="43">
        <v>18626</v>
      </c>
      <c r="G79" s="43">
        <v>18459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 t="s">
        <v>35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6131</v>
      </c>
      <c r="V79" s="43" t="s">
        <v>35</v>
      </c>
      <c r="W79" s="43">
        <v>1474</v>
      </c>
      <c r="X79" s="43">
        <v>1525</v>
      </c>
      <c r="Y79" s="43">
        <v>1552</v>
      </c>
      <c r="Z79" s="43">
        <v>1580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 t="s">
        <v>35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10024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546</v>
      </c>
      <c r="I81" s="43">
        <v>782</v>
      </c>
      <c r="J81" s="43">
        <v>1327</v>
      </c>
      <c r="K81" s="72">
        <v>2278</v>
      </c>
      <c r="L81" s="43">
        <v>2634</v>
      </c>
      <c r="M81" s="43">
        <v>2264</v>
      </c>
      <c r="N81" s="43">
        <v>193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1781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86</v>
      </c>
      <c r="AB81" s="43">
        <v>136</v>
      </c>
      <c r="AC81" s="43">
        <v>184</v>
      </c>
      <c r="AD81" s="72">
        <v>389</v>
      </c>
      <c r="AE81" s="43">
        <v>463</v>
      </c>
      <c r="AF81" s="43">
        <v>348</v>
      </c>
      <c r="AG81" s="43">
        <v>175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26162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2540</v>
      </c>
      <c r="I83" s="43">
        <v>2826</v>
      </c>
      <c r="J83" s="43">
        <v>3434</v>
      </c>
      <c r="K83" s="72">
        <v>5060</v>
      </c>
      <c r="L83" s="43">
        <v>5780</v>
      </c>
      <c r="M83" s="43">
        <v>6522</v>
      </c>
      <c r="N83" s="43" t="s">
        <v>35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2415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205</v>
      </c>
      <c r="AB83" s="43">
        <v>230</v>
      </c>
      <c r="AC83" s="43">
        <v>317</v>
      </c>
      <c r="AD83" s="72">
        <v>465</v>
      </c>
      <c r="AE83" s="43">
        <v>599</v>
      </c>
      <c r="AF83" s="43">
        <v>599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5571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1954</v>
      </c>
      <c r="I84" s="43">
        <v>2087</v>
      </c>
      <c r="J84" s="43">
        <v>1530</v>
      </c>
      <c r="K84" s="72" t="s">
        <v>35</v>
      </c>
      <c r="L84" s="43" t="s">
        <v>35</v>
      </c>
      <c r="M84" s="43" t="s">
        <v>35</v>
      </c>
      <c r="N84" s="43" t="s">
        <v>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393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128</v>
      </c>
      <c r="AB84" s="43">
        <v>153</v>
      </c>
      <c r="AC84" s="43">
        <v>112</v>
      </c>
      <c r="AD84" s="72" t="s">
        <v>35</v>
      </c>
      <c r="AE84" s="43" t="s">
        <v>35</v>
      </c>
      <c r="AF84" s="43" t="s">
        <v>35</v>
      </c>
      <c r="AG84" s="43" t="s">
        <v>35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59269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7456</v>
      </c>
      <c r="I85" s="43">
        <v>7450</v>
      </c>
      <c r="J85" s="43">
        <v>7339</v>
      </c>
      <c r="K85" s="72">
        <v>7385</v>
      </c>
      <c r="L85" s="43">
        <v>7338</v>
      </c>
      <c r="M85" s="43" t="s">
        <v>35</v>
      </c>
      <c r="N85" s="43" t="s">
        <v>35</v>
      </c>
      <c r="O85" s="43">
        <v>7786</v>
      </c>
      <c r="P85" s="43">
        <v>7770</v>
      </c>
      <c r="Q85" s="43">
        <v>6745</v>
      </c>
      <c r="R85" s="43" t="s">
        <v>35</v>
      </c>
      <c r="T85" s="43" t="s">
        <v>82</v>
      </c>
      <c r="U85" s="43">
        <v>2563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278</v>
      </c>
      <c r="AB85" s="43">
        <v>245</v>
      </c>
      <c r="AC85" s="43">
        <v>256</v>
      </c>
      <c r="AD85" s="72">
        <v>328</v>
      </c>
      <c r="AE85" s="43">
        <v>374</v>
      </c>
      <c r="AF85" s="43" t="s">
        <v>35</v>
      </c>
      <c r="AG85" s="43" t="s">
        <v>35</v>
      </c>
      <c r="AH85" s="43">
        <v>432</v>
      </c>
      <c r="AI85" s="43">
        <v>335</v>
      </c>
      <c r="AJ85" s="43">
        <v>315</v>
      </c>
      <c r="AK85" s="43" t="s">
        <v>35</v>
      </c>
      <c r="AU85" s="49"/>
    </row>
    <row r="86" spans="1:47" ht="45">
      <c r="A86" s="43" t="s">
        <v>83</v>
      </c>
      <c r="B86" s="43">
        <v>23527</v>
      </c>
      <c r="C86" s="43" t="s">
        <v>35</v>
      </c>
      <c r="D86" s="43">
        <v>314</v>
      </c>
      <c r="E86" s="43">
        <v>269</v>
      </c>
      <c r="F86" s="43">
        <v>290</v>
      </c>
      <c r="G86" s="43">
        <v>340</v>
      </c>
      <c r="H86" s="43">
        <v>3620</v>
      </c>
      <c r="I86" s="43">
        <v>3463</v>
      </c>
      <c r="J86" s="43">
        <v>3531</v>
      </c>
      <c r="K86" s="72">
        <v>3409</v>
      </c>
      <c r="L86" s="43">
        <v>2879</v>
      </c>
      <c r="M86" s="43">
        <v>1782</v>
      </c>
      <c r="N86" s="43" t="s">
        <v>35</v>
      </c>
      <c r="O86" s="43" t="s">
        <v>35</v>
      </c>
      <c r="P86" s="43">
        <v>1323</v>
      </c>
      <c r="Q86" s="43">
        <v>1302</v>
      </c>
      <c r="R86" s="43">
        <v>1005</v>
      </c>
      <c r="T86" s="43" t="s">
        <v>83</v>
      </c>
      <c r="U86" s="43">
        <v>1874</v>
      </c>
      <c r="V86" s="43" t="s">
        <v>35</v>
      </c>
      <c r="W86" s="43">
        <v>34</v>
      </c>
      <c r="X86" s="43">
        <v>23</v>
      </c>
      <c r="Y86" s="43">
        <v>24</v>
      </c>
      <c r="Z86" s="43">
        <v>53</v>
      </c>
      <c r="AA86" s="43">
        <v>270</v>
      </c>
      <c r="AB86" s="43">
        <v>250</v>
      </c>
      <c r="AC86" s="43">
        <v>250</v>
      </c>
      <c r="AD86" s="72">
        <v>249</v>
      </c>
      <c r="AE86" s="43">
        <v>253</v>
      </c>
      <c r="AF86" s="43">
        <v>173</v>
      </c>
      <c r="AG86" s="43" t="s">
        <v>35</v>
      </c>
      <c r="AH86" s="43" t="s">
        <v>35</v>
      </c>
      <c r="AI86" s="43">
        <v>117</v>
      </c>
      <c r="AJ86" s="43">
        <v>98</v>
      </c>
      <c r="AK86" s="43">
        <v>80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2173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248</v>
      </c>
      <c r="I88" s="43">
        <v>278</v>
      </c>
      <c r="J88" s="43">
        <v>416</v>
      </c>
      <c r="K88" s="72">
        <v>426</v>
      </c>
      <c r="L88" s="43">
        <v>448</v>
      </c>
      <c r="M88" s="43">
        <v>342</v>
      </c>
      <c r="N88" s="43">
        <v>15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226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21</v>
      </c>
      <c r="AB88" s="43">
        <v>23</v>
      </c>
      <c r="AC88" s="43">
        <v>37</v>
      </c>
      <c r="AD88" s="72">
        <v>42</v>
      </c>
      <c r="AE88" s="43">
        <v>53</v>
      </c>
      <c r="AF88" s="43">
        <v>35</v>
      </c>
      <c r="AG88" s="43">
        <v>15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6985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1055</v>
      </c>
      <c r="I89" s="43">
        <v>1046</v>
      </c>
      <c r="J89" s="43">
        <v>1116</v>
      </c>
      <c r="K89" s="72">
        <v>1182</v>
      </c>
      <c r="L89" s="43">
        <v>1380</v>
      </c>
      <c r="M89" s="43">
        <v>1192</v>
      </c>
      <c r="N89" s="43">
        <v>14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329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39</v>
      </c>
      <c r="AB89" s="43">
        <v>30</v>
      </c>
      <c r="AC89" s="43">
        <v>56</v>
      </c>
      <c r="AD89" s="72">
        <v>58</v>
      </c>
      <c r="AE89" s="43">
        <v>63</v>
      </c>
      <c r="AF89" s="43">
        <v>69</v>
      </c>
      <c r="AG89" s="43">
        <v>14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8142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975</v>
      </c>
      <c r="I90" s="43">
        <v>954</v>
      </c>
      <c r="J90" s="43">
        <v>1001</v>
      </c>
      <c r="K90" s="72">
        <v>1013</v>
      </c>
      <c r="L90" s="43">
        <v>1017</v>
      </c>
      <c r="M90" s="43" t="s">
        <v>35</v>
      </c>
      <c r="N90" s="43" t="s">
        <v>35</v>
      </c>
      <c r="O90" s="43">
        <v>1171</v>
      </c>
      <c r="P90" s="43">
        <v>1113</v>
      </c>
      <c r="Q90" s="43">
        <v>898</v>
      </c>
      <c r="R90" s="43" t="s">
        <v>35</v>
      </c>
      <c r="T90" s="43" t="s">
        <v>87</v>
      </c>
      <c r="U90" s="43">
        <v>211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14</v>
      </c>
      <c r="AB90" s="43">
        <v>25</v>
      </c>
      <c r="AC90" s="43">
        <v>17</v>
      </c>
      <c r="AD90" s="72">
        <v>27</v>
      </c>
      <c r="AE90" s="43">
        <v>27</v>
      </c>
      <c r="AF90" s="43" t="s">
        <v>35</v>
      </c>
      <c r="AG90" s="43" t="s">
        <v>35</v>
      </c>
      <c r="AH90" s="43">
        <v>36</v>
      </c>
      <c r="AI90" s="43">
        <v>39</v>
      </c>
      <c r="AJ90" s="43">
        <v>26</v>
      </c>
      <c r="AK90" s="43" t="s">
        <v>35</v>
      </c>
      <c r="AU90" s="49"/>
    </row>
    <row r="91" spans="1:47" ht="75">
      <c r="A91" s="43" t="s">
        <v>88</v>
      </c>
      <c r="B91" s="43">
        <v>821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106</v>
      </c>
      <c r="I91" s="43">
        <v>117</v>
      </c>
      <c r="J91" s="43">
        <v>120</v>
      </c>
      <c r="K91" s="72">
        <v>113</v>
      </c>
      <c r="L91" s="43">
        <v>144</v>
      </c>
      <c r="M91" s="43">
        <v>147</v>
      </c>
      <c r="N91" s="43" t="s">
        <v>35</v>
      </c>
      <c r="O91" s="43" t="s">
        <v>35</v>
      </c>
      <c r="P91" s="43">
        <v>74</v>
      </c>
      <c r="Q91" s="43" t="s">
        <v>35</v>
      </c>
      <c r="R91" s="43" t="s">
        <v>35</v>
      </c>
      <c r="T91" s="43" t="s">
        <v>88</v>
      </c>
      <c r="U91" s="43">
        <v>22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5</v>
      </c>
      <c r="AB91" s="43">
        <v>3</v>
      </c>
      <c r="AC91" s="43">
        <v>1</v>
      </c>
      <c r="AD91" s="72">
        <v>5</v>
      </c>
      <c r="AE91" s="43">
        <v>3</v>
      </c>
      <c r="AF91" s="43">
        <v>5</v>
      </c>
      <c r="AG91" s="43" t="s">
        <v>35</v>
      </c>
      <c r="AH91" s="43" t="s">
        <v>35</v>
      </c>
      <c r="AI91" s="43" t="s">
        <v>35</v>
      </c>
      <c r="AJ91" s="43" t="s">
        <v>35</v>
      </c>
      <c r="AK91" s="43" t="s">
        <v>35</v>
      </c>
      <c r="AU91" s="49"/>
    </row>
    <row r="92" spans="1:47" ht="45">
      <c r="A92" s="43" t="s">
        <v>89</v>
      </c>
      <c r="B92" s="43">
        <v>43</v>
      </c>
      <c r="C92" s="43">
        <v>43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2</v>
      </c>
      <c r="V92" s="43">
        <v>2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3432</v>
      </c>
      <c r="C93" s="43" t="s">
        <v>35</v>
      </c>
      <c r="D93" s="43" t="s">
        <v>35</v>
      </c>
      <c r="E93" s="43">
        <v>161</v>
      </c>
      <c r="F93" s="43">
        <v>195</v>
      </c>
      <c r="G93" s="43">
        <v>271</v>
      </c>
      <c r="H93" s="43">
        <v>311</v>
      </c>
      <c r="I93" s="43">
        <v>445</v>
      </c>
      <c r="J93" s="43">
        <v>484</v>
      </c>
      <c r="K93" s="72">
        <v>521</v>
      </c>
      <c r="L93" s="43">
        <v>687</v>
      </c>
      <c r="M93" s="43">
        <v>357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519</v>
      </c>
      <c r="V93" s="43" t="s">
        <v>35</v>
      </c>
      <c r="W93" s="43" t="s">
        <v>35</v>
      </c>
      <c r="X93" s="43">
        <v>14</v>
      </c>
      <c r="Y93" s="43">
        <v>26</v>
      </c>
      <c r="Z93" s="43">
        <v>30</v>
      </c>
      <c r="AA93" s="43">
        <v>39</v>
      </c>
      <c r="AB93" s="43">
        <v>52</v>
      </c>
      <c r="AC93" s="43">
        <v>73</v>
      </c>
      <c r="AD93" s="72">
        <v>86</v>
      </c>
      <c r="AE93" s="43">
        <v>131</v>
      </c>
      <c r="AF93" s="43">
        <v>68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1922</v>
      </c>
      <c r="C94" s="43" t="s">
        <v>35</v>
      </c>
      <c r="D94" s="43">
        <v>516</v>
      </c>
      <c r="E94" s="43" t="s">
        <v>35</v>
      </c>
      <c r="F94" s="43" t="s">
        <v>35</v>
      </c>
      <c r="G94" s="43" t="s">
        <v>35</v>
      </c>
      <c r="H94" s="43">
        <v>848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558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222</v>
      </c>
      <c r="V94" s="43" t="s">
        <v>35</v>
      </c>
      <c r="W94" s="43">
        <v>47</v>
      </c>
      <c r="X94" s="43" t="s">
        <v>35</v>
      </c>
      <c r="Y94" s="43" t="s">
        <v>35</v>
      </c>
      <c r="Z94" s="43" t="s">
        <v>35</v>
      </c>
      <c r="AA94" s="43">
        <v>103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72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3279</v>
      </c>
      <c r="C95" s="43" t="s">
        <v>35</v>
      </c>
      <c r="D95" s="43">
        <v>438</v>
      </c>
      <c r="E95" s="43">
        <v>479</v>
      </c>
      <c r="F95" s="43">
        <v>391</v>
      </c>
      <c r="G95" s="43">
        <v>362</v>
      </c>
      <c r="H95" s="43">
        <v>247</v>
      </c>
      <c r="I95" s="43">
        <v>260</v>
      </c>
      <c r="J95" s="43">
        <v>282</v>
      </c>
      <c r="K95" s="72">
        <v>303</v>
      </c>
      <c r="L95" s="43">
        <v>275</v>
      </c>
      <c r="M95" s="43">
        <v>242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232</v>
      </c>
      <c r="V95" s="43" t="s">
        <v>35</v>
      </c>
      <c r="W95" s="43">
        <v>29</v>
      </c>
      <c r="X95" s="43">
        <v>32</v>
      </c>
      <c r="Y95" s="43">
        <v>32</v>
      </c>
      <c r="Z95" s="43">
        <v>24</v>
      </c>
      <c r="AA95" s="43">
        <v>19</v>
      </c>
      <c r="AB95" s="43">
        <v>11</v>
      </c>
      <c r="AC95" s="43">
        <v>21</v>
      </c>
      <c r="AD95" s="72">
        <v>23</v>
      </c>
      <c r="AE95" s="43">
        <v>25</v>
      </c>
      <c r="AF95" s="43">
        <v>16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195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96</v>
      </c>
      <c r="Q96" s="43">
        <v>66</v>
      </c>
      <c r="R96" s="43">
        <v>33</v>
      </c>
      <c r="T96" s="43" t="s">
        <v>93</v>
      </c>
      <c r="U96" s="43">
        <v>6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4</v>
      </c>
      <c r="AJ96" s="43">
        <v>2</v>
      </c>
      <c r="AK96" s="43" t="s">
        <v>35</v>
      </c>
      <c r="AU96" s="49"/>
    </row>
    <row r="97" spans="1:47">
      <c r="A97" s="43" t="s">
        <v>94</v>
      </c>
      <c r="B97" s="43">
        <v>316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124</v>
      </c>
      <c r="Q97" s="43">
        <v>106</v>
      </c>
      <c r="R97" s="43">
        <v>86</v>
      </c>
      <c r="T97" s="43" t="s">
        <v>94</v>
      </c>
      <c r="U97" s="43">
        <v>19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7</v>
      </c>
      <c r="AJ97" s="43">
        <v>6</v>
      </c>
      <c r="AK97" s="43">
        <v>6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191811</v>
      </c>
      <c r="C100" s="43">
        <v>572</v>
      </c>
      <c r="D100" s="43">
        <v>15982</v>
      </c>
      <c r="E100" s="43">
        <v>16781</v>
      </c>
      <c r="F100" s="43">
        <v>16755</v>
      </c>
      <c r="G100" s="43">
        <v>16933</v>
      </c>
      <c r="H100" s="43">
        <v>17407</v>
      </c>
      <c r="I100" s="43">
        <v>17468</v>
      </c>
      <c r="J100" s="43">
        <v>18481</v>
      </c>
      <c r="K100" s="72">
        <v>19452</v>
      </c>
      <c r="L100" s="43">
        <v>19510</v>
      </c>
      <c r="M100" s="43">
        <v>11687</v>
      </c>
      <c r="N100" s="43">
        <v>118</v>
      </c>
      <c r="O100" s="43">
        <v>7228</v>
      </c>
      <c r="P100" s="43">
        <v>7189</v>
      </c>
      <c r="Q100" s="43">
        <v>6092</v>
      </c>
      <c r="R100" s="43">
        <v>156</v>
      </c>
      <c r="T100" s="43" t="s">
        <v>40</v>
      </c>
      <c r="U100" s="43">
        <v>7546</v>
      </c>
      <c r="V100" s="43">
        <v>54</v>
      </c>
      <c r="W100" s="43">
        <v>848</v>
      </c>
      <c r="X100" s="43">
        <v>884</v>
      </c>
      <c r="Y100" s="43">
        <v>801</v>
      </c>
      <c r="Z100" s="43">
        <v>790</v>
      </c>
      <c r="AA100" s="43">
        <v>513</v>
      </c>
      <c r="AB100" s="43">
        <v>552</v>
      </c>
      <c r="AC100" s="43">
        <v>633</v>
      </c>
      <c r="AD100" s="72">
        <v>677</v>
      </c>
      <c r="AE100" s="43">
        <v>786</v>
      </c>
      <c r="AF100" s="43">
        <v>520</v>
      </c>
      <c r="AG100" s="43">
        <v>115</v>
      </c>
      <c r="AH100" s="43">
        <v>164</v>
      </c>
      <c r="AI100" s="43">
        <v>120</v>
      </c>
      <c r="AJ100" s="43">
        <v>89</v>
      </c>
      <c r="AK100" s="43" t="s">
        <v>35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571</v>
      </c>
      <c r="C102" s="43">
        <v>571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54</v>
      </c>
      <c r="V102" s="43">
        <v>54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64063</v>
      </c>
      <c r="C103" s="43" t="s">
        <v>35</v>
      </c>
      <c r="D103" s="43">
        <v>15144</v>
      </c>
      <c r="E103" s="43">
        <v>16243</v>
      </c>
      <c r="F103" s="43">
        <v>16290</v>
      </c>
      <c r="G103" s="43">
        <v>16366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20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3259</v>
      </c>
      <c r="V103" s="43" t="s">
        <v>35</v>
      </c>
      <c r="W103" s="43">
        <v>825</v>
      </c>
      <c r="X103" s="43">
        <v>860</v>
      </c>
      <c r="Y103" s="43">
        <v>779</v>
      </c>
      <c r="Z103" s="43">
        <v>775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20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11494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552</v>
      </c>
      <c r="I105" s="43">
        <v>788</v>
      </c>
      <c r="J105" s="43">
        <v>1617</v>
      </c>
      <c r="K105" s="72">
        <v>2927</v>
      </c>
      <c r="L105" s="43">
        <v>3150</v>
      </c>
      <c r="M105" s="43">
        <v>2362</v>
      </c>
      <c r="N105" s="43">
        <v>98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1172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53</v>
      </c>
      <c r="AB105" s="43">
        <v>99</v>
      </c>
      <c r="AC105" s="43">
        <v>166</v>
      </c>
      <c r="AD105" s="72">
        <v>265</v>
      </c>
      <c r="AE105" s="43">
        <v>306</v>
      </c>
      <c r="AF105" s="43">
        <v>188</v>
      </c>
      <c r="AG105" s="43">
        <v>95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28983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1669</v>
      </c>
      <c r="I107" s="43">
        <v>2054</v>
      </c>
      <c r="J107" s="43">
        <v>4061</v>
      </c>
      <c r="K107" s="72">
        <v>6923</v>
      </c>
      <c r="L107" s="43">
        <v>7070</v>
      </c>
      <c r="M107" s="43">
        <v>7206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1029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81</v>
      </c>
      <c r="AB107" s="43">
        <v>90</v>
      </c>
      <c r="AC107" s="43">
        <v>133</v>
      </c>
      <c r="AD107" s="72">
        <v>222</v>
      </c>
      <c r="AE107" s="43">
        <v>249</v>
      </c>
      <c r="AF107" s="43">
        <v>254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12147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4533</v>
      </c>
      <c r="I108" s="43">
        <v>4625</v>
      </c>
      <c r="J108" s="43">
        <v>2989</v>
      </c>
      <c r="K108" s="72" t="s">
        <v>35</v>
      </c>
      <c r="L108" s="43" t="s">
        <v>35</v>
      </c>
      <c r="M108" s="43" t="s">
        <v>35</v>
      </c>
      <c r="N108" s="43" t="s">
        <v>35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420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156</v>
      </c>
      <c r="AB108" s="43">
        <v>163</v>
      </c>
      <c r="AC108" s="43">
        <v>101</v>
      </c>
      <c r="AD108" s="72" t="s">
        <v>35</v>
      </c>
      <c r="AE108" s="43" t="s">
        <v>35</v>
      </c>
      <c r="AF108" s="43" t="s">
        <v>35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50561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6354</v>
      </c>
      <c r="I109" s="43">
        <v>6351</v>
      </c>
      <c r="J109" s="43">
        <v>6467</v>
      </c>
      <c r="K109" s="72">
        <v>6526</v>
      </c>
      <c r="L109" s="43">
        <v>6536</v>
      </c>
      <c r="M109" s="43" t="s">
        <v>35</v>
      </c>
      <c r="N109" s="43" t="s">
        <v>35</v>
      </c>
      <c r="O109" s="43">
        <v>6630</v>
      </c>
      <c r="P109" s="43">
        <v>6330</v>
      </c>
      <c r="Q109" s="43">
        <v>5367</v>
      </c>
      <c r="R109" s="43" t="s">
        <v>35</v>
      </c>
      <c r="T109" s="43" t="s">
        <v>82</v>
      </c>
      <c r="U109" s="43">
        <v>866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112</v>
      </c>
      <c r="AB109" s="43">
        <v>100</v>
      </c>
      <c r="AC109" s="43">
        <v>115</v>
      </c>
      <c r="AD109" s="72">
        <v>92</v>
      </c>
      <c r="AE109" s="43">
        <v>103</v>
      </c>
      <c r="AF109" s="43" t="s">
        <v>35</v>
      </c>
      <c r="AG109" s="43" t="s">
        <v>35</v>
      </c>
      <c r="AH109" s="43">
        <v>155</v>
      </c>
      <c r="AI109" s="43">
        <v>105</v>
      </c>
      <c r="AJ109" s="43">
        <v>84</v>
      </c>
      <c r="AK109" s="43" t="s">
        <v>35</v>
      </c>
      <c r="AU109" s="49"/>
    </row>
    <row r="110" spans="1:47" ht="45">
      <c r="A110" s="43" t="s">
        <v>83</v>
      </c>
      <c r="B110" s="43">
        <v>7694</v>
      </c>
      <c r="C110" s="43" t="s">
        <v>35</v>
      </c>
      <c r="D110" s="43">
        <v>209</v>
      </c>
      <c r="E110" s="43">
        <v>201</v>
      </c>
      <c r="F110" s="43">
        <v>223</v>
      </c>
      <c r="G110" s="43">
        <v>248</v>
      </c>
      <c r="H110" s="43">
        <v>1667</v>
      </c>
      <c r="I110" s="43">
        <v>1564</v>
      </c>
      <c r="J110" s="43">
        <v>1140</v>
      </c>
      <c r="K110" s="72">
        <v>825</v>
      </c>
      <c r="L110" s="43">
        <v>514</v>
      </c>
      <c r="M110" s="43">
        <v>342</v>
      </c>
      <c r="N110" s="43" t="s">
        <v>35</v>
      </c>
      <c r="O110" s="43" t="s">
        <v>35</v>
      </c>
      <c r="P110" s="43">
        <v>307</v>
      </c>
      <c r="Q110" s="43">
        <v>298</v>
      </c>
      <c r="R110" s="43">
        <v>156</v>
      </c>
      <c r="T110" s="43" t="s">
        <v>83</v>
      </c>
      <c r="U110" s="43">
        <v>139</v>
      </c>
      <c r="V110" s="43" t="s">
        <v>35</v>
      </c>
      <c r="W110" s="43" t="s">
        <v>35</v>
      </c>
      <c r="X110" s="43">
        <v>1</v>
      </c>
      <c r="Y110" s="43">
        <v>1</v>
      </c>
      <c r="Z110" s="43">
        <v>2</v>
      </c>
      <c r="AA110" s="43">
        <v>41</v>
      </c>
      <c r="AB110" s="43">
        <v>33</v>
      </c>
      <c r="AC110" s="43">
        <v>33</v>
      </c>
      <c r="AD110" s="72">
        <v>14</v>
      </c>
      <c r="AE110" s="43">
        <v>6</v>
      </c>
      <c r="AF110" s="43" t="s">
        <v>35</v>
      </c>
      <c r="AG110" s="43" t="s">
        <v>35</v>
      </c>
      <c r="AH110" s="43" t="s">
        <v>35</v>
      </c>
      <c r="AI110" s="43">
        <v>7</v>
      </c>
      <c r="AJ110" s="43">
        <v>1</v>
      </c>
      <c r="AK110" s="43" t="s">
        <v>35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1630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239</v>
      </c>
      <c r="I112" s="43">
        <v>232</v>
      </c>
      <c r="J112" s="43">
        <v>303</v>
      </c>
      <c r="K112" s="72">
        <v>331</v>
      </c>
      <c r="L112" s="43">
        <v>279</v>
      </c>
      <c r="M112" s="43">
        <v>246</v>
      </c>
      <c r="N112" s="43" t="s">
        <v>35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69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5</v>
      </c>
      <c r="AB112" s="43">
        <v>8</v>
      </c>
      <c r="AC112" s="43">
        <v>7</v>
      </c>
      <c r="AD112" s="72">
        <v>22</v>
      </c>
      <c r="AE112" s="43">
        <v>11</v>
      </c>
      <c r="AF112" s="43">
        <v>16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4456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773</v>
      </c>
      <c r="I113" s="43">
        <v>733</v>
      </c>
      <c r="J113" s="43">
        <v>716</v>
      </c>
      <c r="K113" s="72">
        <v>759</v>
      </c>
      <c r="L113" s="43">
        <v>717</v>
      </c>
      <c r="M113" s="43">
        <v>758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103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16</v>
      </c>
      <c r="AB113" s="43">
        <v>15</v>
      </c>
      <c r="AC113" s="43">
        <v>20</v>
      </c>
      <c r="AD113" s="72">
        <v>11</v>
      </c>
      <c r="AE113" s="43">
        <v>18</v>
      </c>
      <c r="AF113" s="43">
        <v>23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4422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545</v>
      </c>
      <c r="I114" s="43">
        <v>610</v>
      </c>
      <c r="J114" s="43">
        <v>587</v>
      </c>
      <c r="K114" s="72">
        <v>568</v>
      </c>
      <c r="L114" s="43">
        <v>535</v>
      </c>
      <c r="M114" s="43" t="s">
        <v>35</v>
      </c>
      <c r="N114" s="43" t="s">
        <v>35</v>
      </c>
      <c r="O114" s="43">
        <v>598</v>
      </c>
      <c r="P114" s="43">
        <v>552</v>
      </c>
      <c r="Q114" s="43">
        <v>427</v>
      </c>
      <c r="R114" s="43" t="s">
        <v>35</v>
      </c>
      <c r="T114" s="43" t="s">
        <v>87</v>
      </c>
      <c r="U114" s="43">
        <v>60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5</v>
      </c>
      <c r="AB114" s="43">
        <v>10</v>
      </c>
      <c r="AC114" s="43">
        <v>6</v>
      </c>
      <c r="AD114" s="72">
        <v>2</v>
      </c>
      <c r="AE114" s="43">
        <v>16</v>
      </c>
      <c r="AF114" s="43" t="s">
        <v>35</v>
      </c>
      <c r="AG114" s="43" t="s">
        <v>35</v>
      </c>
      <c r="AH114" s="43">
        <v>9</v>
      </c>
      <c r="AI114" s="43">
        <v>8</v>
      </c>
      <c r="AJ114" s="43">
        <v>4</v>
      </c>
      <c r="AK114" s="43" t="s">
        <v>35</v>
      </c>
      <c r="AU114" s="49"/>
    </row>
    <row r="115" spans="1:47" ht="75">
      <c r="A115" s="43" t="s">
        <v>88</v>
      </c>
      <c r="B115" s="43">
        <v>337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52</v>
      </c>
      <c r="I115" s="43">
        <v>64</v>
      </c>
      <c r="J115" s="43">
        <v>64</v>
      </c>
      <c r="K115" s="72">
        <v>44</v>
      </c>
      <c r="L115" s="43">
        <v>56</v>
      </c>
      <c r="M115" s="43">
        <v>57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4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>
        <v>1</v>
      </c>
      <c r="AC115" s="43" t="s">
        <v>35</v>
      </c>
      <c r="AD115" s="72">
        <v>1</v>
      </c>
      <c r="AE115" s="43">
        <v>2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>
        <v>1</v>
      </c>
      <c r="C116" s="43">
        <v>1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2654</v>
      </c>
      <c r="C117" s="43" t="s">
        <v>35</v>
      </c>
      <c r="D117" s="43" t="s">
        <v>35</v>
      </c>
      <c r="E117" s="43">
        <v>99</v>
      </c>
      <c r="F117" s="43">
        <v>109</v>
      </c>
      <c r="G117" s="43">
        <v>182</v>
      </c>
      <c r="H117" s="43">
        <v>237</v>
      </c>
      <c r="I117" s="43">
        <v>371</v>
      </c>
      <c r="J117" s="43">
        <v>439</v>
      </c>
      <c r="K117" s="72">
        <v>450</v>
      </c>
      <c r="L117" s="43">
        <v>550</v>
      </c>
      <c r="M117" s="43">
        <v>217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278</v>
      </c>
      <c r="V117" s="43" t="s">
        <v>35</v>
      </c>
      <c r="W117" s="43" t="s">
        <v>35</v>
      </c>
      <c r="X117" s="43">
        <v>8</v>
      </c>
      <c r="Y117" s="43">
        <v>14</v>
      </c>
      <c r="Z117" s="43">
        <v>13</v>
      </c>
      <c r="AA117" s="43">
        <v>23</v>
      </c>
      <c r="AB117" s="43">
        <v>32</v>
      </c>
      <c r="AC117" s="43">
        <v>47</v>
      </c>
      <c r="AD117" s="72">
        <v>46</v>
      </c>
      <c r="AE117" s="43">
        <v>69</v>
      </c>
      <c r="AF117" s="43">
        <v>26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1600</v>
      </c>
      <c r="C118" s="43" t="s">
        <v>35</v>
      </c>
      <c r="D118" s="43">
        <v>419</v>
      </c>
      <c r="E118" s="43" t="s">
        <v>35</v>
      </c>
      <c r="F118" s="43" t="s">
        <v>35</v>
      </c>
      <c r="G118" s="43" t="s">
        <v>35</v>
      </c>
      <c r="H118" s="43">
        <v>725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456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42</v>
      </c>
      <c r="V118" s="43" t="s">
        <v>35</v>
      </c>
      <c r="W118" s="43">
        <v>10</v>
      </c>
      <c r="X118" s="43" t="s">
        <v>35</v>
      </c>
      <c r="Y118" s="43" t="s">
        <v>35</v>
      </c>
      <c r="Z118" s="43" t="s">
        <v>35</v>
      </c>
      <c r="AA118" s="43">
        <v>19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13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1198</v>
      </c>
      <c r="C119" s="43" t="s">
        <v>35</v>
      </c>
      <c r="D119" s="43">
        <v>210</v>
      </c>
      <c r="E119" s="43">
        <v>238</v>
      </c>
      <c r="F119" s="43">
        <v>133</v>
      </c>
      <c r="G119" s="43">
        <v>137</v>
      </c>
      <c r="H119" s="43">
        <v>61</v>
      </c>
      <c r="I119" s="43">
        <v>76</v>
      </c>
      <c r="J119" s="43">
        <v>98</v>
      </c>
      <c r="K119" s="72">
        <v>99</v>
      </c>
      <c r="L119" s="43">
        <v>103</v>
      </c>
      <c r="M119" s="43">
        <v>43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51</v>
      </c>
      <c r="V119" s="43" t="s">
        <v>35</v>
      </c>
      <c r="W119" s="43">
        <v>13</v>
      </c>
      <c r="X119" s="43">
        <v>15</v>
      </c>
      <c r="Y119" s="43">
        <v>7</v>
      </c>
      <c r="Z119" s="43" t="s">
        <v>35</v>
      </c>
      <c r="AA119" s="43">
        <v>2</v>
      </c>
      <c r="AB119" s="43">
        <v>1</v>
      </c>
      <c r="AC119" s="43">
        <v>5</v>
      </c>
      <c r="AD119" s="72">
        <v>2</v>
      </c>
      <c r="AE119" s="43">
        <v>6</v>
      </c>
      <c r="AF119" s="43" t="s">
        <v>35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286452</v>
      </c>
      <c r="C124" s="43">
        <v>1052</v>
      </c>
      <c r="D124" s="43">
        <v>23289</v>
      </c>
      <c r="E124" s="43">
        <v>25106</v>
      </c>
      <c r="F124" s="43">
        <v>25291</v>
      </c>
      <c r="G124" s="43">
        <v>25522</v>
      </c>
      <c r="H124" s="43">
        <v>26098</v>
      </c>
      <c r="I124" s="43">
        <v>26376</v>
      </c>
      <c r="J124" s="43">
        <v>27361</v>
      </c>
      <c r="K124" s="72">
        <v>29074</v>
      </c>
      <c r="L124" s="43">
        <v>29201</v>
      </c>
      <c r="M124" s="43">
        <v>18696</v>
      </c>
      <c r="N124" s="43">
        <v>292</v>
      </c>
      <c r="O124" s="43">
        <v>9254</v>
      </c>
      <c r="P124" s="43">
        <v>10182</v>
      </c>
      <c r="Q124" s="43">
        <v>8802</v>
      </c>
      <c r="R124" s="43">
        <v>856</v>
      </c>
      <c r="T124" s="43" t="s">
        <v>40</v>
      </c>
      <c r="U124" s="43">
        <v>13832</v>
      </c>
      <c r="V124" s="43">
        <v>136</v>
      </c>
      <c r="W124" s="43">
        <v>1359</v>
      </c>
      <c r="X124" s="43">
        <v>1549</v>
      </c>
      <c r="Y124" s="43">
        <v>1433</v>
      </c>
      <c r="Z124" s="43">
        <v>1383</v>
      </c>
      <c r="AA124" s="43">
        <v>1119</v>
      </c>
      <c r="AB124" s="43">
        <v>984</v>
      </c>
      <c r="AC124" s="43">
        <v>1201</v>
      </c>
      <c r="AD124" s="72">
        <v>1342</v>
      </c>
      <c r="AE124" s="43">
        <v>1440</v>
      </c>
      <c r="AF124" s="43">
        <v>1036</v>
      </c>
      <c r="AG124" s="43">
        <v>256</v>
      </c>
      <c r="AH124" s="43">
        <v>215</v>
      </c>
      <c r="AI124" s="43">
        <v>208</v>
      </c>
      <c r="AJ124" s="43">
        <v>155</v>
      </c>
      <c r="AK124" s="43">
        <v>16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1052</v>
      </c>
      <c r="C126" s="43">
        <v>1052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136</v>
      </c>
      <c r="V126" s="43">
        <v>136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95127</v>
      </c>
      <c r="C127" s="43" t="s">
        <v>35</v>
      </c>
      <c r="D127" s="43">
        <v>21974</v>
      </c>
      <c r="E127" s="43">
        <v>24051</v>
      </c>
      <c r="F127" s="43">
        <v>24386</v>
      </c>
      <c r="G127" s="43">
        <v>24608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108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5588</v>
      </c>
      <c r="V127" s="43" t="s">
        <v>35</v>
      </c>
      <c r="W127" s="43">
        <v>1287</v>
      </c>
      <c r="X127" s="43">
        <v>1493</v>
      </c>
      <c r="Y127" s="43">
        <v>1390</v>
      </c>
      <c r="Z127" s="43">
        <v>1332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86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20457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1265</v>
      </c>
      <c r="I129" s="43">
        <v>1765</v>
      </c>
      <c r="J129" s="43">
        <v>2780</v>
      </c>
      <c r="K129" s="72">
        <v>4849</v>
      </c>
      <c r="L129" s="43">
        <v>5502</v>
      </c>
      <c r="M129" s="43">
        <v>4140</v>
      </c>
      <c r="N129" s="43">
        <v>156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2232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143</v>
      </c>
      <c r="AB129" s="43">
        <v>165</v>
      </c>
      <c r="AC129" s="43">
        <v>325</v>
      </c>
      <c r="AD129" s="72">
        <v>476</v>
      </c>
      <c r="AE129" s="43">
        <v>574</v>
      </c>
      <c r="AF129" s="43">
        <v>407</v>
      </c>
      <c r="AG129" s="43">
        <v>142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46026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3745</v>
      </c>
      <c r="I131" s="43">
        <v>4351</v>
      </c>
      <c r="J131" s="43">
        <v>6138</v>
      </c>
      <c r="K131" s="72">
        <v>10100</v>
      </c>
      <c r="L131" s="43">
        <v>10624</v>
      </c>
      <c r="M131" s="43">
        <v>11057</v>
      </c>
      <c r="N131" s="43">
        <v>11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2088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178</v>
      </c>
      <c r="AB131" s="43">
        <v>177</v>
      </c>
      <c r="AC131" s="43">
        <v>277</v>
      </c>
      <c r="AD131" s="72">
        <v>454</v>
      </c>
      <c r="AE131" s="43">
        <v>498</v>
      </c>
      <c r="AF131" s="43">
        <v>493</v>
      </c>
      <c r="AG131" s="43">
        <v>11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16794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6443</v>
      </c>
      <c r="I132" s="43">
        <v>6099</v>
      </c>
      <c r="J132" s="43">
        <v>4235</v>
      </c>
      <c r="K132" s="72" t="s">
        <v>35</v>
      </c>
      <c r="L132" s="43" t="s">
        <v>35</v>
      </c>
      <c r="M132" s="43" t="s">
        <v>35</v>
      </c>
      <c r="N132" s="43">
        <v>17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807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338</v>
      </c>
      <c r="AB132" s="43">
        <v>266</v>
      </c>
      <c r="AC132" s="43">
        <v>186</v>
      </c>
      <c r="AD132" s="72" t="s">
        <v>35</v>
      </c>
      <c r="AE132" s="43" t="s">
        <v>35</v>
      </c>
      <c r="AF132" s="43" t="s">
        <v>35</v>
      </c>
      <c r="AG132" s="43">
        <v>17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68603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8776</v>
      </c>
      <c r="I133" s="43">
        <v>9002</v>
      </c>
      <c r="J133" s="43">
        <v>8856</v>
      </c>
      <c r="K133" s="72">
        <v>8761</v>
      </c>
      <c r="L133" s="43">
        <v>8557</v>
      </c>
      <c r="M133" s="43" t="s">
        <v>35</v>
      </c>
      <c r="N133" s="43" t="s">
        <v>35</v>
      </c>
      <c r="O133" s="43">
        <v>8869</v>
      </c>
      <c r="P133" s="43">
        <v>8479</v>
      </c>
      <c r="Q133" s="43">
        <v>7303</v>
      </c>
      <c r="R133" s="43" t="s">
        <v>35</v>
      </c>
      <c r="T133" s="43" t="s">
        <v>82</v>
      </c>
      <c r="U133" s="43">
        <v>1469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219</v>
      </c>
      <c r="AB133" s="43">
        <v>190</v>
      </c>
      <c r="AC133" s="43">
        <v>198</v>
      </c>
      <c r="AD133" s="72">
        <v>215</v>
      </c>
      <c r="AE133" s="43">
        <v>174</v>
      </c>
      <c r="AF133" s="43" t="s">
        <v>35</v>
      </c>
      <c r="AG133" s="43" t="s">
        <v>35</v>
      </c>
      <c r="AH133" s="43">
        <v>209</v>
      </c>
      <c r="AI133" s="43">
        <v>147</v>
      </c>
      <c r="AJ133" s="43">
        <v>117</v>
      </c>
      <c r="AK133" s="43" t="s">
        <v>35</v>
      </c>
      <c r="AU133" s="49"/>
    </row>
    <row r="134" spans="1:47" ht="45">
      <c r="A134" s="43" t="s">
        <v>83</v>
      </c>
      <c r="B134" s="43">
        <v>16818</v>
      </c>
      <c r="C134" s="43" t="s">
        <v>35</v>
      </c>
      <c r="D134" s="43">
        <v>160</v>
      </c>
      <c r="E134" s="43">
        <v>170</v>
      </c>
      <c r="F134" s="43">
        <v>186</v>
      </c>
      <c r="G134" s="43">
        <v>181</v>
      </c>
      <c r="H134" s="43">
        <v>2639</v>
      </c>
      <c r="I134" s="43">
        <v>2765</v>
      </c>
      <c r="J134" s="43">
        <v>2734</v>
      </c>
      <c r="K134" s="72">
        <v>2551</v>
      </c>
      <c r="L134" s="43">
        <v>1798</v>
      </c>
      <c r="M134" s="43">
        <v>1374</v>
      </c>
      <c r="N134" s="43" t="s">
        <v>35</v>
      </c>
      <c r="O134" s="43" t="s">
        <v>35</v>
      </c>
      <c r="P134" s="43">
        <v>839</v>
      </c>
      <c r="Q134" s="43">
        <v>801</v>
      </c>
      <c r="R134" s="43">
        <v>620</v>
      </c>
      <c r="T134" s="43" t="s">
        <v>83</v>
      </c>
      <c r="U134" s="43">
        <v>344</v>
      </c>
      <c r="V134" s="43" t="s">
        <v>35</v>
      </c>
      <c r="W134" s="43">
        <v>1</v>
      </c>
      <c r="X134" s="43">
        <v>1</v>
      </c>
      <c r="Y134" s="43" t="s">
        <v>35</v>
      </c>
      <c r="Z134" s="43" t="s">
        <v>35</v>
      </c>
      <c r="AA134" s="43">
        <v>81</v>
      </c>
      <c r="AB134" s="43">
        <v>64</v>
      </c>
      <c r="AC134" s="43">
        <v>62</v>
      </c>
      <c r="AD134" s="72">
        <v>46</v>
      </c>
      <c r="AE134" s="43">
        <v>27</v>
      </c>
      <c r="AF134" s="43">
        <v>21</v>
      </c>
      <c r="AG134" s="43" t="s">
        <v>35</v>
      </c>
      <c r="AH134" s="43" t="s">
        <v>35</v>
      </c>
      <c r="AI134" s="43">
        <v>21</v>
      </c>
      <c r="AJ134" s="43">
        <v>13</v>
      </c>
      <c r="AK134" s="43">
        <v>7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1255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169</v>
      </c>
      <c r="I136" s="43">
        <v>188</v>
      </c>
      <c r="J136" s="43">
        <v>199</v>
      </c>
      <c r="K136" s="72">
        <v>266</v>
      </c>
      <c r="L136" s="43">
        <v>251</v>
      </c>
      <c r="M136" s="43">
        <v>182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79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12</v>
      </c>
      <c r="AB136" s="43">
        <v>9</v>
      </c>
      <c r="AC136" s="43">
        <v>13</v>
      </c>
      <c r="AD136" s="72">
        <v>15</v>
      </c>
      <c r="AE136" s="43">
        <v>18</v>
      </c>
      <c r="AF136" s="43">
        <v>12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3328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566</v>
      </c>
      <c r="I137" s="43">
        <v>507</v>
      </c>
      <c r="J137" s="43">
        <v>555</v>
      </c>
      <c r="K137" s="72">
        <v>582</v>
      </c>
      <c r="L137" s="43">
        <v>574</v>
      </c>
      <c r="M137" s="43">
        <v>544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126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18</v>
      </c>
      <c r="AB137" s="43">
        <v>20</v>
      </c>
      <c r="AC137" s="43">
        <v>23</v>
      </c>
      <c r="AD137" s="72">
        <v>16</v>
      </c>
      <c r="AE137" s="43">
        <v>23</v>
      </c>
      <c r="AF137" s="43">
        <v>26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3224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406</v>
      </c>
      <c r="I138" s="43">
        <v>430</v>
      </c>
      <c r="J138" s="43">
        <v>410</v>
      </c>
      <c r="K138" s="72">
        <v>429</v>
      </c>
      <c r="L138" s="43">
        <v>419</v>
      </c>
      <c r="M138" s="43" t="s">
        <v>35</v>
      </c>
      <c r="N138" s="43" t="s">
        <v>35</v>
      </c>
      <c r="O138" s="43">
        <v>385</v>
      </c>
      <c r="P138" s="43">
        <v>407</v>
      </c>
      <c r="Q138" s="43">
        <v>338</v>
      </c>
      <c r="R138" s="43" t="s">
        <v>35</v>
      </c>
      <c r="T138" s="43" t="s">
        <v>87</v>
      </c>
      <c r="U138" s="43">
        <v>44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9</v>
      </c>
      <c r="AB138" s="43">
        <v>4</v>
      </c>
      <c r="AC138" s="43">
        <v>6</v>
      </c>
      <c r="AD138" s="72">
        <v>2</v>
      </c>
      <c r="AE138" s="43">
        <v>9</v>
      </c>
      <c r="AF138" s="43" t="s">
        <v>35</v>
      </c>
      <c r="AG138" s="43" t="s">
        <v>35</v>
      </c>
      <c r="AH138" s="43">
        <v>6</v>
      </c>
      <c r="AI138" s="43">
        <v>7</v>
      </c>
      <c r="AJ138" s="43">
        <v>1</v>
      </c>
      <c r="AK138" s="43" t="s">
        <v>35</v>
      </c>
      <c r="AU138" s="49"/>
    </row>
    <row r="139" spans="1:47" ht="75">
      <c r="A139" s="43" t="s">
        <v>88</v>
      </c>
      <c r="B139" s="43">
        <v>1471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163</v>
      </c>
      <c r="I139" s="43">
        <v>191</v>
      </c>
      <c r="J139" s="43">
        <v>183</v>
      </c>
      <c r="K139" s="72">
        <v>177</v>
      </c>
      <c r="L139" s="43">
        <v>169</v>
      </c>
      <c r="M139" s="43">
        <v>202</v>
      </c>
      <c r="N139" s="43" t="s">
        <v>35</v>
      </c>
      <c r="O139" s="43" t="s">
        <v>35</v>
      </c>
      <c r="P139" s="43">
        <v>140</v>
      </c>
      <c r="Q139" s="43">
        <v>143</v>
      </c>
      <c r="R139" s="43">
        <v>103</v>
      </c>
      <c r="T139" s="43" t="s">
        <v>88</v>
      </c>
      <c r="U139" s="43">
        <v>63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2</v>
      </c>
      <c r="AB139" s="43">
        <v>11</v>
      </c>
      <c r="AC139" s="43">
        <v>14</v>
      </c>
      <c r="AD139" s="72">
        <v>1</v>
      </c>
      <c r="AE139" s="43">
        <v>8</v>
      </c>
      <c r="AF139" s="43">
        <v>8</v>
      </c>
      <c r="AG139" s="43" t="s">
        <v>35</v>
      </c>
      <c r="AH139" s="43" t="s">
        <v>35</v>
      </c>
      <c r="AI139" s="43">
        <v>6</v>
      </c>
      <c r="AJ139" s="43">
        <v>10</v>
      </c>
      <c r="AK139" s="43">
        <v>3</v>
      </c>
      <c r="AU139" s="49"/>
    </row>
    <row r="140" spans="1:47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5426</v>
      </c>
      <c r="C141" s="43" t="s">
        <v>35</v>
      </c>
      <c r="D141" s="43" t="s">
        <v>35</v>
      </c>
      <c r="E141" s="43">
        <v>214</v>
      </c>
      <c r="F141" s="43">
        <v>288</v>
      </c>
      <c r="G141" s="43">
        <v>369</v>
      </c>
      <c r="H141" s="43">
        <v>594</v>
      </c>
      <c r="I141" s="43">
        <v>719</v>
      </c>
      <c r="J141" s="43">
        <v>881</v>
      </c>
      <c r="K141" s="72">
        <v>964</v>
      </c>
      <c r="L141" s="43">
        <v>971</v>
      </c>
      <c r="M141" s="43">
        <v>426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514</v>
      </c>
      <c r="V141" s="43" t="s">
        <v>35</v>
      </c>
      <c r="W141" s="43" t="s">
        <v>35</v>
      </c>
      <c r="X141" s="43">
        <v>23</v>
      </c>
      <c r="Y141" s="43">
        <v>28</v>
      </c>
      <c r="Z141" s="43">
        <v>33</v>
      </c>
      <c r="AA141" s="43">
        <v>50</v>
      </c>
      <c r="AB141" s="43">
        <v>63</v>
      </c>
      <c r="AC141" s="43">
        <v>84</v>
      </c>
      <c r="AD141" s="72">
        <v>103</v>
      </c>
      <c r="AE141" s="43">
        <v>102</v>
      </c>
      <c r="AF141" s="43">
        <v>28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2308</v>
      </c>
      <c r="C142" s="43" t="s">
        <v>35</v>
      </c>
      <c r="D142" s="43">
        <v>613</v>
      </c>
      <c r="E142" s="43" t="s">
        <v>35</v>
      </c>
      <c r="F142" s="43" t="s">
        <v>35</v>
      </c>
      <c r="G142" s="43" t="s">
        <v>35</v>
      </c>
      <c r="H142" s="43">
        <v>1008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687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139</v>
      </c>
      <c r="V142" s="43" t="s">
        <v>35</v>
      </c>
      <c r="W142" s="43">
        <v>41</v>
      </c>
      <c r="X142" s="43" t="s">
        <v>35</v>
      </c>
      <c r="Y142" s="43" t="s">
        <v>35</v>
      </c>
      <c r="Z142" s="43" t="s">
        <v>35</v>
      </c>
      <c r="AA142" s="43">
        <v>59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39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3896</v>
      </c>
      <c r="C143" s="43" t="s">
        <v>35</v>
      </c>
      <c r="D143" s="43">
        <v>542</v>
      </c>
      <c r="E143" s="43">
        <v>671</v>
      </c>
      <c r="F143" s="43">
        <v>431</v>
      </c>
      <c r="G143" s="43">
        <v>364</v>
      </c>
      <c r="H143" s="43">
        <v>324</v>
      </c>
      <c r="I143" s="43">
        <v>359</v>
      </c>
      <c r="J143" s="43">
        <v>390</v>
      </c>
      <c r="K143" s="72">
        <v>395</v>
      </c>
      <c r="L143" s="43">
        <v>336</v>
      </c>
      <c r="M143" s="43">
        <v>84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156</v>
      </c>
      <c r="V143" s="43" t="s">
        <v>35</v>
      </c>
      <c r="W143" s="43">
        <v>30</v>
      </c>
      <c r="X143" s="43">
        <v>32</v>
      </c>
      <c r="Y143" s="43">
        <v>15</v>
      </c>
      <c r="Z143" s="43">
        <v>18</v>
      </c>
      <c r="AA143" s="43">
        <v>10</v>
      </c>
      <c r="AB143" s="43">
        <v>15</v>
      </c>
      <c r="AC143" s="43">
        <v>13</v>
      </c>
      <c r="AD143" s="72">
        <v>14</v>
      </c>
      <c r="AE143" s="43">
        <v>7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388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185</v>
      </c>
      <c r="Q144" s="43">
        <v>122</v>
      </c>
      <c r="R144" s="43">
        <v>81</v>
      </c>
      <c r="T144" s="43" t="s">
        <v>93</v>
      </c>
      <c r="U144" s="43">
        <v>27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17</v>
      </c>
      <c r="AJ144" s="43">
        <v>7</v>
      </c>
      <c r="AK144" s="43">
        <v>3</v>
      </c>
      <c r="AU144" s="49"/>
    </row>
    <row r="145" spans="1:47">
      <c r="A145" s="43" t="s">
        <v>94</v>
      </c>
      <c r="B145" s="43">
        <v>279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132</v>
      </c>
      <c r="Q145" s="43">
        <v>95</v>
      </c>
      <c r="R145" s="43">
        <v>52</v>
      </c>
      <c r="S145" s="44"/>
      <c r="T145" s="43" t="s">
        <v>94</v>
      </c>
      <c r="U145" s="43">
        <v>20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10</v>
      </c>
      <c r="AJ145" s="43">
        <v>7</v>
      </c>
      <c r="AK145" s="43">
        <v>3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79FF021B9848683FA404CBA8293ACC80192862F2.zip"/>
    <hyperlink ref="T1" r:id="rId2" display="https://www1.nls.niedersachsen.de/Statistik/pool/K300151A/K300151A_000016CE18215B789444B483D12C5659F9FBA97B0D1BF297281F.zip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U158"/>
  <sheetViews>
    <sheetView workbookViewId="0"/>
  </sheetViews>
  <sheetFormatPr baseColWidth="10" defaultRowHeight="15"/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104</v>
      </c>
      <c r="T14" t="s">
        <v>104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846609</v>
      </c>
      <c r="C28" s="43">
        <v>2651</v>
      </c>
      <c r="D28" s="43">
        <v>71837</v>
      </c>
      <c r="E28" s="43">
        <v>73375</v>
      </c>
      <c r="F28" s="43">
        <v>71316</v>
      </c>
      <c r="G28" s="43">
        <v>74212</v>
      </c>
      <c r="H28" s="43">
        <v>79331</v>
      </c>
      <c r="I28" s="43">
        <v>77253</v>
      </c>
      <c r="J28" s="43">
        <v>77483</v>
      </c>
      <c r="K28" s="72">
        <v>80182</v>
      </c>
      <c r="L28" s="43">
        <v>82366</v>
      </c>
      <c r="M28" s="43">
        <v>52139</v>
      </c>
      <c r="N28" s="43">
        <v>4110</v>
      </c>
      <c r="O28" s="43">
        <v>30615</v>
      </c>
      <c r="P28" s="43">
        <v>34992</v>
      </c>
      <c r="Q28" s="43">
        <v>31515</v>
      </c>
      <c r="R28" s="43">
        <v>3232</v>
      </c>
      <c r="T28" s="43" t="s">
        <v>40</v>
      </c>
      <c r="U28" s="43">
        <v>57230</v>
      </c>
      <c r="V28" s="43">
        <v>614</v>
      </c>
      <c r="W28" s="43">
        <v>6346</v>
      </c>
      <c r="X28" s="43">
        <v>5936</v>
      </c>
      <c r="Y28" s="43">
        <v>5567</v>
      </c>
      <c r="Z28" s="43">
        <v>5725</v>
      </c>
      <c r="AA28" s="43">
        <v>4370</v>
      </c>
      <c r="AB28" s="43">
        <v>4118</v>
      </c>
      <c r="AC28" s="43">
        <v>4316</v>
      </c>
      <c r="AD28" s="72">
        <v>4479</v>
      </c>
      <c r="AE28" s="43">
        <v>4930</v>
      </c>
      <c r="AF28" s="43">
        <v>3593</v>
      </c>
      <c r="AG28" s="43">
        <v>3835</v>
      </c>
      <c r="AH28" s="43">
        <v>1136</v>
      </c>
      <c r="AI28" s="43">
        <v>1216</v>
      </c>
      <c r="AJ28" s="43">
        <v>939</v>
      </c>
      <c r="AK28" s="43">
        <v>110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2598</v>
      </c>
      <c r="C30" s="43">
        <v>2598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600</v>
      </c>
      <c r="V30" s="43">
        <v>600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280444</v>
      </c>
      <c r="C31" s="43" t="s">
        <v>35</v>
      </c>
      <c r="D31" s="43">
        <v>67822</v>
      </c>
      <c r="E31" s="43">
        <v>70970</v>
      </c>
      <c r="F31" s="43">
        <v>69305</v>
      </c>
      <c r="G31" s="43">
        <v>71313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1034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23852</v>
      </c>
      <c r="V31" s="43" t="s">
        <v>35</v>
      </c>
      <c r="W31" s="43">
        <v>6046</v>
      </c>
      <c r="X31" s="43">
        <v>5810</v>
      </c>
      <c r="Y31" s="43">
        <v>5462</v>
      </c>
      <c r="Z31" s="43">
        <v>5540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994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34222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2394</v>
      </c>
      <c r="I33" s="43">
        <v>3101</v>
      </c>
      <c r="J33" s="43">
        <v>4511</v>
      </c>
      <c r="K33" s="72">
        <v>5714</v>
      </c>
      <c r="L33" s="43">
        <v>8422</v>
      </c>
      <c r="M33" s="43">
        <v>9199</v>
      </c>
      <c r="N33" s="43">
        <v>881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6002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428</v>
      </c>
      <c r="AB33" s="43">
        <v>534</v>
      </c>
      <c r="AC33" s="43">
        <v>790</v>
      </c>
      <c r="AD33" s="72">
        <v>963</v>
      </c>
      <c r="AE33" s="43">
        <v>1314</v>
      </c>
      <c r="AF33" s="43">
        <v>1172</v>
      </c>
      <c r="AG33" s="43">
        <v>801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85219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8392</v>
      </c>
      <c r="I35" s="43">
        <v>9237</v>
      </c>
      <c r="J35" s="43">
        <v>10758</v>
      </c>
      <c r="K35" s="72">
        <v>12506</v>
      </c>
      <c r="L35" s="43">
        <v>17902</v>
      </c>
      <c r="M35" s="43">
        <v>26124</v>
      </c>
      <c r="N35" s="43">
        <v>300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5885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649</v>
      </c>
      <c r="AB35" s="43">
        <v>667</v>
      </c>
      <c r="AC35" s="43">
        <v>764</v>
      </c>
      <c r="AD35" s="72">
        <v>829</v>
      </c>
      <c r="AE35" s="43">
        <v>1207</v>
      </c>
      <c r="AF35" s="43">
        <v>1506</v>
      </c>
      <c r="AG35" s="43">
        <v>263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74564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16086</v>
      </c>
      <c r="I36" s="43">
        <v>16277</v>
      </c>
      <c r="J36" s="43">
        <v>15591</v>
      </c>
      <c r="K36" s="72">
        <v>15542</v>
      </c>
      <c r="L36" s="43">
        <v>10313</v>
      </c>
      <c r="M36" s="43" t="s">
        <v>35</v>
      </c>
      <c r="N36" s="43">
        <v>755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5693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1167</v>
      </c>
      <c r="AB36" s="43">
        <v>1173</v>
      </c>
      <c r="AC36" s="43">
        <v>1049</v>
      </c>
      <c r="AD36" s="72">
        <v>1012</v>
      </c>
      <c r="AE36" s="43">
        <v>618</v>
      </c>
      <c r="AF36" s="43" t="s">
        <v>35</v>
      </c>
      <c r="AG36" s="43">
        <v>674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220756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29761</v>
      </c>
      <c r="I37" s="43">
        <v>29089</v>
      </c>
      <c r="J37" s="43">
        <v>27439</v>
      </c>
      <c r="K37" s="72">
        <v>26841</v>
      </c>
      <c r="L37" s="43">
        <v>26452</v>
      </c>
      <c r="M37" s="43" t="s">
        <v>35</v>
      </c>
      <c r="N37" s="43">
        <v>301</v>
      </c>
      <c r="O37" s="43">
        <v>28276</v>
      </c>
      <c r="P37" s="43">
        <v>27358</v>
      </c>
      <c r="Q37" s="43">
        <v>25239</v>
      </c>
      <c r="R37" s="43" t="s">
        <v>35</v>
      </c>
      <c r="T37" s="43" t="s">
        <v>82</v>
      </c>
      <c r="U37" s="43">
        <v>6910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923</v>
      </c>
      <c r="AB37" s="43">
        <v>840</v>
      </c>
      <c r="AC37" s="43">
        <v>777</v>
      </c>
      <c r="AD37" s="72">
        <v>660</v>
      </c>
      <c r="AE37" s="43">
        <v>780</v>
      </c>
      <c r="AF37" s="43" t="s">
        <v>35</v>
      </c>
      <c r="AG37" s="43">
        <v>287</v>
      </c>
      <c r="AH37" s="43">
        <v>1051</v>
      </c>
      <c r="AI37" s="43">
        <v>868</v>
      </c>
      <c r="AJ37" s="43">
        <v>724</v>
      </c>
      <c r="AK37" s="43" t="s">
        <v>35</v>
      </c>
      <c r="AU37" s="49"/>
    </row>
    <row r="38" spans="1:47" ht="45">
      <c r="A38" s="43" t="s">
        <v>83</v>
      </c>
      <c r="B38" s="43">
        <v>77295</v>
      </c>
      <c r="C38" s="43">
        <v>20</v>
      </c>
      <c r="D38" s="43">
        <v>818</v>
      </c>
      <c r="E38" s="43">
        <v>811</v>
      </c>
      <c r="F38" s="43">
        <v>830</v>
      </c>
      <c r="G38" s="43">
        <v>822</v>
      </c>
      <c r="H38" s="43">
        <v>11954</v>
      </c>
      <c r="I38" s="43">
        <v>11822</v>
      </c>
      <c r="J38" s="43">
        <v>10708</v>
      </c>
      <c r="K38" s="72">
        <v>10547</v>
      </c>
      <c r="L38" s="43">
        <v>9795</v>
      </c>
      <c r="M38" s="43">
        <v>8774</v>
      </c>
      <c r="N38" s="43">
        <v>470</v>
      </c>
      <c r="O38" s="43" t="s">
        <v>35</v>
      </c>
      <c r="P38" s="43">
        <v>4130</v>
      </c>
      <c r="Q38" s="43">
        <v>3355</v>
      </c>
      <c r="R38" s="43">
        <v>2439</v>
      </c>
      <c r="T38" s="43" t="s">
        <v>83</v>
      </c>
      <c r="U38" s="43">
        <v>4205</v>
      </c>
      <c r="V38" s="43">
        <v>10</v>
      </c>
      <c r="W38" s="43">
        <v>46</v>
      </c>
      <c r="X38" s="43">
        <v>38</v>
      </c>
      <c r="Y38" s="43">
        <v>42</v>
      </c>
      <c r="Z38" s="43">
        <v>36</v>
      </c>
      <c r="AA38" s="43">
        <v>586</v>
      </c>
      <c r="AB38" s="43">
        <v>596</v>
      </c>
      <c r="AC38" s="43">
        <v>548</v>
      </c>
      <c r="AD38" s="72">
        <v>529</v>
      </c>
      <c r="AE38" s="43">
        <v>472</v>
      </c>
      <c r="AF38" s="43">
        <v>395</v>
      </c>
      <c r="AG38" s="43">
        <v>456</v>
      </c>
      <c r="AH38" s="43" t="s">
        <v>35</v>
      </c>
      <c r="AI38" s="43">
        <v>201</v>
      </c>
      <c r="AJ38" s="43">
        <v>158</v>
      </c>
      <c r="AK38" s="43">
        <v>92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5852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755</v>
      </c>
      <c r="I40" s="43">
        <v>763</v>
      </c>
      <c r="J40" s="43">
        <v>948</v>
      </c>
      <c r="K40" s="72">
        <v>1019</v>
      </c>
      <c r="L40" s="43">
        <v>1150</v>
      </c>
      <c r="M40" s="43">
        <v>886</v>
      </c>
      <c r="N40" s="43">
        <v>331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774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58</v>
      </c>
      <c r="AB40" s="43">
        <v>44</v>
      </c>
      <c r="AC40" s="43">
        <v>66</v>
      </c>
      <c r="AD40" s="72">
        <v>103</v>
      </c>
      <c r="AE40" s="43">
        <v>110</v>
      </c>
      <c r="AF40" s="43">
        <v>70</v>
      </c>
      <c r="AG40" s="43">
        <v>323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16017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2491</v>
      </c>
      <c r="I41" s="43">
        <v>2371</v>
      </c>
      <c r="J41" s="43">
        <v>2627</v>
      </c>
      <c r="K41" s="72">
        <v>2660</v>
      </c>
      <c r="L41" s="43">
        <v>2865</v>
      </c>
      <c r="M41" s="43">
        <v>2965</v>
      </c>
      <c r="N41" s="43">
        <v>38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638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102</v>
      </c>
      <c r="AB41" s="43">
        <v>82</v>
      </c>
      <c r="AC41" s="43">
        <v>100</v>
      </c>
      <c r="AD41" s="72">
        <v>89</v>
      </c>
      <c r="AE41" s="43">
        <v>111</v>
      </c>
      <c r="AF41" s="43">
        <v>117</v>
      </c>
      <c r="AG41" s="43">
        <v>37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16467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2040</v>
      </c>
      <c r="I42" s="43">
        <v>2183</v>
      </c>
      <c r="J42" s="43">
        <v>2005</v>
      </c>
      <c r="K42" s="72">
        <v>1983</v>
      </c>
      <c r="L42" s="43">
        <v>1927</v>
      </c>
      <c r="M42" s="43" t="s">
        <v>35</v>
      </c>
      <c r="N42" s="43" t="s">
        <v>35</v>
      </c>
      <c r="O42" s="43">
        <v>2339</v>
      </c>
      <c r="P42" s="43">
        <v>2174</v>
      </c>
      <c r="Q42" s="43">
        <v>1816</v>
      </c>
      <c r="R42" s="43" t="s">
        <v>35</v>
      </c>
      <c r="T42" s="43" t="s">
        <v>87</v>
      </c>
      <c r="U42" s="43">
        <v>382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48</v>
      </c>
      <c r="AB42" s="43">
        <v>34</v>
      </c>
      <c r="AC42" s="43">
        <v>36</v>
      </c>
      <c r="AD42" s="72">
        <v>47</v>
      </c>
      <c r="AE42" s="43">
        <v>35</v>
      </c>
      <c r="AF42" s="43" t="s">
        <v>35</v>
      </c>
      <c r="AG42" s="43" t="s">
        <v>35</v>
      </c>
      <c r="AH42" s="43">
        <v>85</v>
      </c>
      <c r="AI42" s="43">
        <v>75</v>
      </c>
      <c r="AJ42" s="43">
        <v>22</v>
      </c>
      <c r="AK42" s="43" t="s">
        <v>35</v>
      </c>
      <c r="AU42" s="49"/>
    </row>
    <row r="43" spans="1:47" ht="75">
      <c r="A43" s="43" t="s">
        <v>88</v>
      </c>
      <c r="B43" s="43">
        <v>4413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380</v>
      </c>
      <c r="I43" s="43">
        <v>462</v>
      </c>
      <c r="J43" s="43">
        <v>530</v>
      </c>
      <c r="K43" s="72">
        <v>566</v>
      </c>
      <c r="L43" s="43">
        <v>511</v>
      </c>
      <c r="M43" s="43">
        <v>497</v>
      </c>
      <c r="N43" s="43" t="s">
        <v>35</v>
      </c>
      <c r="O43" s="43" t="s">
        <v>35</v>
      </c>
      <c r="P43" s="43">
        <v>538</v>
      </c>
      <c r="Q43" s="43">
        <v>496</v>
      </c>
      <c r="R43" s="43">
        <v>433</v>
      </c>
      <c r="T43" s="43" t="s">
        <v>88</v>
      </c>
      <c r="U43" s="43">
        <v>102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5</v>
      </c>
      <c r="AB43" s="43">
        <v>14</v>
      </c>
      <c r="AC43" s="43">
        <v>9</v>
      </c>
      <c r="AD43" s="72">
        <v>19</v>
      </c>
      <c r="AE43" s="43">
        <v>26</v>
      </c>
      <c r="AF43" s="43">
        <v>8</v>
      </c>
      <c r="AG43" s="43" t="s">
        <v>35</v>
      </c>
      <c r="AH43" s="43" t="s">
        <v>35</v>
      </c>
      <c r="AI43" s="43">
        <v>18</v>
      </c>
      <c r="AJ43" s="43">
        <v>2</v>
      </c>
      <c r="AK43" s="43">
        <v>1</v>
      </c>
      <c r="AU43" s="49"/>
    </row>
    <row r="44" spans="1:47" ht="45">
      <c r="A44" s="43" t="s">
        <v>89</v>
      </c>
      <c r="B44" s="43">
        <v>33</v>
      </c>
      <c r="C44" s="43">
        <v>33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4</v>
      </c>
      <c r="V44" s="43">
        <v>4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9619</v>
      </c>
      <c r="C45" s="43" t="s">
        <v>35</v>
      </c>
      <c r="D45" s="43" t="s">
        <v>35</v>
      </c>
      <c r="E45" s="43" t="s">
        <v>35</v>
      </c>
      <c r="F45" s="43" t="s">
        <v>35</v>
      </c>
      <c r="G45" s="43">
        <v>911</v>
      </c>
      <c r="H45" s="43">
        <v>1062</v>
      </c>
      <c r="I45" s="43">
        <v>1140</v>
      </c>
      <c r="J45" s="43">
        <v>1478</v>
      </c>
      <c r="K45" s="72">
        <v>1870</v>
      </c>
      <c r="L45" s="43">
        <v>2091</v>
      </c>
      <c r="M45" s="43">
        <v>1067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947</v>
      </c>
      <c r="V45" s="43" t="s">
        <v>35</v>
      </c>
      <c r="W45" s="43" t="s">
        <v>35</v>
      </c>
      <c r="X45" s="43" t="s">
        <v>35</v>
      </c>
      <c r="Y45" s="43" t="s">
        <v>35</v>
      </c>
      <c r="Z45" s="43">
        <v>93</v>
      </c>
      <c r="AA45" s="43">
        <v>98</v>
      </c>
      <c r="AB45" s="43">
        <v>108</v>
      </c>
      <c r="AC45" s="43">
        <v>137</v>
      </c>
      <c r="AD45" s="72">
        <v>183</v>
      </c>
      <c r="AE45" s="43">
        <v>210</v>
      </c>
      <c r="AF45" s="43">
        <v>118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7424</v>
      </c>
      <c r="C46" s="43" t="s">
        <v>35</v>
      </c>
      <c r="D46" s="43">
        <v>1984</v>
      </c>
      <c r="E46" s="43" t="s">
        <v>35</v>
      </c>
      <c r="F46" s="43" t="s">
        <v>35</v>
      </c>
      <c r="G46" s="43" t="s">
        <v>35</v>
      </c>
      <c r="H46" s="43">
        <v>3267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2173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645</v>
      </c>
      <c r="V46" s="43" t="s">
        <v>35</v>
      </c>
      <c r="W46" s="43">
        <v>178</v>
      </c>
      <c r="X46" s="43" t="s">
        <v>35</v>
      </c>
      <c r="Y46" s="43" t="s">
        <v>35</v>
      </c>
      <c r="Z46" s="43" t="s">
        <v>35</v>
      </c>
      <c r="AA46" s="43">
        <v>282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185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9925</v>
      </c>
      <c r="C47" s="43" t="s">
        <v>35</v>
      </c>
      <c r="D47" s="43">
        <v>1213</v>
      </c>
      <c r="E47" s="43">
        <v>1594</v>
      </c>
      <c r="F47" s="43">
        <v>1181</v>
      </c>
      <c r="G47" s="43">
        <v>1166</v>
      </c>
      <c r="H47" s="43">
        <v>749</v>
      </c>
      <c r="I47" s="43">
        <v>808</v>
      </c>
      <c r="J47" s="43">
        <v>888</v>
      </c>
      <c r="K47" s="72">
        <v>934</v>
      </c>
      <c r="L47" s="43">
        <v>938</v>
      </c>
      <c r="M47" s="43">
        <v>454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487</v>
      </c>
      <c r="V47" s="43" t="s">
        <v>35</v>
      </c>
      <c r="W47" s="43">
        <v>76</v>
      </c>
      <c r="X47" s="43">
        <v>88</v>
      </c>
      <c r="Y47" s="43">
        <v>63</v>
      </c>
      <c r="Z47" s="43">
        <v>56</v>
      </c>
      <c r="AA47" s="43">
        <v>24</v>
      </c>
      <c r="AB47" s="43">
        <v>26</v>
      </c>
      <c r="AC47" s="43">
        <v>40</v>
      </c>
      <c r="AD47" s="72">
        <v>45</v>
      </c>
      <c r="AE47" s="43">
        <v>47</v>
      </c>
      <c r="AF47" s="43">
        <v>22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828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389</v>
      </c>
      <c r="Q48" s="43">
        <v>290</v>
      </c>
      <c r="R48" s="43">
        <v>149</v>
      </c>
      <c r="T48" s="43" t="s">
        <v>93</v>
      </c>
      <c r="U48" s="43">
        <v>63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34</v>
      </c>
      <c r="AJ48" s="43">
        <v>22</v>
      </c>
      <c r="AK48" s="43">
        <v>7</v>
      </c>
      <c r="AU48" s="49"/>
    </row>
    <row r="49" spans="1:47">
      <c r="A49" s="43" t="s">
        <v>94</v>
      </c>
      <c r="B49" s="43">
        <v>933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403</v>
      </c>
      <c r="Q49" s="43">
        <v>319</v>
      </c>
      <c r="R49" s="43">
        <v>211</v>
      </c>
      <c r="T49" s="43" t="s">
        <v>94</v>
      </c>
      <c r="U49" s="43">
        <v>41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20</v>
      </c>
      <c r="AJ49" s="43">
        <v>11</v>
      </c>
      <c r="AK49" s="43">
        <v>10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160643</v>
      </c>
      <c r="C52" s="43">
        <v>492</v>
      </c>
      <c r="D52" s="43">
        <v>13273</v>
      </c>
      <c r="E52" s="43">
        <v>13861</v>
      </c>
      <c r="F52" s="43">
        <v>13380</v>
      </c>
      <c r="G52" s="43">
        <v>13885</v>
      </c>
      <c r="H52" s="43">
        <v>14728</v>
      </c>
      <c r="I52" s="43">
        <v>14333</v>
      </c>
      <c r="J52" s="43">
        <v>14431</v>
      </c>
      <c r="K52" s="72">
        <v>14807</v>
      </c>
      <c r="L52" s="43">
        <v>15450</v>
      </c>
      <c r="M52" s="43">
        <v>9798</v>
      </c>
      <c r="N52" s="43">
        <v>952</v>
      </c>
      <c r="O52" s="43">
        <v>6101</v>
      </c>
      <c r="P52" s="43">
        <v>7440</v>
      </c>
      <c r="Q52" s="43">
        <v>6715</v>
      </c>
      <c r="R52" s="43">
        <v>997</v>
      </c>
      <c r="T52" s="43" t="s">
        <v>40</v>
      </c>
      <c r="U52" s="43">
        <v>11085</v>
      </c>
      <c r="V52" s="43">
        <v>119</v>
      </c>
      <c r="W52" s="43">
        <v>1143</v>
      </c>
      <c r="X52" s="43">
        <v>963</v>
      </c>
      <c r="Y52" s="43">
        <v>986</v>
      </c>
      <c r="Z52" s="43">
        <v>1040</v>
      </c>
      <c r="AA52" s="43">
        <v>880</v>
      </c>
      <c r="AB52" s="43">
        <v>839</v>
      </c>
      <c r="AC52" s="43">
        <v>888</v>
      </c>
      <c r="AD52" s="72">
        <v>828</v>
      </c>
      <c r="AE52" s="43">
        <v>983</v>
      </c>
      <c r="AF52" s="43">
        <v>789</v>
      </c>
      <c r="AG52" s="43">
        <v>862</v>
      </c>
      <c r="AH52" s="43">
        <v>266</v>
      </c>
      <c r="AI52" s="43">
        <v>264</v>
      </c>
      <c r="AJ52" s="43">
        <v>213</v>
      </c>
      <c r="AK52" s="43">
        <v>22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472</v>
      </c>
      <c r="C54" s="43">
        <v>472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109</v>
      </c>
      <c r="V54" s="43">
        <v>109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52695</v>
      </c>
      <c r="C55" s="43" t="s">
        <v>35</v>
      </c>
      <c r="D55" s="43">
        <v>12572</v>
      </c>
      <c r="E55" s="43">
        <v>13462</v>
      </c>
      <c r="F55" s="43">
        <v>12994</v>
      </c>
      <c r="G55" s="43">
        <v>13349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318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4237</v>
      </c>
      <c r="V55" s="43" t="s">
        <v>35</v>
      </c>
      <c r="W55" s="43">
        <v>1062</v>
      </c>
      <c r="X55" s="43">
        <v>934</v>
      </c>
      <c r="Y55" s="43">
        <v>958</v>
      </c>
      <c r="Z55" s="43">
        <v>990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293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7672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644</v>
      </c>
      <c r="I57" s="43">
        <v>829</v>
      </c>
      <c r="J57" s="43">
        <v>1068</v>
      </c>
      <c r="K57" s="72">
        <v>1330</v>
      </c>
      <c r="L57" s="43">
        <v>1760</v>
      </c>
      <c r="M57" s="43">
        <v>1721</v>
      </c>
      <c r="N57" s="43">
        <v>320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1497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99</v>
      </c>
      <c r="AB57" s="43">
        <v>135</v>
      </c>
      <c r="AC57" s="43">
        <v>181</v>
      </c>
      <c r="AD57" s="72">
        <v>219</v>
      </c>
      <c r="AE57" s="43">
        <v>323</v>
      </c>
      <c r="AF57" s="43">
        <v>255</v>
      </c>
      <c r="AG57" s="43">
        <v>285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18283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2348</v>
      </c>
      <c r="I59" s="43">
        <v>2376</v>
      </c>
      <c r="J59" s="43">
        <v>2552</v>
      </c>
      <c r="K59" s="72">
        <v>2819</v>
      </c>
      <c r="L59" s="43">
        <v>3571</v>
      </c>
      <c r="M59" s="43">
        <v>4461</v>
      </c>
      <c r="N59" s="43">
        <v>156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1597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167</v>
      </c>
      <c r="AB59" s="43">
        <v>214</v>
      </c>
      <c r="AC59" s="43">
        <v>236</v>
      </c>
      <c r="AD59" s="72">
        <v>207</v>
      </c>
      <c r="AE59" s="43">
        <v>294</v>
      </c>
      <c r="AF59" s="43">
        <v>343</v>
      </c>
      <c r="AG59" s="43">
        <v>136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6898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1357</v>
      </c>
      <c r="I60" s="43">
        <v>1481</v>
      </c>
      <c r="J60" s="43">
        <v>1444</v>
      </c>
      <c r="K60" s="72">
        <v>1498</v>
      </c>
      <c r="L60" s="43">
        <v>1080</v>
      </c>
      <c r="M60" s="43" t="s">
        <v>35</v>
      </c>
      <c r="N60" s="43">
        <v>38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462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120</v>
      </c>
      <c r="AB60" s="43">
        <v>94</v>
      </c>
      <c r="AC60" s="43">
        <v>90</v>
      </c>
      <c r="AD60" s="72">
        <v>77</v>
      </c>
      <c r="AE60" s="43">
        <v>53</v>
      </c>
      <c r="AF60" s="43" t="s">
        <v>35</v>
      </c>
      <c r="AG60" s="43">
        <v>28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45472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5969</v>
      </c>
      <c r="I61" s="43">
        <v>5772</v>
      </c>
      <c r="J61" s="43">
        <v>5589</v>
      </c>
      <c r="K61" s="72">
        <v>5316</v>
      </c>
      <c r="L61" s="43">
        <v>5454</v>
      </c>
      <c r="M61" s="43" t="s">
        <v>35</v>
      </c>
      <c r="N61" s="43">
        <v>56</v>
      </c>
      <c r="O61" s="43">
        <v>6036</v>
      </c>
      <c r="P61" s="43">
        <v>5887</v>
      </c>
      <c r="Q61" s="43">
        <v>5393</v>
      </c>
      <c r="R61" s="43" t="s">
        <v>35</v>
      </c>
      <c r="T61" s="43" t="s">
        <v>82</v>
      </c>
      <c r="U61" s="43">
        <v>1690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241</v>
      </c>
      <c r="AB61" s="43">
        <v>204</v>
      </c>
      <c r="AC61" s="43">
        <v>209</v>
      </c>
      <c r="AD61" s="72">
        <v>146</v>
      </c>
      <c r="AE61" s="43">
        <v>183</v>
      </c>
      <c r="AF61" s="43" t="s">
        <v>35</v>
      </c>
      <c r="AG61" s="43">
        <v>56</v>
      </c>
      <c r="AH61" s="43">
        <v>263</v>
      </c>
      <c r="AI61" s="43">
        <v>212</v>
      </c>
      <c r="AJ61" s="43">
        <v>176</v>
      </c>
      <c r="AK61" s="43" t="s">
        <v>35</v>
      </c>
      <c r="AU61" s="49"/>
    </row>
    <row r="62" spans="1:47" ht="45">
      <c r="A62" s="43" t="s">
        <v>83</v>
      </c>
      <c r="B62" s="43">
        <v>19309</v>
      </c>
      <c r="C62" s="43">
        <v>20</v>
      </c>
      <c r="D62" s="43">
        <v>133</v>
      </c>
      <c r="E62" s="43">
        <v>133</v>
      </c>
      <c r="F62" s="43">
        <v>145</v>
      </c>
      <c r="G62" s="43">
        <v>136</v>
      </c>
      <c r="H62" s="43">
        <v>3036</v>
      </c>
      <c r="I62" s="43">
        <v>3033</v>
      </c>
      <c r="J62" s="43">
        <v>2726</v>
      </c>
      <c r="K62" s="72">
        <v>2709</v>
      </c>
      <c r="L62" s="43">
        <v>2438</v>
      </c>
      <c r="M62" s="43">
        <v>2360</v>
      </c>
      <c r="N62" s="43">
        <v>64</v>
      </c>
      <c r="O62" s="43" t="s">
        <v>35</v>
      </c>
      <c r="P62" s="43">
        <v>970</v>
      </c>
      <c r="Q62" s="43">
        <v>797</v>
      </c>
      <c r="R62" s="43">
        <v>609</v>
      </c>
      <c r="T62" s="43" t="s">
        <v>83</v>
      </c>
      <c r="U62" s="43">
        <v>929</v>
      </c>
      <c r="V62" s="43">
        <v>10</v>
      </c>
      <c r="W62" s="43">
        <v>16</v>
      </c>
      <c r="X62" s="43">
        <v>16</v>
      </c>
      <c r="Y62" s="43">
        <v>16</v>
      </c>
      <c r="Z62" s="43">
        <v>16</v>
      </c>
      <c r="AA62" s="43">
        <v>151</v>
      </c>
      <c r="AB62" s="43">
        <v>145</v>
      </c>
      <c r="AC62" s="43">
        <v>117</v>
      </c>
      <c r="AD62" s="72">
        <v>118</v>
      </c>
      <c r="AE62" s="43">
        <v>85</v>
      </c>
      <c r="AF62" s="43">
        <v>93</v>
      </c>
      <c r="AG62" s="43">
        <v>64</v>
      </c>
      <c r="AH62" s="43" t="s">
        <v>35</v>
      </c>
      <c r="AI62" s="43">
        <v>37</v>
      </c>
      <c r="AJ62" s="43">
        <v>30</v>
      </c>
      <c r="AK62" s="43">
        <v>15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547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80</v>
      </c>
      <c r="I64" s="43">
        <v>88</v>
      </c>
      <c r="J64" s="43">
        <v>90</v>
      </c>
      <c r="K64" s="72">
        <v>108</v>
      </c>
      <c r="L64" s="43">
        <v>87</v>
      </c>
      <c r="M64" s="43">
        <v>94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16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1</v>
      </c>
      <c r="AB64" s="43">
        <v>2</v>
      </c>
      <c r="AC64" s="43">
        <v>4</v>
      </c>
      <c r="AD64" s="72">
        <v>4</v>
      </c>
      <c r="AE64" s="43">
        <v>2</v>
      </c>
      <c r="AF64" s="43">
        <v>3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1567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200</v>
      </c>
      <c r="I65" s="43">
        <v>211</v>
      </c>
      <c r="J65" s="43">
        <v>284</v>
      </c>
      <c r="K65" s="72">
        <v>246</v>
      </c>
      <c r="L65" s="43">
        <v>292</v>
      </c>
      <c r="M65" s="43">
        <v>334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22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1</v>
      </c>
      <c r="AB65" s="43">
        <v>3</v>
      </c>
      <c r="AC65" s="43">
        <v>7</v>
      </c>
      <c r="AD65" s="72">
        <v>2</v>
      </c>
      <c r="AE65" s="43">
        <v>2</v>
      </c>
      <c r="AF65" s="43">
        <v>7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555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89</v>
      </c>
      <c r="I66" s="43">
        <v>106</v>
      </c>
      <c r="J66" s="43">
        <v>88</v>
      </c>
      <c r="K66" s="72">
        <v>71</v>
      </c>
      <c r="L66" s="43">
        <v>75</v>
      </c>
      <c r="M66" s="43" t="s">
        <v>35</v>
      </c>
      <c r="N66" s="43" t="s">
        <v>35</v>
      </c>
      <c r="O66" s="43">
        <v>65</v>
      </c>
      <c r="P66" s="43">
        <v>32</v>
      </c>
      <c r="Q66" s="43">
        <v>29</v>
      </c>
      <c r="R66" s="43" t="s">
        <v>35</v>
      </c>
      <c r="T66" s="43" t="s">
        <v>87</v>
      </c>
      <c r="U66" s="43">
        <v>7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1</v>
      </c>
      <c r="AC66" s="43">
        <v>1</v>
      </c>
      <c r="AD66" s="72">
        <v>1</v>
      </c>
      <c r="AE66" s="43">
        <v>1</v>
      </c>
      <c r="AF66" s="43" t="s">
        <v>35</v>
      </c>
      <c r="AG66" s="43" t="s">
        <v>35</v>
      </c>
      <c r="AH66" s="43">
        <v>3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1672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72</v>
      </c>
      <c r="I67" s="43">
        <v>82</v>
      </c>
      <c r="J67" s="43">
        <v>167</v>
      </c>
      <c r="K67" s="72">
        <v>193</v>
      </c>
      <c r="L67" s="43">
        <v>187</v>
      </c>
      <c r="M67" s="43">
        <v>173</v>
      </c>
      <c r="N67" s="43" t="s">
        <v>35</v>
      </c>
      <c r="O67" s="43" t="s">
        <v>35</v>
      </c>
      <c r="P67" s="43">
        <v>274</v>
      </c>
      <c r="Q67" s="43">
        <v>274</v>
      </c>
      <c r="R67" s="43">
        <v>250</v>
      </c>
      <c r="T67" s="43" t="s">
        <v>88</v>
      </c>
      <c r="U67" s="43">
        <v>4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1</v>
      </c>
      <c r="AB67" s="43">
        <v>1</v>
      </c>
      <c r="AC67" s="43" t="s">
        <v>35</v>
      </c>
      <c r="AD67" s="72" t="s">
        <v>35</v>
      </c>
      <c r="AE67" s="43">
        <v>2</v>
      </c>
      <c r="AF67" s="43" t="s">
        <v>35</v>
      </c>
      <c r="AG67" s="43" t="s">
        <v>35</v>
      </c>
      <c r="AH67" s="43" t="s">
        <v>35</v>
      </c>
      <c r="AI67" s="43" t="s">
        <v>35</v>
      </c>
      <c r="AJ67" s="43" t="s">
        <v>35</v>
      </c>
      <c r="AK67" s="43" t="s">
        <v>35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1618</v>
      </c>
      <c r="C69" s="43" t="s">
        <v>35</v>
      </c>
      <c r="D69" s="43" t="s">
        <v>35</v>
      </c>
      <c r="E69" s="43" t="s">
        <v>35</v>
      </c>
      <c r="F69" s="43" t="s">
        <v>35</v>
      </c>
      <c r="G69" s="43">
        <v>145</v>
      </c>
      <c r="H69" s="43">
        <v>165</v>
      </c>
      <c r="I69" s="43">
        <v>190</v>
      </c>
      <c r="J69" s="43">
        <v>256</v>
      </c>
      <c r="K69" s="72">
        <v>329</v>
      </c>
      <c r="L69" s="43">
        <v>325</v>
      </c>
      <c r="M69" s="43">
        <v>208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208</v>
      </c>
      <c r="V69" s="43" t="s">
        <v>35</v>
      </c>
      <c r="W69" s="43" t="s">
        <v>35</v>
      </c>
      <c r="X69" s="43" t="s">
        <v>35</v>
      </c>
      <c r="Y69" s="43" t="s">
        <v>35</v>
      </c>
      <c r="Z69" s="43">
        <v>20</v>
      </c>
      <c r="AA69" s="43">
        <v>16</v>
      </c>
      <c r="AB69" s="43">
        <v>31</v>
      </c>
      <c r="AC69" s="43">
        <v>34</v>
      </c>
      <c r="AD69" s="72">
        <v>41</v>
      </c>
      <c r="AE69" s="43">
        <v>33</v>
      </c>
      <c r="AF69" s="43">
        <v>33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1377</v>
      </c>
      <c r="C70" s="43" t="s">
        <v>35</v>
      </c>
      <c r="D70" s="43">
        <v>349</v>
      </c>
      <c r="E70" s="43" t="s">
        <v>35</v>
      </c>
      <c r="F70" s="43" t="s">
        <v>35</v>
      </c>
      <c r="G70" s="43" t="s">
        <v>35</v>
      </c>
      <c r="H70" s="43">
        <v>631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397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181</v>
      </c>
      <c r="V70" s="43" t="s">
        <v>35</v>
      </c>
      <c r="W70" s="43">
        <v>50</v>
      </c>
      <c r="X70" s="43" t="s">
        <v>35</v>
      </c>
      <c r="Y70" s="43" t="s">
        <v>35</v>
      </c>
      <c r="Z70" s="43" t="s">
        <v>35</v>
      </c>
      <c r="AA70" s="43">
        <v>78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53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1869</v>
      </c>
      <c r="C71" s="43" t="s">
        <v>35</v>
      </c>
      <c r="D71" s="43">
        <v>219</v>
      </c>
      <c r="E71" s="43">
        <v>266</v>
      </c>
      <c r="F71" s="43">
        <v>241</v>
      </c>
      <c r="G71" s="43">
        <v>255</v>
      </c>
      <c r="H71" s="43">
        <v>137</v>
      </c>
      <c r="I71" s="43">
        <v>165</v>
      </c>
      <c r="J71" s="43">
        <v>167</v>
      </c>
      <c r="K71" s="72">
        <v>188</v>
      </c>
      <c r="L71" s="43">
        <v>181</v>
      </c>
      <c r="M71" s="43">
        <v>50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97</v>
      </c>
      <c r="V71" s="43" t="s">
        <v>35</v>
      </c>
      <c r="W71" s="43">
        <v>15</v>
      </c>
      <c r="X71" s="43">
        <v>13</v>
      </c>
      <c r="Y71" s="43">
        <v>12</v>
      </c>
      <c r="Z71" s="43">
        <v>14</v>
      </c>
      <c r="AA71" s="43">
        <v>5</v>
      </c>
      <c r="AB71" s="43">
        <v>9</v>
      </c>
      <c r="AC71" s="43">
        <v>9</v>
      </c>
      <c r="AD71" s="72">
        <v>13</v>
      </c>
      <c r="AE71" s="43">
        <v>5</v>
      </c>
      <c r="AF71" s="43">
        <v>2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288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123</v>
      </c>
      <c r="Q72" s="43">
        <v>106</v>
      </c>
      <c r="R72" s="43">
        <v>59</v>
      </c>
      <c r="T72" s="43" t="s">
        <v>93</v>
      </c>
      <c r="U72" s="43">
        <v>19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9</v>
      </c>
      <c r="AJ72" s="43">
        <v>7</v>
      </c>
      <c r="AK72" s="43">
        <v>3</v>
      </c>
      <c r="AU72" s="49"/>
    </row>
    <row r="73" spans="1:47">
      <c r="A73" s="43" t="s">
        <v>94</v>
      </c>
      <c r="B73" s="43">
        <v>349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154</v>
      </c>
      <c r="Q73" s="43">
        <v>116</v>
      </c>
      <c r="R73" s="43">
        <v>79</v>
      </c>
      <c r="T73" s="43" t="s">
        <v>94</v>
      </c>
      <c r="U73" s="43">
        <v>10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6</v>
      </c>
      <c r="AJ73" s="43" t="s">
        <v>35</v>
      </c>
      <c r="AK73" s="43">
        <v>4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222585</v>
      </c>
      <c r="C76" s="43">
        <v>634</v>
      </c>
      <c r="D76" s="43">
        <v>18953</v>
      </c>
      <c r="E76" s="43">
        <v>19515</v>
      </c>
      <c r="F76" s="43">
        <v>18830</v>
      </c>
      <c r="G76" s="43">
        <v>19379</v>
      </c>
      <c r="H76" s="43">
        <v>20461</v>
      </c>
      <c r="I76" s="43">
        <v>19745</v>
      </c>
      <c r="J76" s="43">
        <v>19827</v>
      </c>
      <c r="K76" s="72">
        <v>20317</v>
      </c>
      <c r="L76" s="43">
        <v>20921</v>
      </c>
      <c r="M76" s="43">
        <v>13073</v>
      </c>
      <c r="N76" s="43">
        <v>1323</v>
      </c>
      <c r="O76" s="43">
        <v>8613</v>
      </c>
      <c r="P76" s="43">
        <v>10403</v>
      </c>
      <c r="Q76" s="43">
        <v>9426</v>
      </c>
      <c r="R76" s="43">
        <v>1165</v>
      </c>
      <c r="T76" s="43" t="s">
        <v>40</v>
      </c>
      <c r="U76" s="43">
        <v>19314</v>
      </c>
      <c r="V76" s="43">
        <v>177</v>
      </c>
      <c r="W76" s="43">
        <v>1947</v>
      </c>
      <c r="X76" s="43">
        <v>1966</v>
      </c>
      <c r="Y76" s="43">
        <v>1836</v>
      </c>
      <c r="Z76" s="43">
        <v>1881</v>
      </c>
      <c r="AA76" s="43">
        <v>1373</v>
      </c>
      <c r="AB76" s="43">
        <v>1329</v>
      </c>
      <c r="AC76" s="43">
        <v>1406</v>
      </c>
      <c r="AD76" s="72">
        <v>1526</v>
      </c>
      <c r="AE76" s="43">
        <v>1692</v>
      </c>
      <c r="AF76" s="43">
        <v>1287</v>
      </c>
      <c r="AG76" s="43">
        <v>1294</v>
      </c>
      <c r="AH76" s="43">
        <v>470</v>
      </c>
      <c r="AI76" s="43">
        <v>589</v>
      </c>
      <c r="AJ76" s="43">
        <v>481</v>
      </c>
      <c r="AK76" s="43">
        <v>60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601</v>
      </c>
      <c r="C78" s="43">
        <v>601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173</v>
      </c>
      <c r="V78" s="43">
        <v>173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73517</v>
      </c>
      <c r="C79" s="43" t="s">
        <v>35</v>
      </c>
      <c r="D79" s="43">
        <v>17804</v>
      </c>
      <c r="E79" s="43">
        <v>18770</v>
      </c>
      <c r="F79" s="43">
        <v>18179</v>
      </c>
      <c r="G79" s="43">
        <v>18556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208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7591</v>
      </c>
      <c r="V79" s="43" t="s">
        <v>35</v>
      </c>
      <c r="W79" s="43">
        <v>1853</v>
      </c>
      <c r="X79" s="43">
        <v>1917</v>
      </c>
      <c r="Y79" s="43">
        <v>1791</v>
      </c>
      <c r="Z79" s="43">
        <v>1824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206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6865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441</v>
      </c>
      <c r="I81" s="43">
        <v>592</v>
      </c>
      <c r="J81" s="43">
        <v>941</v>
      </c>
      <c r="K81" s="72">
        <v>1147</v>
      </c>
      <c r="L81" s="43">
        <v>1645</v>
      </c>
      <c r="M81" s="43">
        <v>1877</v>
      </c>
      <c r="N81" s="43">
        <v>222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1690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123</v>
      </c>
      <c r="AB81" s="43">
        <v>148</v>
      </c>
      <c r="AC81" s="43">
        <v>237</v>
      </c>
      <c r="AD81" s="72">
        <v>273</v>
      </c>
      <c r="AE81" s="43">
        <v>343</v>
      </c>
      <c r="AF81" s="43">
        <v>352</v>
      </c>
      <c r="AG81" s="43">
        <v>214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18918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2010</v>
      </c>
      <c r="I83" s="43">
        <v>2312</v>
      </c>
      <c r="J83" s="43">
        <v>2704</v>
      </c>
      <c r="K83" s="72">
        <v>3033</v>
      </c>
      <c r="L83" s="43">
        <v>3702</v>
      </c>
      <c r="M83" s="43">
        <v>5125</v>
      </c>
      <c r="N83" s="43">
        <v>32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1929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234</v>
      </c>
      <c r="AB83" s="43">
        <v>233</v>
      </c>
      <c r="AC83" s="43">
        <v>248</v>
      </c>
      <c r="AD83" s="72">
        <v>310</v>
      </c>
      <c r="AE83" s="43">
        <v>411</v>
      </c>
      <c r="AF83" s="43">
        <v>462</v>
      </c>
      <c r="AG83" s="43">
        <v>31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11060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2302</v>
      </c>
      <c r="I84" s="43">
        <v>2283</v>
      </c>
      <c r="J84" s="43">
        <v>2249</v>
      </c>
      <c r="K84" s="72">
        <v>2371</v>
      </c>
      <c r="L84" s="43">
        <v>1720</v>
      </c>
      <c r="M84" s="43" t="s">
        <v>35</v>
      </c>
      <c r="N84" s="43">
        <v>135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1111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200</v>
      </c>
      <c r="AB84" s="43">
        <v>212</v>
      </c>
      <c r="AC84" s="43">
        <v>194</v>
      </c>
      <c r="AD84" s="72">
        <v>219</v>
      </c>
      <c r="AE84" s="43">
        <v>153</v>
      </c>
      <c r="AF84" s="43" t="s">
        <v>35</v>
      </c>
      <c r="AG84" s="43">
        <v>133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58100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7907</v>
      </c>
      <c r="I85" s="43">
        <v>7562</v>
      </c>
      <c r="J85" s="43">
        <v>7183</v>
      </c>
      <c r="K85" s="72">
        <v>7070</v>
      </c>
      <c r="L85" s="43">
        <v>6893</v>
      </c>
      <c r="M85" s="43" t="s">
        <v>35</v>
      </c>
      <c r="N85" s="43">
        <v>203</v>
      </c>
      <c r="O85" s="43">
        <v>7385</v>
      </c>
      <c r="P85" s="43">
        <v>7133</v>
      </c>
      <c r="Q85" s="43">
        <v>6764</v>
      </c>
      <c r="R85" s="43" t="s">
        <v>35</v>
      </c>
      <c r="T85" s="43" t="s">
        <v>82</v>
      </c>
      <c r="U85" s="43">
        <v>2696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306</v>
      </c>
      <c r="AB85" s="43">
        <v>286</v>
      </c>
      <c r="AC85" s="43">
        <v>262</v>
      </c>
      <c r="AD85" s="72">
        <v>254</v>
      </c>
      <c r="AE85" s="43">
        <v>271</v>
      </c>
      <c r="AF85" s="43" t="s">
        <v>35</v>
      </c>
      <c r="AG85" s="43">
        <v>199</v>
      </c>
      <c r="AH85" s="43">
        <v>415</v>
      </c>
      <c r="AI85" s="43">
        <v>368</v>
      </c>
      <c r="AJ85" s="43">
        <v>335</v>
      </c>
      <c r="AK85" s="43" t="s">
        <v>35</v>
      </c>
      <c r="AU85" s="49"/>
    </row>
    <row r="86" spans="1:47" ht="45">
      <c r="A86" s="43" t="s">
        <v>83</v>
      </c>
      <c r="B86" s="43">
        <v>27671</v>
      </c>
      <c r="C86" s="43" t="s">
        <v>35</v>
      </c>
      <c r="D86" s="43">
        <v>289</v>
      </c>
      <c r="E86" s="43">
        <v>291</v>
      </c>
      <c r="F86" s="43">
        <v>289</v>
      </c>
      <c r="G86" s="43">
        <v>289</v>
      </c>
      <c r="H86" s="43">
        <v>4088</v>
      </c>
      <c r="I86" s="43">
        <v>4114</v>
      </c>
      <c r="J86" s="43">
        <v>3681</v>
      </c>
      <c r="K86" s="72">
        <v>3496</v>
      </c>
      <c r="L86" s="43">
        <v>3515</v>
      </c>
      <c r="M86" s="43">
        <v>3258</v>
      </c>
      <c r="N86" s="43">
        <v>235</v>
      </c>
      <c r="O86" s="43" t="s">
        <v>35</v>
      </c>
      <c r="P86" s="43">
        <v>1748</v>
      </c>
      <c r="Q86" s="43">
        <v>1383</v>
      </c>
      <c r="R86" s="43">
        <v>995</v>
      </c>
      <c r="T86" s="43" t="s">
        <v>83</v>
      </c>
      <c r="U86" s="43">
        <v>2360</v>
      </c>
      <c r="V86" s="43" t="s">
        <v>35</v>
      </c>
      <c r="W86" s="43">
        <v>29</v>
      </c>
      <c r="X86" s="43">
        <v>22</v>
      </c>
      <c r="Y86" s="43">
        <v>24</v>
      </c>
      <c r="Z86" s="43">
        <v>18</v>
      </c>
      <c r="AA86" s="43">
        <v>288</v>
      </c>
      <c r="AB86" s="43">
        <v>326</v>
      </c>
      <c r="AC86" s="43">
        <v>302</v>
      </c>
      <c r="AD86" s="72">
        <v>291</v>
      </c>
      <c r="AE86" s="43">
        <v>279</v>
      </c>
      <c r="AF86" s="43">
        <v>244</v>
      </c>
      <c r="AG86" s="43">
        <v>227</v>
      </c>
      <c r="AH86" s="43" t="s">
        <v>35</v>
      </c>
      <c r="AI86" s="43">
        <v>136</v>
      </c>
      <c r="AJ86" s="43">
        <v>118</v>
      </c>
      <c r="AK86" s="43">
        <v>56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2350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271</v>
      </c>
      <c r="I88" s="43">
        <v>242</v>
      </c>
      <c r="J88" s="43">
        <v>343</v>
      </c>
      <c r="K88" s="72">
        <v>387</v>
      </c>
      <c r="L88" s="43">
        <v>466</v>
      </c>
      <c r="M88" s="43">
        <v>391</v>
      </c>
      <c r="N88" s="43">
        <v>250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453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24</v>
      </c>
      <c r="AB88" s="43">
        <v>17</v>
      </c>
      <c r="AC88" s="43">
        <v>30</v>
      </c>
      <c r="AD88" s="72">
        <v>36</v>
      </c>
      <c r="AE88" s="43">
        <v>63</v>
      </c>
      <c r="AF88" s="43">
        <v>36</v>
      </c>
      <c r="AG88" s="43">
        <v>247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6727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1065</v>
      </c>
      <c r="I89" s="43">
        <v>982</v>
      </c>
      <c r="J89" s="43">
        <v>1052</v>
      </c>
      <c r="K89" s="72">
        <v>1108</v>
      </c>
      <c r="L89" s="43">
        <v>1250</v>
      </c>
      <c r="M89" s="43">
        <v>1232</v>
      </c>
      <c r="N89" s="43">
        <v>38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380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55</v>
      </c>
      <c r="AB89" s="43">
        <v>42</v>
      </c>
      <c r="AC89" s="43">
        <v>57</v>
      </c>
      <c r="AD89" s="72">
        <v>49</v>
      </c>
      <c r="AE89" s="43">
        <v>68</v>
      </c>
      <c r="AF89" s="43">
        <v>72</v>
      </c>
      <c r="AG89" s="43">
        <v>37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8274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958</v>
      </c>
      <c r="I90" s="43">
        <v>1032</v>
      </c>
      <c r="J90" s="43">
        <v>977</v>
      </c>
      <c r="K90" s="72">
        <v>921</v>
      </c>
      <c r="L90" s="43">
        <v>942</v>
      </c>
      <c r="M90" s="43" t="s">
        <v>35</v>
      </c>
      <c r="N90" s="43" t="s">
        <v>35</v>
      </c>
      <c r="O90" s="43">
        <v>1228</v>
      </c>
      <c r="P90" s="43">
        <v>1205</v>
      </c>
      <c r="Q90" s="43">
        <v>1011</v>
      </c>
      <c r="R90" s="43" t="s">
        <v>35</v>
      </c>
      <c r="T90" s="43" t="s">
        <v>87</v>
      </c>
      <c r="U90" s="43">
        <v>236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18</v>
      </c>
      <c r="AB90" s="43">
        <v>21</v>
      </c>
      <c r="AC90" s="43">
        <v>19</v>
      </c>
      <c r="AD90" s="72">
        <v>28</v>
      </c>
      <c r="AE90" s="43">
        <v>17</v>
      </c>
      <c r="AF90" s="43" t="s">
        <v>35</v>
      </c>
      <c r="AG90" s="43" t="s">
        <v>35</v>
      </c>
      <c r="AH90" s="43">
        <v>55</v>
      </c>
      <c r="AI90" s="43">
        <v>61</v>
      </c>
      <c r="AJ90" s="43">
        <v>17</v>
      </c>
      <c r="AK90" s="43" t="s">
        <v>35</v>
      </c>
      <c r="AU90" s="49"/>
    </row>
    <row r="91" spans="1:47" ht="75">
      <c r="A91" s="43" t="s">
        <v>88</v>
      </c>
      <c r="B91" s="43">
        <v>946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85</v>
      </c>
      <c r="I91" s="43">
        <v>141</v>
      </c>
      <c r="J91" s="43">
        <v>116</v>
      </c>
      <c r="K91" s="72">
        <v>128</v>
      </c>
      <c r="L91" s="43">
        <v>92</v>
      </c>
      <c r="M91" s="43">
        <v>108</v>
      </c>
      <c r="N91" s="43" t="s">
        <v>35</v>
      </c>
      <c r="O91" s="43" t="s">
        <v>35</v>
      </c>
      <c r="P91" s="43">
        <v>125</v>
      </c>
      <c r="Q91" s="43">
        <v>83</v>
      </c>
      <c r="R91" s="43">
        <v>68</v>
      </c>
      <c r="T91" s="43" t="s">
        <v>88</v>
      </c>
      <c r="U91" s="43">
        <v>38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2</v>
      </c>
      <c r="AB91" s="43">
        <v>8</v>
      </c>
      <c r="AC91" s="43">
        <v>5</v>
      </c>
      <c r="AD91" s="72">
        <v>5</v>
      </c>
      <c r="AE91" s="43">
        <v>4</v>
      </c>
      <c r="AF91" s="43">
        <v>5</v>
      </c>
      <c r="AG91" s="43" t="s">
        <v>35</v>
      </c>
      <c r="AH91" s="43" t="s">
        <v>35</v>
      </c>
      <c r="AI91" s="43">
        <v>7</v>
      </c>
      <c r="AJ91" s="43">
        <v>2</v>
      </c>
      <c r="AK91" s="43" t="s">
        <v>35</v>
      </c>
      <c r="AU91" s="49"/>
    </row>
    <row r="92" spans="1:47" ht="45">
      <c r="A92" s="43" t="s">
        <v>89</v>
      </c>
      <c r="B92" s="43">
        <v>33</v>
      </c>
      <c r="C92" s="43">
        <v>33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2118</v>
      </c>
      <c r="C93" s="43" t="s">
        <v>35</v>
      </c>
      <c r="D93" s="43" t="s">
        <v>35</v>
      </c>
      <c r="E93" s="43" t="s">
        <v>35</v>
      </c>
      <c r="F93" s="43" t="s">
        <v>35</v>
      </c>
      <c r="G93" s="43">
        <v>202</v>
      </c>
      <c r="H93" s="43">
        <v>258</v>
      </c>
      <c r="I93" s="43">
        <v>265</v>
      </c>
      <c r="J93" s="43">
        <v>325</v>
      </c>
      <c r="K93" s="72">
        <v>372</v>
      </c>
      <c r="L93" s="43">
        <v>424</v>
      </c>
      <c r="M93" s="43">
        <v>272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259</v>
      </c>
      <c r="V93" s="43" t="s">
        <v>35</v>
      </c>
      <c r="W93" s="43" t="s">
        <v>35</v>
      </c>
      <c r="X93" s="43" t="s">
        <v>35</v>
      </c>
      <c r="Y93" s="43" t="s">
        <v>35</v>
      </c>
      <c r="Z93" s="43">
        <v>21</v>
      </c>
      <c r="AA93" s="43">
        <v>28</v>
      </c>
      <c r="AB93" s="43">
        <v>29</v>
      </c>
      <c r="AC93" s="43">
        <v>37</v>
      </c>
      <c r="AD93" s="72">
        <v>45</v>
      </c>
      <c r="AE93" s="43">
        <v>60</v>
      </c>
      <c r="AF93" s="43">
        <v>39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1960</v>
      </c>
      <c r="C94" s="43" t="s">
        <v>35</v>
      </c>
      <c r="D94" s="43">
        <v>542</v>
      </c>
      <c r="E94" s="43" t="s">
        <v>35</v>
      </c>
      <c r="F94" s="43" t="s">
        <v>35</v>
      </c>
      <c r="G94" s="43" t="s">
        <v>35</v>
      </c>
      <c r="H94" s="43">
        <v>834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584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184</v>
      </c>
      <c r="V94" s="43" t="s">
        <v>35</v>
      </c>
      <c r="W94" s="43">
        <v>38</v>
      </c>
      <c r="X94" s="43" t="s">
        <v>35</v>
      </c>
      <c r="Y94" s="43" t="s">
        <v>35</v>
      </c>
      <c r="Z94" s="43" t="s">
        <v>35</v>
      </c>
      <c r="AA94" s="43">
        <v>84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62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2966</v>
      </c>
      <c r="C95" s="43" t="s">
        <v>35</v>
      </c>
      <c r="D95" s="43">
        <v>318</v>
      </c>
      <c r="E95" s="43">
        <v>454</v>
      </c>
      <c r="F95" s="43">
        <v>362</v>
      </c>
      <c r="G95" s="43">
        <v>332</v>
      </c>
      <c r="H95" s="43">
        <v>242</v>
      </c>
      <c r="I95" s="43">
        <v>220</v>
      </c>
      <c r="J95" s="43">
        <v>256</v>
      </c>
      <c r="K95" s="72">
        <v>284</v>
      </c>
      <c r="L95" s="43">
        <v>272</v>
      </c>
      <c r="M95" s="43">
        <v>226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180</v>
      </c>
      <c r="V95" s="43" t="s">
        <v>35</v>
      </c>
      <c r="W95" s="43">
        <v>27</v>
      </c>
      <c r="X95" s="43">
        <v>27</v>
      </c>
      <c r="Y95" s="43">
        <v>21</v>
      </c>
      <c r="Z95" s="43">
        <v>18</v>
      </c>
      <c r="AA95" s="43">
        <v>11</v>
      </c>
      <c r="AB95" s="43">
        <v>7</v>
      </c>
      <c r="AC95" s="43">
        <v>15</v>
      </c>
      <c r="AD95" s="72">
        <v>16</v>
      </c>
      <c r="AE95" s="43">
        <v>23</v>
      </c>
      <c r="AF95" s="43">
        <v>15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168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79</v>
      </c>
      <c r="Q96" s="43">
        <v>59</v>
      </c>
      <c r="R96" s="43">
        <v>30</v>
      </c>
      <c r="T96" s="43" t="s">
        <v>93</v>
      </c>
      <c r="U96" s="43">
        <v>17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11</v>
      </c>
      <c r="AJ96" s="43">
        <v>4</v>
      </c>
      <c r="AK96" s="43">
        <v>2</v>
      </c>
      <c r="AU96" s="49"/>
    </row>
    <row r="97" spans="1:47">
      <c r="A97" s="43" t="s">
        <v>94</v>
      </c>
      <c r="B97" s="43">
        <v>311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113</v>
      </c>
      <c r="Q97" s="43">
        <v>126</v>
      </c>
      <c r="R97" s="43">
        <v>72</v>
      </c>
      <c r="T97" s="43" t="s">
        <v>94</v>
      </c>
      <c r="U97" s="43">
        <v>13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6</v>
      </c>
      <c r="AJ97" s="43">
        <v>5</v>
      </c>
      <c r="AK97" s="43">
        <v>2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186350</v>
      </c>
      <c r="C100" s="43">
        <v>579</v>
      </c>
      <c r="D100" s="43">
        <v>16126</v>
      </c>
      <c r="E100" s="43">
        <v>16022</v>
      </c>
      <c r="F100" s="43">
        <v>15877</v>
      </c>
      <c r="G100" s="43">
        <v>16355</v>
      </c>
      <c r="H100" s="43">
        <v>17607</v>
      </c>
      <c r="I100" s="43">
        <v>17231</v>
      </c>
      <c r="J100" s="43">
        <v>17305</v>
      </c>
      <c r="K100" s="72">
        <v>17941</v>
      </c>
      <c r="L100" s="43">
        <v>18594</v>
      </c>
      <c r="M100" s="43">
        <v>11423</v>
      </c>
      <c r="N100" s="43">
        <v>668</v>
      </c>
      <c r="O100" s="43">
        <v>6875</v>
      </c>
      <c r="P100" s="43">
        <v>7157</v>
      </c>
      <c r="Q100" s="43">
        <v>6397</v>
      </c>
      <c r="R100" s="43">
        <v>193</v>
      </c>
      <c r="T100" s="43" t="s">
        <v>40</v>
      </c>
      <c r="U100" s="43">
        <v>9568</v>
      </c>
      <c r="V100" s="43">
        <v>116</v>
      </c>
      <c r="W100" s="43">
        <v>1202</v>
      </c>
      <c r="X100" s="43">
        <v>1105</v>
      </c>
      <c r="Y100" s="43">
        <v>1040</v>
      </c>
      <c r="Z100" s="43">
        <v>1048</v>
      </c>
      <c r="AA100" s="43">
        <v>708</v>
      </c>
      <c r="AB100" s="43">
        <v>601</v>
      </c>
      <c r="AC100" s="43">
        <v>695</v>
      </c>
      <c r="AD100" s="72">
        <v>730</v>
      </c>
      <c r="AE100" s="43">
        <v>793</v>
      </c>
      <c r="AF100" s="43">
        <v>511</v>
      </c>
      <c r="AG100" s="43">
        <v>637</v>
      </c>
      <c r="AH100" s="43">
        <v>155</v>
      </c>
      <c r="AI100" s="43">
        <v>141</v>
      </c>
      <c r="AJ100" s="43">
        <v>83</v>
      </c>
      <c r="AK100" s="43">
        <v>3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579</v>
      </c>
      <c r="C102" s="43">
        <v>579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116</v>
      </c>
      <c r="V102" s="43">
        <v>116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62347</v>
      </c>
      <c r="C103" s="43" t="s">
        <v>35</v>
      </c>
      <c r="D103" s="43">
        <v>15293</v>
      </c>
      <c r="E103" s="43">
        <v>15585</v>
      </c>
      <c r="F103" s="43">
        <v>15525</v>
      </c>
      <c r="G103" s="43">
        <v>15840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104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4445</v>
      </c>
      <c r="V103" s="43" t="s">
        <v>35</v>
      </c>
      <c r="W103" s="43">
        <v>1178</v>
      </c>
      <c r="X103" s="43">
        <v>1097</v>
      </c>
      <c r="Y103" s="43">
        <v>1035</v>
      </c>
      <c r="Z103" s="43">
        <v>1031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104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6811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475</v>
      </c>
      <c r="I105" s="43">
        <v>528</v>
      </c>
      <c r="J105" s="43">
        <v>803</v>
      </c>
      <c r="K105" s="72">
        <v>1000</v>
      </c>
      <c r="L105" s="43">
        <v>1833</v>
      </c>
      <c r="M105" s="43">
        <v>2036</v>
      </c>
      <c r="N105" s="43">
        <v>136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973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76</v>
      </c>
      <c r="AB105" s="43">
        <v>81</v>
      </c>
      <c r="AC105" s="43">
        <v>131</v>
      </c>
      <c r="AD105" s="72">
        <v>147</v>
      </c>
      <c r="AE105" s="43">
        <v>219</v>
      </c>
      <c r="AF105" s="43">
        <v>189</v>
      </c>
      <c r="AG105" s="43">
        <v>130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17908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1498</v>
      </c>
      <c r="I107" s="43">
        <v>1472</v>
      </c>
      <c r="J107" s="43">
        <v>1715</v>
      </c>
      <c r="K107" s="72">
        <v>2147</v>
      </c>
      <c r="L107" s="43">
        <v>4307</v>
      </c>
      <c r="M107" s="43">
        <v>6769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753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84</v>
      </c>
      <c r="AB107" s="43">
        <v>70</v>
      </c>
      <c r="AC107" s="43">
        <v>93</v>
      </c>
      <c r="AD107" s="72">
        <v>91</v>
      </c>
      <c r="AE107" s="43">
        <v>171</v>
      </c>
      <c r="AF107" s="43">
        <v>244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22932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4629</v>
      </c>
      <c r="I108" s="43">
        <v>4923</v>
      </c>
      <c r="J108" s="43">
        <v>4971</v>
      </c>
      <c r="K108" s="72">
        <v>5016</v>
      </c>
      <c r="L108" s="43">
        <v>3152</v>
      </c>
      <c r="M108" s="43" t="s">
        <v>35</v>
      </c>
      <c r="N108" s="43">
        <v>241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1440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276</v>
      </c>
      <c r="AB108" s="43">
        <v>257</v>
      </c>
      <c r="AC108" s="43">
        <v>267</v>
      </c>
      <c r="AD108" s="72">
        <v>257</v>
      </c>
      <c r="AE108" s="43">
        <v>149</v>
      </c>
      <c r="AF108" s="43" t="s">
        <v>35</v>
      </c>
      <c r="AG108" s="43">
        <v>234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49195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6542</v>
      </c>
      <c r="I109" s="43">
        <v>6526</v>
      </c>
      <c r="J109" s="43">
        <v>6114</v>
      </c>
      <c r="K109" s="72">
        <v>6026</v>
      </c>
      <c r="L109" s="43">
        <v>5894</v>
      </c>
      <c r="M109" s="43" t="s">
        <v>35</v>
      </c>
      <c r="N109" s="43">
        <v>26</v>
      </c>
      <c r="O109" s="43">
        <v>6236</v>
      </c>
      <c r="P109" s="43">
        <v>6197</v>
      </c>
      <c r="Q109" s="43">
        <v>5634</v>
      </c>
      <c r="R109" s="43" t="s">
        <v>35</v>
      </c>
      <c r="T109" s="43" t="s">
        <v>82</v>
      </c>
      <c r="U109" s="43">
        <v>896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120</v>
      </c>
      <c r="AB109" s="43">
        <v>101</v>
      </c>
      <c r="AC109" s="43">
        <v>103</v>
      </c>
      <c r="AD109" s="72">
        <v>84</v>
      </c>
      <c r="AE109" s="43">
        <v>130</v>
      </c>
      <c r="AF109" s="43" t="s">
        <v>35</v>
      </c>
      <c r="AG109" s="43">
        <v>16</v>
      </c>
      <c r="AH109" s="43">
        <v>138</v>
      </c>
      <c r="AI109" s="43">
        <v>126</v>
      </c>
      <c r="AJ109" s="43">
        <v>78</v>
      </c>
      <c r="AK109" s="43" t="s">
        <v>35</v>
      </c>
      <c r="AU109" s="49"/>
    </row>
    <row r="110" spans="1:47" ht="45">
      <c r="A110" s="43" t="s">
        <v>83</v>
      </c>
      <c r="B110" s="43">
        <v>10773</v>
      </c>
      <c r="C110" s="43" t="s">
        <v>35</v>
      </c>
      <c r="D110" s="43">
        <v>232</v>
      </c>
      <c r="E110" s="43">
        <v>206</v>
      </c>
      <c r="F110" s="43">
        <v>223</v>
      </c>
      <c r="G110" s="43">
        <v>223</v>
      </c>
      <c r="H110" s="43">
        <v>1945</v>
      </c>
      <c r="I110" s="43">
        <v>1855</v>
      </c>
      <c r="J110" s="43">
        <v>1657</v>
      </c>
      <c r="K110" s="72">
        <v>1544</v>
      </c>
      <c r="L110" s="43">
        <v>1110</v>
      </c>
      <c r="M110" s="43">
        <v>770</v>
      </c>
      <c r="N110" s="43">
        <v>80</v>
      </c>
      <c r="O110" s="43" t="s">
        <v>35</v>
      </c>
      <c r="P110" s="43">
        <v>408</v>
      </c>
      <c r="Q110" s="43">
        <v>327</v>
      </c>
      <c r="R110" s="43">
        <v>193</v>
      </c>
      <c r="T110" s="43" t="s">
        <v>83</v>
      </c>
      <c r="U110" s="43">
        <v>325</v>
      </c>
      <c r="V110" s="43" t="s">
        <v>35</v>
      </c>
      <c r="W110" s="43" t="s">
        <v>35</v>
      </c>
      <c r="X110" s="43" t="s">
        <v>35</v>
      </c>
      <c r="Y110" s="43" t="s">
        <v>35</v>
      </c>
      <c r="Z110" s="43">
        <v>1</v>
      </c>
      <c r="AA110" s="43">
        <v>66</v>
      </c>
      <c r="AB110" s="43">
        <v>49</v>
      </c>
      <c r="AC110" s="43">
        <v>38</v>
      </c>
      <c r="AD110" s="72">
        <v>45</v>
      </c>
      <c r="AE110" s="43">
        <v>30</v>
      </c>
      <c r="AF110" s="43">
        <v>9</v>
      </c>
      <c r="AG110" s="43">
        <v>77</v>
      </c>
      <c r="AH110" s="43" t="s">
        <v>35</v>
      </c>
      <c r="AI110" s="43">
        <v>6</v>
      </c>
      <c r="AJ110" s="43">
        <v>1</v>
      </c>
      <c r="AK110" s="43">
        <v>3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1705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213</v>
      </c>
      <c r="I112" s="43">
        <v>240</v>
      </c>
      <c r="J112" s="43">
        <v>288</v>
      </c>
      <c r="K112" s="72">
        <v>308</v>
      </c>
      <c r="L112" s="43">
        <v>353</v>
      </c>
      <c r="M112" s="43">
        <v>222</v>
      </c>
      <c r="N112" s="43">
        <v>81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205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19</v>
      </c>
      <c r="AB112" s="43">
        <v>13</v>
      </c>
      <c r="AC112" s="43">
        <v>12</v>
      </c>
      <c r="AD112" s="72">
        <v>44</v>
      </c>
      <c r="AE112" s="43">
        <v>23</v>
      </c>
      <c r="AF112" s="43">
        <v>18</v>
      </c>
      <c r="AG112" s="43">
        <v>76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4516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709</v>
      </c>
      <c r="I113" s="43">
        <v>691</v>
      </c>
      <c r="J113" s="43">
        <v>760</v>
      </c>
      <c r="K113" s="72">
        <v>783</v>
      </c>
      <c r="L113" s="43">
        <v>759</v>
      </c>
      <c r="M113" s="43">
        <v>814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102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20</v>
      </c>
      <c r="AB113" s="43">
        <v>14</v>
      </c>
      <c r="AC113" s="43">
        <v>20</v>
      </c>
      <c r="AD113" s="72">
        <v>15</v>
      </c>
      <c r="AE113" s="43">
        <v>17</v>
      </c>
      <c r="AF113" s="43">
        <v>16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4526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582</v>
      </c>
      <c r="I114" s="43">
        <v>627</v>
      </c>
      <c r="J114" s="43">
        <v>552</v>
      </c>
      <c r="K114" s="72">
        <v>589</v>
      </c>
      <c r="L114" s="43">
        <v>549</v>
      </c>
      <c r="M114" s="43" t="s">
        <v>35</v>
      </c>
      <c r="N114" s="43" t="s">
        <v>35</v>
      </c>
      <c r="O114" s="43">
        <v>639</v>
      </c>
      <c r="P114" s="43">
        <v>552</v>
      </c>
      <c r="Q114" s="43">
        <v>436</v>
      </c>
      <c r="R114" s="43" t="s">
        <v>35</v>
      </c>
      <c r="T114" s="43" t="s">
        <v>87</v>
      </c>
      <c r="U114" s="43">
        <v>73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11</v>
      </c>
      <c r="AB114" s="43">
        <v>5</v>
      </c>
      <c r="AC114" s="43">
        <v>5</v>
      </c>
      <c r="AD114" s="72">
        <v>12</v>
      </c>
      <c r="AE114" s="43">
        <v>10</v>
      </c>
      <c r="AF114" s="43" t="s">
        <v>35</v>
      </c>
      <c r="AG114" s="43" t="s">
        <v>35</v>
      </c>
      <c r="AH114" s="43">
        <v>17</v>
      </c>
      <c r="AI114" s="43">
        <v>9</v>
      </c>
      <c r="AJ114" s="43">
        <v>4</v>
      </c>
      <c r="AK114" s="43" t="s">
        <v>35</v>
      </c>
      <c r="AU114" s="49"/>
    </row>
    <row r="115" spans="1:47" ht="75">
      <c r="A115" s="43" t="s">
        <v>88</v>
      </c>
      <c r="B115" s="43">
        <v>333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39</v>
      </c>
      <c r="I115" s="43">
        <v>64</v>
      </c>
      <c r="J115" s="43">
        <v>61</v>
      </c>
      <c r="K115" s="72">
        <v>63</v>
      </c>
      <c r="L115" s="43">
        <v>64</v>
      </c>
      <c r="M115" s="43">
        <v>42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2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 t="s">
        <v>35</v>
      </c>
      <c r="AC115" s="43">
        <v>1</v>
      </c>
      <c r="AD115" s="72">
        <v>1</v>
      </c>
      <c r="AE115" s="43" t="s">
        <v>35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1894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>
        <v>169</v>
      </c>
      <c r="H117" s="43">
        <v>184</v>
      </c>
      <c r="I117" s="43">
        <v>219</v>
      </c>
      <c r="J117" s="43">
        <v>291</v>
      </c>
      <c r="K117" s="72">
        <v>385</v>
      </c>
      <c r="L117" s="43">
        <v>454</v>
      </c>
      <c r="M117" s="43">
        <v>192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144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>
        <v>16</v>
      </c>
      <c r="AA117" s="43">
        <v>8</v>
      </c>
      <c r="AB117" s="43">
        <v>11</v>
      </c>
      <c r="AC117" s="43">
        <v>25</v>
      </c>
      <c r="AD117" s="72">
        <v>32</v>
      </c>
      <c r="AE117" s="43">
        <v>37</v>
      </c>
      <c r="AF117" s="43">
        <v>15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1643</v>
      </c>
      <c r="C118" s="43" t="s">
        <v>35</v>
      </c>
      <c r="D118" s="43">
        <v>421</v>
      </c>
      <c r="E118" s="43" t="s">
        <v>35</v>
      </c>
      <c r="F118" s="43" t="s">
        <v>35</v>
      </c>
      <c r="G118" s="43" t="s">
        <v>35</v>
      </c>
      <c r="H118" s="43">
        <v>724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498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65</v>
      </c>
      <c r="V118" s="43" t="s">
        <v>35</v>
      </c>
      <c r="W118" s="43">
        <v>20</v>
      </c>
      <c r="X118" s="43" t="s">
        <v>35</v>
      </c>
      <c r="Y118" s="43" t="s">
        <v>35</v>
      </c>
      <c r="Z118" s="43" t="s">
        <v>35</v>
      </c>
      <c r="AA118" s="43">
        <v>27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18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1188</v>
      </c>
      <c r="C119" s="43" t="s">
        <v>35</v>
      </c>
      <c r="D119" s="43">
        <v>180</v>
      </c>
      <c r="E119" s="43">
        <v>231</v>
      </c>
      <c r="F119" s="43">
        <v>129</v>
      </c>
      <c r="G119" s="43">
        <v>123</v>
      </c>
      <c r="H119" s="43">
        <v>67</v>
      </c>
      <c r="I119" s="43">
        <v>86</v>
      </c>
      <c r="J119" s="43">
        <v>93</v>
      </c>
      <c r="K119" s="72">
        <v>80</v>
      </c>
      <c r="L119" s="43">
        <v>119</v>
      </c>
      <c r="M119" s="43">
        <v>80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29</v>
      </c>
      <c r="V119" s="43" t="s">
        <v>35</v>
      </c>
      <c r="W119" s="43">
        <v>4</v>
      </c>
      <c r="X119" s="43">
        <v>8</v>
      </c>
      <c r="Y119" s="43">
        <v>5</v>
      </c>
      <c r="Z119" s="43" t="s">
        <v>35</v>
      </c>
      <c r="AA119" s="43">
        <v>1</v>
      </c>
      <c r="AB119" s="43" t="s">
        <v>35</v>
      </c>
      <c r="AC119" s="43" t="s">
        <v>35</v>
      </c>
      <c r="AD119" s="72">
        <v>2</v>
      </c>
      <c r="AE119" s="43">
        <v>7</v>
      </c>
      <c r="AF119" s="43">
        <v>2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277031</v>
      </c>
      <c r="C124" s="43">
        <v>946</v>
      </c>
      <c r="D124" s="43">
        <v>23485</v>
      </c>
      <c r="E124" s="43">
        <v>23977</v>
      </c>
      <c r="F124" s="43">
        <v>23229</v>
      </c>
      <c r="G124" s="43">
        <v>24593</v>
      </c>
      <c r="H124" s="43">
        <v>26535</v>
      </c>
      <c r="I124" s="43">
        <v>25944</v>
      </c>
      <c r="J124" s="43">
        <v>25920</v>
      </c>
      <c r="K124" s="72">
        <v>27117</v>
      </c>
      <c r="L124" s="43">
        <v>27401</v>
      </c>
      <c r="M124" s="43">
        <v>17845</v>
      </c>
      <c r="N124" s="43">
        <v>1167</v>
      </c>
      <c r="O124" s="43">
        <v>9026</v>
      </c>
      <c r="P124" s="43">
        <v>9992</v>
      </c>
      <c r="Q124" s="43">
        <v>8977</v>
      </c>
      <c r="R124" s="43">
        <v>877</v>
      </c>
      <c r="T124" s="43" t="s">
        <v>40</v>
      </c>
      <c r="U124" s="43">
        <v>17263</v>
      </c>
      <c r="V124" s="43">
        <v>202</v>
      </c>
      <c r="W124" s="43">
        <v>2054</v>
      </c>
      <c r="X124" s="43">
        <v>1902</v>
      </c>
      <c r="Y124" s="43">
        <v>1705</v>
      </c>
      <c r="Z124" s="43">
        <v>1756</v>
      </c>
      <c r="AA124" s="43">
        <v>1409</v>
      </c>
      <c r="AB124" s="43">
        <v>1349</v>
      </c>
      <c r="AC124" s="43">
        <v>1327</v>
      </c>
      <c r="AD124" s="72">
        <v>1395</v>
      </c>
      <c r="AE124" s="43">
        <v>1462</v>
      </c>
      <c r="AF124" s="43">
        <v>1006</v>
      </c>
      <c r="AG124" s="43">
        <v>1042</v>
      </c>
      <c r="AH124" s="43">
        <v>245</v>
      </c>
      <c r="AI124" s="43">
        <v>222</v>
      </c>
      <c r="AJ124" s="43">
        <v>162</v>
      </c>
      <c r="AK124" s="43">
        <v>25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946</v>
      </c>
      <c r="C126" s="43">
        <v>946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202</v>
      </c>
      <c r="V126" s="43">
        <v>202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91885</v>
      </c>
      <c r="C127" s="43" t="s">
        <v>35</v>
      </c>
      <c r="D127" s="43">
        <v>22153</v>
      </c>
      <c r="E127" s="43">
        <v>23153</v>
      </c>
      <c r="F127" s="43">
        <v>22607</v>
      </c>
      <c r="G127" s="43">
        <v>23568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404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7579</v>
      </c>
      <c r="V127" s="43" t="s">
        <v>35</v>
      </c>
      <c r="W127" s="43">
        <v>1953</v>
      </c>
      <c r="X127" s="43">
        <v>1862</v>
      </c>
      <c r="Y127" s="43">
        <v>1678</v>
      </c>
      <c r="Z127" s="43">
        <v>1695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391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12874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834</v>
      </c>
      <c r="I129" s="43">
        <v>1152</v>
      </c>
      <c r="J129" s="43">
        <v>1699</v>
      </c>
      <c r="K129" s="72">
        <v>2237</v>
      </c>
      <c r="L129" s="43">
        <v>3184</v>
      </c>
      <c r="M129" s="43">
        <v>3565</v>
      </c>
      <c r="N129" s="43">
        <v>203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1842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130</v>
      </c>
      <c r="AB129" s="43">
        <v>170</v>
      </c>
      <c r="AC129" s="43">
        <v>241</v>
      </c>
      <c r="AD129" s="72">
        <v>324</v>
      </c>
      <c r="AE129" s="43">
        <v>429</v>
      </c>
      <c r="AF129" s="43">
        <v>376</v>
      </c>
      <c r="AG129" s="43">
        <v>172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30110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2536</v>
      </c>
      <c r="I131" s="43">
        <v>3077</v>
      </c>
      <c r="J131" s="43">
        <v>3787</v>
      </c>
      <c r="K131" s="72">
        <v>4507</v>
      </c>
      <c r="L131" s="43">
        <v>6322</v>
      </c>
      <c r="M131" s="43">
        <v>9769</v>
      </c>
      <c r="N131" s="43">
        <v>112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1606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164</v>
      </c>
      <c r="AB131" s="43">
        <v>150</v>
      </c>
      <c r="AC131" s="43">
        <v>187</v>
      </c>
      <c r="AD131" s="72">
        <v>221</v>
      </c>
      <c r="AE131" s="43">
        <v>331</v>
      </c>
      <c r="AF131" s="43">
        <v>457</v>
      </c>
      <c r="AG131" s="43">
        <v>96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33674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7798</v>
      </c>
      <c r="I132" s="43">
        <v>7590</v>
      </c>
      <c r="J132" s="43">
        <v>6927</v>
      </c>
      <c r="K132" s="72">
        <v>6657</v>
      </c>
      <c r="L132" s="43">
        <v>4361</v>
      </c>
      <c r="M132" s="43" t="s">
        <v>35</v>
      </c>
      <c r="N132" s="43">
        <v>341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2680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571</v>
      </c>
      <c r="AB132" s="43">
        <v>610</v>
      </c>
      <c r="AC132" s="43">
        <v>498</v>
      </c>
      <c r="AD132" s="72">
        <v>459</v>
      </c>
      <c r="AE132" s="43">
        <v>263</v>
      </c>
      <c r="AF132" s="43" t="s">
        <v>35</v>
      </c>
      <c r="AG132" s="43">
        <v>279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67989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9343</v>
      </c>
      <c r="I133" s="43">
        <v>9229</v>
      </c>
      <c r="J133" s="43">
        <v>8553</v>
      </c>
      <c r="K133" s="72">
        <v>8429</v>
      </c>
      <c r="L133" s="43">
        <v>8211</v>
      </c>
      <c r="M133" s="43" t="s">
        <v>35</v>
      </c>
      <c r="N133" s="43">
        <v>16</v>
      </c>
      <c r="O133" s="43">
        <v>8619</v>
      </c>
      <c r="P133" s="43">
        <v>8141</v>
      </c>
      <c r="Q133" s="43">
        <v>7448</v>
      </c>
      <c r="R133" s="43" t="s">
        <v>35</v>
      </c>
      <c r="T133" s="43" t="s">
        <v>82</v>
      </c>
      <c r="U133" s="43">
        <v>1628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256</v>
      </c>
      <c r="AB133" s="43">
        <v>249</v>
      </c>
      <c r="AC133" s="43">
        <v>203</v>
      </c>
      <c r="AD133" s="72">
        <v>176</v>
      </c>
      <c r="AE133" s="43">
        <v>196</v>
      </c>
      <c r="AF133" s="43" t="s">
        <v>35</v>
      </c>
      <c r="AG133" s="43">
        <v>16</v>
      </c>
      <c r="AH133" s="43">
        <v>235</v>
      </c>
      <c r="AI133" s="43">
        <v>162</v>
      </c>
      <c r="AJ133" s="43">
        <v>135</v>
      </c>
      <c r="AK133" s="43" t="s">
        <v>35</v>
      </c>
      <c r="AU133" s="49"/>
    </row>
    <row r="134" spans="1:47" ht="45">
      <c r="A134" s="43" t="s">
        <v>83</v>
      </c>
      <c r="B134" s="43">
        <v>19542</v>
      </c>
      <c r="C134" s="43" t="s">
        <v>35</v>
      </c>
      <c r="D134" s="43">
        <v>164</v>
      </c>
      <c r="E134" s="43">
        <v>181</v>
      </c>
      <c r="F134" s="43">
        <v>173</v>
      </c>
      <c r="G134" s="43">
        <v>174</v>
      </c>
      <c r="H134" s="43">
        <v>2885</v>
      </c>
      <c r="I134" s="43">
        <v>2820</v>
      </c>
      <c r="J134" s="43">
        <v>2644</v>
      </c>
      <c r="K134" s="72">
        <v>2798</v>
      </c>
      <c r="L134" s="43">
        <v>2732</v>
      </c>
      <c r="M134" s="43">
        <v>2386</v>
      </c>
      <c r="N134" s="43">
        <v>91</v>
      </c>
      <c r="O134" s="43" t="s">
        <v>35</v>
      </c>
      <c r="P134" s="43">
        <v>1004</v>
      </c>
      <c r="Q134" s="43">
        <v>848</v>
      </c>
      <c r="R134" s="43">
        <v>642</v>
      </c>
      <c r="T134" s="43" t="s">
        <v>83</v>
      </c>
      <c r="U134" s="43">
        <v>591</v>
      </c>
      <c r="V134" s="43" t="s">
        <v>35</v>
      </c>
      <c r="W134" s="43">
        <v>1</v>
      </c>
      <c r="X134" s="43" t="s">
        <v>35</v>
      </c>
      <c r="Y134" s="43">
        <v>2</v>
      </c>
      <c r="Z134" s="43">
        <v>1</v>
      </c>
      <c r="AA134" s="43">
        <v>81</v>
      </c>
      <c r="AB134" s="43">
        <v>76</v>
      </c>
      <c r="AC134" s="43">
        <v>91</v>
      </c>
      <c r="AD134" s="72">
        <v>75</v>
      </c>
      <c r="AE134" s="43">
        <v>78</v>
      </c>
      <c r="AF134" s="43">
        <v>49</v>
      </c>
      <c r="AG134" s="43">
        <v>88</v>
      </c>
      <c r="AH134" s="43" t="s">
        <v>35</v>
      </c>
      <c r="AI134" s="43">
        <v>22</v>
      </c>
      <c r="AJ134" s="43">
        <v>9</v>
      </c>
      <c r="AK134" s="43">
        <v>18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1250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191</v>
      </c>
      <c r="I136" s="43">
        <v>193</v>
      </c>
      <c r="J136" s="43">
        <v>227</v>
      </c>
      <c r="K136" s="72">
        <v>216</v>
      </c>
      <c r="L136" s="43">
        <v>244</v>
      </c>
      <c r="M136" s="43">
        <v>179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100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14</v>
      </c>
      <c r="AB136" s="43">
        <v>12</v>
      </c>
      <c r="AC136" s="43">
        <v>20</v>
      </c>
      <c r="AD136" s="72">
        <v>19</v>
      </c>
      <c r="AE136" s="43">
        <v>22</v>
      </c>
      <c r="AF136" s="43">
        <v>13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3207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517</v>
      </c>
      <c r="I137" s="43">
        <v>487</v>
      </c>
      <c r="J137" s="43">
        <v>531</v>
      </c>
      <c r="K137" s="72">
        <v>523</v>
      </c>
      <c r="L137" s="43">
        <v>564</v>
      </c>
      <c r="M137" s="43">
        <v>585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134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26</v>
      </c>
      <c r="AB137" s="43">
        <v>23</v>
      </c>
      <c r="AC137" s="43">
        <v>16</v>
      </c>
      <c r="AD137" s="72">
        <v>23</v>
      </c>
      <c r="AE137" s="43">
        <v>24</v>
      </c>
      <c r="AF137" s="43">
        <v>22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3112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411</v>
      </c>
      <c r="I138" s="43">
        <v>418</v>
      </c>
      <c r="J138" s="43">
        <v>388</v>
      </c>
      <c r="K138" s="72">
        <v>402</v>
      </c>
      <c r="L138" s="43">
        <v>361</v>
      </c>
      <c r="M138" s="43" t="s">
        <v>35</v>
      </c>
      <c r="N138" s="43" t="s">
        <v>35</v>
      </c>
      <c r="O138" s="43">
        <v>407</v>
      </c>
      <c r="P138" s="43">
        <v>385</v>
      </c>
      <c r="Q138" s="43">
        <v>340</v>
      </c>
      <c r="R138" s="43" t="s">
        <v>35</v>
      </c>
      <c r="T138" s="43" t="s">
        <v>87</v>
      </c>
      <c r="U138" s="43">
        <v>66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19</v>
      </c>
      <c r="AB138" s="43">
        <v>7</v>
      </c>
      <c r="AC138" s="43">
        <v>11</v>
      </c>
      <c r="AD138" s="72">
        <v>6</v>
      </c>
      <c r="AE138" s="43">
        <v>7</v>
      </c>
      <c r="AF138" s="43" t="s">
        <v>35</v>
      </c>
      <c r="AG138" s="43" t="s">
        <v>35</v>
      </c>
      <c r="AH138" s="43">
        <v>10</v>
      </c>
      <c r="AI138" s="43">
        <v>5</v>
      </c>
      <c r="AJ138" s="43">
        <v>1</v>
      </c>
      <c r="AK138" s="43" t="s">
        <v>35</v>
      </c>
      <c r="AU138" s="49"/>
    </row>
    <row r="139" spans="1:47" ht="75">
      <c r="A139" s="43" t="s">
        <v>88</v>
      </c>
      <c r="B139" s="43">
        <v>1462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184</v>
      </c>
      <c r="I139" s="43">
        <v>175</v>
      </c>
      <c r="J139" s="43">
        <v>186</v>
      </c>
      <c r="K139" s="72">
        <v>182</v>
      </c>
      <c r="L139" s="43">
        <v>168</v>
      </c>
      <c r="M139" s="43">
        <v>174</v>
      </c>
      <c r="N139" s="43" t="s">
        <v>35</v>
      </c>
      <c r="O139" s="43" t="s">
        <v>35</v>
      </c>
      <c r="P139" s="43">
        <v>139</v>
      </c>
      <c r="Q139" s="43">
        <v>139</v>
      </c>
      <c r="R139" s="43">
        <v>115</v>
      </c>
      <c r="T139" s="43" t="s">
        <v>88</v>
      </c>
      <c r="U139" s="43">
        <v>58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2</v>
      </c>
      <c r="AB139" s="43">
        <v>5</v>
      </c>
      <c r="AC139" s="43">
        <v>3</v>
      </c>
      <c r="AD139" s="72">
        <v>13</v>
      </c>
      <c r="AE139" s="43">
        <v>20</v>
      </c>
      <c r="AF139" s="43">
        <v>3</v>
      </c>
      <c r="AG139" s="43" t="s">
        <v>35</v>
      </c>
      <c r="AH139" s="43" t="s">
        <v>35</v>
      </c>
      <c r="AI139" s="43">
        <v>11</v>
      </c>
      <c r="AJ139" s="43" t="s">
        <v>35</v>
      </c>
      <c r="AK139" s="43">
        <v>1</v>
      </c>
      <c r="AU139" s="49"/>
    </row>
    <row r="140" spans="1:47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3989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>
        <v>395</v>
      </c>
      <c r="H141" s="43">
        <v>455</v>
      </c>
      <c r="I141" s="43">
        <v>466</v>
      </c>
      <c r="J141" s="43">
        <v>606</v>
      </c>
      <c r="K141" s="72">
        <v>784</v>
      </c>
      <c r="L141" s="43">
        <v>888</v>
      </c>
      <c r="M141" s="43">
        <v>395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336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>
        <v>36</v>
      </c>
      <c r="AA141" s="43">
        <v>46</v>
      </c>
      <c r="AB141" s="43">
        <v>37</v>
      </c>
      <c r="AC141" s="43">
        <v>41</v>
      </c>
      <c r="AD141" s="72">
        <v>65</v>
      </c>
      <c r="AE141" s="43">
        <v>80</v>
      </c>
      <c r="AF141" s="43">
        <v>31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2444</v>
      </c>
      <c r="C142" s="43" t="s">
        <v>35</v>
      </c>
      <c r="D142" s="43">
        <v>672</v>
      </c>
      <c r="E142" s="43" t="s">
        <v>35</v>
      </c>
      <c r="F142" s="43" t="s">
        <v>35</v>
      </c>
      <c r="G142" s="43" t="s">
        <v>35</v>
      </c>
      <c r="H142" s="43">
        <v>1078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694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215</v>
      </c>
      <c r="V142" s="43" t="s">
        <v>35</v>
      </c>
      <c r="W142" s="43">
        <v>70</v>
      </c>
      <c r="X142" s="43" t="s">
        <v>35</v>
      </c>
      <c r="Y142" s="43" t="s">
        <v>35</v>
      </c>
      <c r="Z142" s="43" t="s">
        <v>35</v>
      </c>
      <c r="AA142" s="43">
        <v>93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52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3902</v>
      </c>
      <c r="C143" s="43" t="s">
        <v>35</v>
      </c>
      <c r="D143" s="43">
        <v>496</v>
      </c>
      <c r="E143" s="43">
        <v>643</v>
      </c>
      <c r="F143" s="43">
        <v>449</v>
      </c>
      <c r="G143" s="43">
        <v>456</v>
      </c>
      <c r="H143" s="43">
        <v>303</v>
      </c>
      <c r="I143" s="43">
        <v>337</v>
      </c>
      <c r="J143" s="43">
        <v>372</v>
      </c>
      <c r="K143" s="72">
        <v>382</v>
      </c>
      <c r="L143" s="43">
        <v>366</v>
      </c>
      <c r="M143" s="43">
        <v>98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181</v>
      </c>
      <c r="V143" s="43" t="s">
        <v>35</v>
      </c>
      <c r="W143" s="43">
        <v>30</v>
      </c>
      <c r="X143" s="43">
        <v>40</v>
      </c>
      <c r="Y143" s="43">
        <v>25</v>
      </c>
      <c r="Z143" s="43">
        <v>24</v>
      </c>
      <c r="AA143" s="43">
        <v>7</v>
      </c>
      <c r="AB143" s="43">
        <v>10</v>
      </c>
      <c r="AC143" s="43">
        <v>16</v>
      </c>
      <c r="AD143" s="72">
        <v>14</v>
      </c>
      <c r="AE143" s="43">
        <v>12</v>
      </c>
      <c r="AF143" s="43">
        <v>3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372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187</v>
      </c>
      <c r="Q144" s="43">
        <v>125</v>
      </c>
      <c r="R144" s="43">
        <v>60</v>
      </c>
      <c r="T144" s="43" t="s">
        <v>93</v>
      </c>
      <c r="U144" s="43">
        <v>27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14</v>
      </c>
      <c r="AJ144" s="43">
        <v>11</v>
      </c>
      <c r="AK144" s="43">
        <v>2</v>
      </c>
      <c r="AU144" s="49"/>
    </row>
    <row r="145" spans="1:47">
      <c r="A145" s="43" t="s">
        <v>94</v>
      </c>
      <c r="B145" s="43">
        <v>273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136</v>
      </c>
      <c r="Q145" s="43">
        <v>77</v>
      </c>
      <c r="R145" s="43">
        <v>60</v>
      </c>
      <c r="S145" s="44"/>
      <c r="T145" s="43" t="s">
        <v>94</v>
      </c>
      <c r="U145" s="43">
        <v>18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8</v>
      </c>
      <c r="AJ145" s="43">
        <v>6</v>
      </c>
      <c r="AK145" s="43">
        <v>4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13CF085D5BD2984D7CA0952D3316C83D254D4270.zip"/>
    <hyperlink ref="T1" r:id="rId2" display="https://www1.nls.niedersachsen.de/Statistik/pool/K300151A/K300151A_000016CE1821FE29B5215E4BD64D2D6F89EFE500DC1A65DB390C.zip"/>
  </hyperlink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V158"/>
  <sheetViews>
    <sheetView workbookViewId="0"/>
  </sheetViews>
  <sheetFormatPr baseColWidth="10" defaultRowHeight="15"/>
  <sheetData>
    <row r="1" spans="1:48">
      <c r="A1" s="53" t="s">
        <v>54</v>
      </c>
      <c r="U1" s="53" t="s">
        <v>54</v>
      </c>
    </row>
    <row r="3" spans="1:48">
      <c r="A3" s="54" t="s">
        <v>39</v>
      </c>
      <c r="U3" s="54" t="s">
        <v>39</v>
      </c>
    </row>
    <row r="4" spans="1:48">
      <c r="A4" s="54" t="s">
        <v>55</v>
      </c>
      <c r="U4" s="54" t="s">
        <v>55</v>
      </c>
    </row>
    <row r="6" spans="1:48">
      <c r="A6" s="39" t="s">
        <v>56</v>
      </c>
      <c r="U6" s="39" t="s">
        <v>56</v>
      </c>
    </row>
    <row r="8" spans="1:48">
      <c r="A8" t="s">
        <v>42</v>
      </c>
      <c r="U8" t="s">
        <v>42</v>
      </c>
    </row>
    <row r="9" spans="1:48">
      <c r="A9" t="s">
        <v>57</v>
      </c>
      <c r="U9" t="s">
        <v>57</v>
      </c>
    </row>
    <row r="10" spans="1:48">
      <c r="A10" t="s">
        <v>43</v>
      </c>
      <c r="U10" t="s">
        <v>43</v>
      </c>
    </row>
    <row r="12" spans="1:48">
      <c r="A12" t="s">
        <v>58</v>
      </c>
      <c r="U12" t="s">
        <v>58</v>
      </c>
    </row>
    <row r="13" spans="1:48">
      <c r="A13" t="s">
        <v>59</v>
      </c>
      <c r="U13" t="s">
        <v>108</v>
      </c>
    </row>
    <row r="14" spans="1:48">
      <c r="A14" t="s">
        <v>105</v>
      </c>
      <c r="U14" t="s">
        <v>105</v>
      </c>
    </row>
    <row r="16" spans="1:48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6"/>
      <c r="U16" s="45" t="s">
        <v>34</v>
      </c>
      <c r="V16" s="56" t="s">
        <v>109</v>
      </c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8"/>
      <c r="AM16" s="46"/>
      <c r="AN16" s="46"/>
      <c r="AO16" s="46"/>
      <c r="AP16" s="46"/>
      <c r="AQ16" s="46"/>
      <c r="AR16" s="46"/>
      <c r="AS16" s="46"/>
      <c r="AT16" s="46"/>
      <c r="AU16" s="46"/>
      <c r="AV16" s="40"/>
    </row>
    <row r="17" spans="1:48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U17" s="42" t="s">
        <v>44</v>
      </c>
      <c r="V17" s="59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1"/>
      <c r="AV17" s="49"/>
    </row>
    <row r="18" spans="1:48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U18" s="42" t="s">
        <v>45</v>
      </c>
      <c r="V18" s="62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4"/>
      <c r="AV18" s="49"/>
    </row>
    <row r="19" spans="1:48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U19" s="42" t="s">
        <v>61</v>
      </c>
      <c r="V19" s="55"/>
      <c r="W19" s="56" t="s">
        <v>66</v>
      </c>
      <c r="X19" s="57"/>
      <c r="Y19" s="57"/>
      <c r="Z19" s="57"/>
      <c r="AA19" s="57"/>
      <c r="AB19" s="57"/>
      <c r="AC19" s="57"/>
      <c r="AD19" s="57"/>
      <c r="AE19" s="57"/>
      <c r="AF19" s="57"/>
      <c r="AG19" s="58"/>
      <c r="AH19" s="45" t="s">
        <v>68</v>
      </c>
      <c r="AI19" s="56" t="s">
        <v>72</v>
      </c>
      <c r="AJ19" s="57"/>
      <c r="AK19" s="57"/>
      <c r="AL19" s="58"/>
      <c r="AV19" s="49"/>
    </row>
    <row r="20" spans="1:48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U20" s="42" t="s">
        <v>46</v>
      </c>
      <c r="V20" s="42" t="s">
        <v>64</v>
      </c>
      <c r="W20" s="59" t="s">
        <v>67</v>
      </c>
      <c r="X20" s="60"/>
      <c r="Y20" s="60"/>
      <c r="Z20" s="60"/>
      <c r="AA20" s="60"/>
      <c r="AB20" s="60"/>
      <c r="AC20" s="60"/>
      <c r="AD20" s="60"/>
      <c r="AE20" s="60"/>
      <c r="AF20" s="60"/>
      <c r="AG20" s="61"/>
      <c r="AH20" s="42" t="s">
        <v>69</v>
      </c>
      <c r="AI20" s="59" t="s">
        <v>67</v>
      </c>
      <c r="AJ20" s="60"/>
      <c r="AK20" s="60"/>
      <c r="AL20" s="61"/>
      <c r="AV20" s="49"/>
    </row>
    <row r="21" spans="1:48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U21" s="42" t="s">
        <v>62</v>
      </c>
      <c r="V21" s="42" t="s">
        <v>65</v>
      </c>
      <c r="W21" s="62"/>
      <c r="X21" s="63"/>
      <c r="Y21" s="63"/>
      <c r="Z21" s="63"/>
      <c r="AA21" s="63"/>
      <c r="AB21" s="63"/>
      <c r="AC21" s="63"/>
      <c r="AD21" s="63"/>
      <c r="AE21" s="63"/>
      <c r="AF21" s="63"/>
      <c r="AG21" s="64"/>
      <c r="AH21" s="42" t="s">
        <v>70</v>
      </c>
      <c r="AI21" s="62"/>
      <c r="AJ21" s="63"/>
      <c r="AK21" s="63"/>
      <c r="AL21" s="64"/>
      <c r="AV21" s="49"/>
    </row>
    <row r="22" spans="1:48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U22" s="42"/>
      <c r="V22" s="42"/>
      <c r="W22" s="65">
        <v>0</v>
      </c>
      <c r="X22" s="65">
        <v>1</v>
      </c>
      <c r="Y22" s="65">
        <v>2</v>
      </c>
      <c r="Z22" s="65">
        <v>3</v>
      </c>
      <c r="AA22" s="65">
        <v>4</v>
      </c>
      <c r="AB22" s="65">
        <v>5</v>
      </c>
      <c r="AC22" s="65">
        <v>6</v>
      </c>
      <c r="AD22" s="65">
        <v>7</v>
      </c>
      <c r="AE22" s="67">
        <v>8</v>
      </c>
      <c r="AF22" s="65">
        <v>9</v>
      </c>
      <c r="AG22" s="65">
        <v>10</v>
      </c>
      <c r="AH22" s="42" t="s">
        <v>71</v>
      </c>
      <c r="AI22" s="45" t="s">
        <v>73</v>
      </c>
      <c r="AJ22" s="65">
        <v>11</v>
      </c>
      <c r="AK22" s="65">
        <v>12</v>
      </c>
      <c r="AL22" s="65">
        <v>13</v>
      </c>
      <c r="AV22" s="49"/>
    </row>
    <row r="23" spans="1:48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U23" s="42"/>
      <c r="V23" s="48"/>
      <c r="W23" s="66"/>
      <c r="X23" s="66"/>
      <c r="Y23" s="66"/>
      <c r="Z23" s="66"/>
      <c r="AA23" s="66"/>
      <c r="AB23" s="66"/>
      <c r="AC23" s="66"/>
      <c r="AD23" s="66"/>
      <c r="AE23" s="68"/>
      <c r="AF23" s="66"/>
      <c r="AG23" s="66"/>
      <c r="AH23" s="48"/>
      <c r="AI23" s="48" t="s">
        <v>74</v>
      </c>
      <c r="AJ23" s="66"/>
      <c r="AK23" s="66"/>
      <c r="AL23" s="66"/>
      <c r="AV23" s="49"/>
    </row>
    <row r="24" spans="1:48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U24" s="48"/>
      <c r="V24" s="47">
        <v>1</v>
      </c>
      <c r="W24" s="47">
        <v>2</v>
      </c>
      <c r="X24" s="47">
        <v>3</v>
      </c>
      <c r="Y24" s="47">
        <v>4</v>
      </c>
      <c r="Z24" s="47">
        <v>5</v>
      </c>
      <c r="AA24" s="47">
        <v>6</v>
      </c>
      <c r="AB24" s="47">
        <v>7</v>
      </c>
      <c r="AC24" s="47">
        <v>8</v>
      </c>
      <c r="AD24" s="47">
        <v>9</v>
      </c>
      <c r="AE24" s="69">
        <v>10</v>
      </c>
      <c r="AF24" s="47">
        <v>11</v>
      </c>
      <c r="AG24" s="47">
        <v>12</v>
      </c>
      <c r="AH24" s="47">
        <v>13</v>
      </c>
      <c r="AI24" s="47">
        <v>14</v>
      </c>
      <c r="AJ24" s="47">
        <v>15</v>
      </c>
      <c r="AK24" s="47">
        <v>16</v>
      </c>
      <c r="AL24" s="47">
        <v>17</v>
      </c>
      <c r="AV24" s="49"/>
    </row>
    <row r="25" spans="1:48">
      <c r="A25" s="38"/>
      <c r="K25" s="70"/>
      <c r="U25" s="38"/>
      <c r="AE25" s="70"/>
      <c r="AV25" s="49"/>
    </row>
    <row r="26" spans="1:48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51"/>
      <c r="U26" s="41" t="s">
        <v>47</v>
      </c>
      <c r="V26" s="51"/>
      <c r="W26" s="51"/>
      <c r="X26" s="51"/>
      <c r="Y26" s="51"/>
      <c r="Z26" s="51"/>
      <c r="AA26" s="51"/>
      <c r="AB26" s="51"/>
      <c r="AC26" s="51"/>
      <c r="AD26" s="51"/>
      <c r="AE26" s="7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2"/>
    </row>
    <row r="27" spans="1:48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51"/>
      <c r="U27" s="41"/>
      <c r="V27" s="51"/>
      <c r="W27" s="51"/>
      <c r="X27" s="51"/>
      <c r="Y27" s="51"/>
      <c r="Z27" s="51"/>
      <c r="AA27" s="51"/>
      <c r="AB27" s="51"/>
      <c r="AC27" s="51"/>
      <c r="AD27" s="51"/>
      <c r="AE27" s="7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2"/>
    </row>
    <row r="28" spans="1:48" ht="30">
      <c r="A28" s="43" t="s">
        <v>40</v>
      </c>
      <c r="B28" s="43">
        <v>847619</v>
      </c>
      <c r="C28" s="43">
        <v>2756</v>
      </c>
      <c r="D28" s="43">
        <v>73242</v>
      </c>
      <c r="E28" s="43">
        <v>73354</v>
      </c>
      <c r="F28" s="43">
        <v>72657</v>
      </c>
      <c r="G28" s="43">
        <v>71792</v>
      </c>
      <c r="H28" s="43">
        <v>78628</v>
      </c>
      <c r="I28" s="43">
        <v>77303</v>
      </c>
      <c r="J28" s="43">
        <v>78461</v>
      </c>
      <c r="K28" s="72">
        <v>78665</v>
      </c>
      <c r="L28" s="43">
        <v>80994</v>
      </c>
      <c r="M28" s="43">
        <v>50444</v>
      </c>
      <c r="N28" s="43">
        <v>9206</v>
      </c>
      <c r="O28" s="43">
        <v>29995</v>
      </c>
      <c r="P28" s="43">
        <v>35225</v>
      </c>
      <c r="Q28" s="43">
        <v>31430</v>
      </c>
      <c r="R28" s="43">
        <v>3467</v>
      </c>
      <c r="U28" s="43" t="s">
        <v>40</v>
      </c>
      <c r="V28" s="43">
        <v>72976</v>
      </c>
      <c r="W28" s="43">
        <v>714</v>
      </c>
      <c r="X28" s="43">
        <v>8463</v>
      </c>
      <c r="Y28" s="43">
        <v>7759</v>
      </c>
      <c r="Z28" s="43">
        <v>7031</v>
      </c>
      <c r="AA28" s="43">
        <v>6880</v>
      </c>
      <c r="AB28" s="43">
        <v>5367</v>
      </c>
      <c r="AC28" s="43">
        <v>4865</v>
      </c>
      <c r="AD28" s="43">
        <v>4994</v>
      </c>
      <c r="AE28" s="72">
        <v>5203</v>
      </c>
      <c r="AF28" s="43">
        <v>5707</v>
      </c>
      <c r="AG28" s="43">
        <v>3864</v>
      </c>
      <c r="AH28" s="43">
        <v>8336</v>
      </c>
      <c r="AI28" s="43">
        <v>1307</v>
      </c>
      <c r="AJ28" s="43">
        <v>1320</v>
      </c>
      <c r="AK28" s="43">
        <v>1070</v>
      </c>
      <c r="AL28" s="43">
        <v>96</v>
      </c>
      <c r="AV28" s="49"/>
    </row>
    <row r="29" spans="1:48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51"/>
      <c r="U29" s="41"/>
      <c r="V29" s="51"/>
      <c r="W29" s="51"/>
      <c r="X29" s="51"/>
      <c r="Y29" s="51"/>
      <c r="Z29" s="51"/>
      <c r="AA29" s="51"/>
      <c r="AB29" s="51"/>
      <c r="AC29" s="51"/>
      <c r="AD29" s="51"/>
      <c r="AE29" s="7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2"/>
    </row>
    <row r="30" spans="1:48" ht="45">
      <c r="A30" s="43" t="s">
        <v>75</v>
      </c>
      <c r="B30" s="43">
        <v>2674</v>
      </c>
      <c r="C30" s="43">
        <v>2674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U30" s="43" t="s">
        <v>75</v>
      </c>
      <c r="V30" s="43">
        <v>699</v>
      </c>
      <c r="W30" s="43">
        <v>699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43" t="s">
        <v>35</v>
      </c>
      <c r="AE30" s="72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L30" s="43" t="s">
        <v>35</v>
      </c>
      <c r="AV30" s="49"/>
    </row>
    <row r="31" spans="1:48" ht="30">
      <c r="A31" s="43" t="s">
        <v>76</v>
      </c>
      <c r="B31" s="43">
        <v>282483</v>
      </c>
      <c r="C31" s="43" t="s">
        <v>35</v>
      </c>
      <c r="D31" s="43">
        <v>69079</v>
      </c>
      <c r="E31" s="43">
        <v>70981</v>
      </c>
      <c r="F31" s="43">
        <v>70577</v>
      </c>
      <c r="G31" s="43">
        <v>69846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2000</v>
      </c>
      <c r="O31" s="43" t="s">
        <v>35</v>
      </c>
      <c r="P31" s="43" t="s">
        <v>35</v>
      </c>
      <c r="Q31" s="43" t="s">
        <v>35</v>
      </c>
      <c r="R31" s="43" t="s">
        <v>35</v>
      </c>
      <c r="U31" s="43" t="s">
        <v>76</v>
      </c>
      <c r="V31" s="43">
        <v>31190</v>
      </c>
      <c r="W31" s="43" t="s">
        <v>35</v>
      </c>
      <c r="X31" s="43">
        <v>8063</v>
      </c>
      <c r="Y31" s="43">
        <v>7625</v>
      </c>
      <c r="Z31" s="43">
        <v>6914</v>
      </c>
      <c r="AA31" s="43">
        <v>6781</v>
      </c>
      <c r="AB31" s="43" t="s">
        <v>35</v>
      </c>
      <c r="AC31" s="43" t="s">
        <v>35</v>
      </c>
      <c r="AD31" s="43" t="s">
        <v>35</v>
      </c>
      <c r="AE31" s="72" t="s">
        <v>35</v>
      </c>
      <c r="AF31" s="43" t="s">
        <v>35</v>
      </c>
      <c r="AG31" s="43" t="s">
        <v>35</v>
      </c>
      <c r="AH31" s="43">
        <v>1807</v>
      </c>
      <c r="AI31" s="43" t="s">
        <v>35</v>
      </c>
      <c r="AJ31" s="43" t="s">
        <v>35</v>
      </c>
      <c r="AK31" s="43" t="s">
        <v>35</v>
      </c>
      <c r="AL31" s="43" t="s">
        <v>35</v>
      </c>
      <c r="AV31" s="49"/>
    </row>
    <row r="32" spans="1:48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U32" s="43" t="s">
        <v>77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43" t="s">
        <v>35</v>
      </c>
      <c r="AE32" s="72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L32" s="43" t="s">
        <v>35</v>
      </c>
      <c r="AV32" s="49"/>
    </row>
    <row r="33" spans="1:48" ht="30">
      <c r="A33" s="43" t="s">
        <v>78</v>
      </c>
      <c r="B33" s="43">
        <v>27167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2091</v>
      </c>
      <c r="I33" s="43">
        <v>2865</v>
      </c>
      <c r="J33" s="43">
        <v>3729</v>
      </c>
      <c r="K33" s="72">
        <v>4983</v>
      </c>
      <c r="L33" s="43">
        <v>6149</v>
      </c>
      <c r="M33" s="43">
        <v>5994</v>
      </c>
      <c r="N33" s="43">
        <v>1356</v>
      </c>
      <c r="O33" s="43" t="s">
        <v>35</v>
      </c>
      <c r="P33" s="43" t="s">
        <v>35</v>
      </c>
      <c r="Q33" s="43" t="s">
        <v>35</v>
      </c>
      <c r="R33" s="43" t="s">
        <v>35</v>
      </c>
      <c r="U33" s="43" t="s">
        <v>78</v>
      </c>
      <c r="V33" s="43">
        <v>5960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 t="s">
        <v>35</v>
      </c>
      <c r="AB33" s="43">
        <v>388</v>
      </c>
      <c r="AC33" s="43">
        <v>543</v>
      </c>
      <c r="AD33" s="43">
        <v>721</v>
      </c>
      <c r="AE33" s="72">
        <v>958</v>
      </c>
      <c r="AF33" s="43">
        <v>1189</v>
      </c>
      <c r="AG33" s="43">
        <v>894</v>
      </c>
      <c r="AH33" s="43">
        <v>1267</v>
      </c>
      <c r="AI33" s="43" t="s">
        <v>35</v>
      </c>
      <c r="AJ33" s="43" t="s">
        <v>35</v>
      </c>
      <c r="AK33" s="43" t="s">
        <v>35</v>
      </c>
      <c r="AL33" s="43" t="s">
        <v>35</v>
      </c>
      <c r="AV33" s="49"/>
    </row>
    <row r="34" spans="1:48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U34" s="43" t="s">
        <v>79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43" t="s">
        <v>35</v>
      </c>
      <c r="AE34" s="72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L34" s="43" t="s">
        <v>35</v>
      </c>
      <c r="AV34" s="49"/>
    </row>
    <row r="35" spans="1:48" ht="30">
      <c r="A35" s="43" t="s">
        <v>80</v>
      </c>
      <c r="B35" s="43">
        <v>68113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8086</v>
      </c>
      <c r="I35" s="43">
        <v>8383</v>
      </c>
      <c r="J35" s="43">
        <v>9413</v>
      </c>
      <c r="K35" s="72">
        <v>11048</v>
      </c>
      <c r="L35" s="43">
        <v>13195</v>
      </c>
      <c r="M35" s="43">
        <v>17427</v>
      </c>
      <c r="N35" s="43">
        <v>561</v>
      </c>
      <c r="O35" s="43" t="s">
        <v>35</v>
      </c>
      <c r="P35" s="43" t="s">
        <v>35</v>
      </c>
      <c r="Q35" s="43" t="s">
        <v>35</v>
      </c>
      <c r="R35" s="43" t="s">
        <v>35</v>
      </c>
      <c r="U35" s="43" t="s">
        <v>80</v>
      </c>
      <c r="V35" s="43">
        <v>6199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 t="s">
        <v>35</v>
      </c>
      <c r="AB35" s="43">
        <v>742</v>
      </c>
      <c r="AC35" s="43">
        <v>783</v>
      </c>
      <c r="AD35" s="43">
        <v>809</v>
      </c>
      <c r="AE35" s="72">
        <v>970</v>
      </c>
      <c r="AF35" s="43">
        <v>1202</v>
      </c>
      <c r="AG35" s="43">
        <v>1200</v>
      </c>
      <c r="AH35" s="43">
        <v>493</v>
      </c>
      <c r="AI35" s="43" t="s">
        <v>35</v>
      </c>
      <c r="AJ35" s="43" t="s">
        <v>35</v>
      </c>
      <c r="AK35" s="43" t="s">
        <v>35</v>
      </c>
      <c r="AL35" s="43" t="s">
        <v>35</v>
      </c>
      <c r="AV35" s="49"/>
    </row>
    <row r="36" spans="1:48" ht="30">
      <c r="A36" s="43" t="s">
        <v>81</v>
      </c>
      <c r="B36" s="43">
        <v>93705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15715</v>
      </c>
      <c r="I36" s="43">
        <v>16794</v>
      </c>
      <c r="J36" s="43">
        <v>17220</v>
      </c>
      <c r="K36" s="72">
        <v>16511</v>
      </c>
      <c r="L36" s="43">
        <v>15802</v>
      </c>
      <c r="M36" s="43">
        <v>9533</v>
      </c>
      <c r="N36" s="43">
        <v>2130</v>
      </c>
      <c r="O36" s="43" t="s">
        <v>35</v>
      </c>
      <c r="P36" s="43" t="s">
        <v>35</v>
      </c>
      <c r="Q36" s="43" t="s">
        <v>35</v>
      </c>
      <c r="R36" s="43" t="s">
        <v>35</v>
      </c>
      <c r="U36" s="43" t="s">
        <v>81</v>
      </c>
      <c r="V36" s="43">
        <v>10140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 t="s">
        <v>35</v>
      </c>
      <c r="AB36" s="43">
        <v>1628</v>
      </c>
      <c r="AC36" s="43">
        <v>1563</v>
      </c>
      <c r="AD36" s="43">
        <v>1584</v>
      </c>
      <c r="AE36" s="72">
        <v>1415</v>
      </c>
      <c r="AF36" s="43">
        <v>1372</v>
      </c>
      <c r="AG36" s="43">
        <v>685</v>
      </c>
      <c r="AH36" s="43">
        <v>1893</v>
      </c>
      <c r="AI36" s="43" t="s">
        <v>35</v>
      </c>
      <c r="AJ36" s="43" t="s">
        <v>35</v>
      </c>
      <c r="AK36" s="43" t="s">
        <v>35</v>
      </c>
      <c r="AL36" s="43" t="s">
        <v>35</v>
      </c>
      <c r="AV36" s="49"/>
    </row>
    <row r="37" spans="1:48" ht="30">
      <c r="A37" s="43" t="s">
        <v>82</v>
      </c>
      <c r="B37" s="43">
        <v>221063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29944</v>
      </c>
      <c r="I37" s="43">
        <v>29476</v>
      </c>
      <c r="J37" s="43">
        <v>28269</v>
      </c>
      <c r="K37" s="72">
        <v>26726</v>
      </c>
      <c r="L37" s="43">
        <v>26200</v>
      </c>
      <c r="M37" s="43" t="s">
        <v>35</v>
      </c>
      <c r="N37" s="43">
        <v>1475</v>
      </c>
      <c r="O37" s="43">
        <v>27705</v>
      </c>
      <c r="P37" s="43">
        <v>26799</v>
      </c>
      <c r="Q37" s="43">
        <v>24469</v>
      </c>
      <c r="R37" s="43" t="s">
        <v>35</v>
      </c>
      <c r="U37" s="43" t="s">
        <v>82</v>
      </c>
      <c r="V37" s="43">
        <v>9071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 t="s">
        <v>35</v>
      </c>
      <c r="AB37" s="43">
        <v>1162</v>
      </c>
      <c r="AC37" s="43">
        <v>926</v>
      </c>
      <c r="AD37" s="43">
        <v>883</v>
      </c>
      <c r="AE37" s="72">
        <v>829</v>
      </c>
      <c r="AF37" s="43">
        <v>859</v>
      </c>
      <c r="AG37" s="43" t="s">
        <v>35</v>
      </c>
      <c r="AH37" s="43">
        <v>1357</v>
      </c>
      <c r="AI37" s="43">
        <v>1250</v>
      </c>
      <c r="AJ37" s="43">
        <v>994</v>
      </c>
      <c r="AK37" s="43">
        <v>811</v>
      </c>
      <c r="AL37" s="43" t="s">
        <v>35</v>
      </c>
      <c r="AV37" s="49"/>
    </row>
    <row r="38" spans="1:48" ht="45">
      <c r="A38" s="43" t="s">
        <v>83</v>
      </c>
      <c r="B38" s="43">
        <v>83017</v>
      </c>
      <c r="C38" s="43">
        <v>25</v>
      </c>
      <c r="D38" s="43">
        <v>768</v>
      </c>
      <c r="E38" s="43">
        <v>840</v>
      </c>
      <c r="F38" s="43">
        <v>841</v>
      </c>
      <c r="G38" s="43">
        <v>849</v>
      </c>
      <c r="H38" s="43">
        <v>12191</v>
      </c>
      <c r="I38" s="43">
        <v>12020</v>
      </c>
      <c r="J38" s="43">
        <v>11962</v>
      </c>
      <c r="K38" s="72">
        <v>10689</v>
      </c>
      <c r="L38" s="43">
        <v>10521</v>
      </c>
      <c r="M38" s="43">
        <v>9512</v>
      </c>
      <c r="N38" s="43">
        <v>1070</v>
      </c>
      <c r="O38" s="43" t="s">
        <v>35</v>
      </c>
      <c r="P38" s="43">
        <v>5131</v>
      </c>
      <c r="Q38" s="43">
        <v>3946</v>
      </c>
      <c r="R38" s="43">
        <v>2652</v>
      </c>
      <c r="U38" s="43" t="s">
        <v>83</v>
      </c>
      <c r="V38" s="43">
        <v>5196</v>
      </c>
      <c r="W38" s="43">
        <v>13</v>
      </c>
      <c r="X38" s="43">
        <v>57</v>
      </c>
      <c r="Y38" s="43">
        <v>51</v>
      </c>
      <c r="Z38" s="43">
        <v>49</v>
      </c>
      <c r="AA38" s="43">
        <v>36</v>
      </c>
      <c r="AB38" s="43">
        <v>730</v>
      </c>
      <c r="AC38" s="43">
        <v>632</v>
      </c>
      <c r="AD38" s="43">
        <v>624</v>
      </c>
      <c r="AE38" s="72">
        <v>547</v>
      </c>
      <c r="AF38" s="43">
        <v>550</v>
      </c>
      <c r="AG38" s="43">
        <v>485</v>
      </c>
      <c r="AH38" s="43">
        <v>967</v>
      </c>
      <c r="AI38" s="43" t="s">
        <v>35</v>
      </c>
      <c r="AJ38" s="43">
        <v>213</v>
      </c>
      <c r="AK38" s="43">
        <v>170</v>
      </c>
      <c r="AL38" s="43">
        <v>72</v>
      </c>
      <c r="AV38" s="49"/>
    </row>
    <row r="39" spans="1:48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U39" s="43" t="s">
        <v>84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43" t="s">
        <v>35</v>
      </c>
      <c r="AE39" s="72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L39" s="43" t="s">
        <v>35</v>
      </c>
      <c r="AV39" s="49"/>
    </row>
    <row r="40" spans="1:48" ht="45">
      <c r="A40" s="43" t="s">
        <v>85</v>
      </c>
      <c r="B40" s="43">
        <v>5839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663</v>
      </c>
      <c r="I40" s="43">
        <v>847</v>
      </c>
      <c r="J40" s="43">
        <v>851</v>
      </c>
      <c r="K40" s="72">
        <v>1069</v>
      </c>
      <c r="L40" s="43">
        <v>1093</v>
      </c>
      <c r="M40" s="43">
        <v>833</v>
      </c>
      <c r="N40" s="43">
        <v>483</v>
      </c>
      <c r="O40" s="43" t="s">
        <v>35</v>
      </c>
      <c r="P40" s="43" t="s">
        <v>35</v>
      </c>
      <c r="Q40" s="43" t="s">
        <v>35</v>
      </c>
      <c r="R40" s="43" t="s">
        <v>35</v>
      </c>
      <c r="U40" s="43" t="s">
        <v>85</v>
      </c>
      <c r="V40" s="43">
        <v>981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 t="s">
        <v>35</v>
      </c>
      <c r="AB40" s="43">
        <v>75</v>
      </c>
      <c r="AC40" s="43">
        <v>86</v>
      </c>
      <c r="AD40" s="43">
        <v>70</v>
      </c>
      <c r="AE40" s="72">
        <v>108</v>
      </c>
      <c r="AF40" s="43">
        <v>109</v>
      </c>
      <c r="AG40" s="43">
        <v>78</v>
      </c>
      <c r="AH40" s="43">
        <v>455</v>
      </c>
      <c r="AI40" s="43" t="s">
        <v>35</v>
      </c>
      <c r="AJ40" s="43" t="s">
        <v>35</v>
      </c>
      <c r="AK40" s="43" t="s">
        <v>35</v>
      </c>
      <c r="AL40" s="43" t="s">
        <v>35</v>
      </c>
      <c r="AV40" s="49"/>
    </row>
    <row r="41" spans="1:48" ht="45">
      <c r="A41" s="43" t="s">
        <v>86</v>
      </c>
      <c r="B41" s="43">
        <v>15756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2395</v>
      </c>
      <c r="I41" s="43">
        <v>2395</v>
      </c>
      <c r="J41" s="43">
        <v>2515</v>
      </c>
      <c r="K41" s="72">
        <v>2689</v>
      </c>
      <c r="L41" s="43">
        <v>2788</v>
      </c>
      <c r="M41" s="43">
        <v>2909</v>
      </c>
      <c r="N41" s="43">
        <v>65</v>
      </c>
      <c r="O41" s="43" t="s">
        <v>35</v>
      </c>
      <c r="P41" s="43" t="s">
        <v>35</v>
      </c>
      <c r="Q41" s="43" t="s">
        <v>35</v>
      </c>
      <c r="R41" s="43" t="s">
        <v>35</v>
      </c>
      <c r="U41" s="43" t="s">
        <v>86</v>
      </c>
      <c r="V41" s="43">
        <v>795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 t="s">
        <v>35</v>
      </c>
      <c r="AB41" s="43">
        <v>126</v>
      </c>
      <c r="AC41" s="43">
        <v>113</v>
      </c>
      <c r="AD41" s="43">
        <v>104</v>
      </c>
      <c r="AE41" s="72">
        <v>137</v>
      </c>
      <c r="AF41" s="43">
        <v>130</v>
      </c>
      <c r="AG41" s="43">
        <v>136</v>
      </c>
      <c r="AH41" s="43">
        <v>49</v>
      </c>
      <c r="AI41" s="43" t="s">
        <v>35</v>
      </c>
      <c r="AJ41" s="43" t="s">
        <v>35</v>
      </c>
      <c r="AK41" s="43" t="s">
        <v>35</v>
      </c>
      <c r="AL41" s="43" t="s">
        <v>35</v>
      </c>
      <c r="AV41" s="49"/>
    </row>
    <row r="42" spans="1:48" ht="60">
      <c r="A42" s="43" t="s">
        <v>87</v>
      </c>
      <c r="B42" s="43">
        <v>16382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1946</v>
      </c>
      <c r="I42" s="43">
        <v>2112</v>
      </c>
      <c r="J42" s="43">
        <v>2095</v>
      </c>
      <c r="K42" s="72">
        <v>1972</v>
      </c>
      <c r="L42" s="43">
        <v>1982</v>
      </c>
      <c r="M42" s="43" t="s">
        <v>35</v>
      </c>
      <c r="N42" s="43">
        <v>54</v>
      </c>
      <c r="O42" s="43">
        <v>2290</v>
      </c>
      <c r="P42" s="43">
        <v>1982</v>
      </c>
      <c r="Q42" s="43">
        <v>1949</v>
      </c>
      <c r="R42" s="43" t="s">
        <v>35</v>
      </c>
      <c r="U42" s="43" t="s">
        <v>87</v>
      </c>
      <c r="V42" s="43">
        <v>476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 t="s">
        <v>35</v>
      </c>
      <c r="AB42" s="43">
        <v>59</v>
      </c>
      <c r="AC42" s="43">
        <v>57</v>
      </c>
      <c r="AD42" s="43">
        <v>48</v>
      </c>
      <c r="AE42" s="72">
        <v>41</v>
      </c>
      <c r="AF42" s="43">
        <v>76</v>
      </c>
      <c r="AG42" s="43" t="s">
        <v>35</v>
      </c>
      <c r="AH42" s="43">
        <v>36</v>
      </c>
      <c r="AI42" s="43">
        <v>57</v>
      </c>
      <c r="AJ42" s="43">
        <v>40</v>
      </c>
      <c r="AK42" s="43">
        <v>62</v>
      </c>
      <c r="AL42" s="43" t="s">
        <v>35</v>
      </c>
      <c r="AV42" s="49"/>
    </row>
    <row r="43" spans="1:48" ht="75">
      <c r="A43" s="43" t="s">
        <v>88</v>
      </c>
      <c r="B43" s="43">
        <v>4326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368</v>
      </c>
      <c r="I43" s="43">
        <v>400</v>
      </c>
      <c r="J43" s="43">
        <v>457</v>
      </c>
      <c r="K43" s="72">
        <v>550</v>
      </c>
      <c r="L43" s="43">
        <v>560</v>
      </c>
      <c r="M43" s="43">
        <v>505</v>
      </c>
      <c r="N43" s="43">
        <v>12</v>
      </c>
      <c r="O43" s="43" t="s">
        <v>35</v>
      </c>
      <c r="P43" s="43">
        <v>513</v>
      </c>
      <c r="Q43" s="43">
        <v>529</v>
      </c>
      <c r="R43" s="43">
        <v>432</v>
      </c>
      <c r="U43" s="43" t="s">
        <v>88</v>
      </c>
      <c r="V43" s="43">
        <v>137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 t="s">
        <v>35</v>
      </c>
      <c r="AB43" s="43">
        <v>19</v>
      </c>
      <c r="AC43" s="43">
        <v>8</v>
      </c>
      <c r="AD43" s="43">
        <v>10</v>
      </c>
      <c r="AE43" s="72">
        <v>13</v>
      </c>
      <c r="AF43" s="43">
        <v>21</v>
      </c>
      <c r="AG43" s="43">
        <v>21</v>
      </c>
      <c r="AH43" s="43">
        <v>12</v>
      </c>
      <c r="AI43" s="43" t="s">
        <v>35</v>
      </c>
      <c r="AJ43" s="43">
        <v>16</v>
      </c>
      <c r="AK43" s="43">
        <v>7</v>
      </c>
      <c r="AL43" s="43">
        <v>10</v>
      </c>
      <c r="AV43" s="49"/>
    </row>
    <row r="44" spans="1:48" ht="45">
      <c r="A44" s="43" t="s">
        <v>89</v>
      </c>
      <c r="B44" s="43">
        <v>57</v>
      </c>
      <c r="C44" s="43">
        <v>57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U44" s="43" t="s">
        <v>89</v>
      </c>
      <c r="V44" s="43">
        <v>2</v>
      </c>
      <c r="W44" s="43">
        <v>2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43" t="s">
        <v>35</v>
      </c>
      <c r="AE44" s="72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L44" s="43" t="s">
        <v>35</v>
      </c>
      <c r="AV44" s="49"/>
    </row>
    <row r="45" spans="1:48" ht="45">
      <c r="A45" s="43" t="s">
        <v>90</v>
      </c>
      <c r="B45" s="43">
        <v>7733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1140</v>
      </c>
      <c r="I45" s="43">
        <v>1141</v>
      </c>
      <c r="J45" s="43">
        <v>1083</v>
      </c>
      <c r="K45" s="72">
        <v>1500</v>
      </c>
      <c r="L45" s="43">
        <v>1799</v>
      </c>
      <c r="M45" s="43">
        <v>1070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U45" s="43" t="s">
        <v>90</v>
      </c>
      <c r="V45" s="43">
        <v>727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>
        <v>99</v>
      </c>
      <c r="AC45" s="43">
        <v>115</v>
      </c>
      <c r="AD45" s="43">
        <v>112</v>
      </c>
      <c r="AE45" s="72">
        <v>141</v>
      </c>
      <c r="AF45" s="43">
        <v>158</v>
      </c>
      <c r="AG45" s="43">
        <v>102</v>
      </c>
      <c r="AH45" s="43" t="s">
        <v>35</v>
      </c>
      <c r="AI45" s="43" t="s">
        <v>35</v>
      </c>
      <c r="AJ45" s="43" t="s">
        <v>35</v>
      </c>
      <c r="AK45" s="43" t="s">
        <v>35</v>
      </c>
      <c r="AL45" s="43" t="s">
        <v>35</v>
      </c>
      <c r="AV45" s="49"/>
    </row>
    <row r="46" spans="1:48" ht="60">
      <c r="A46" s="43" t="s">
        <v>91</v>
      </c>
      <c r="B46" s="43">
        <v>7604</v>
      </c>
      <c r="C46" s="43" t="s">
        <v>35</v>
      </c>
      <c r="D46" s="43">
        <v>2096</v>
      </c>
      <c r="E46" s="43" t="s">
        <v>35</v>
      </c>
      <c r="F46" s="43" t="s">
        <v>35</v>
      </c>
      <c r="G46" s="43" t="s">
        <v>35</v>
      </c>
      <c r="H46" s="43">
        <v>3233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2275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U46" s="43" t="s">
        <v>91</v>
      </c>
      <c r="V46" s="43">
        <v>788</v>
      </c>
      <c r="W46" s="43" t="s">
        <v>35</v>
      </c>
      <c r="X46" s="43">
        <v>244</v>
      </c>
      <c r="Y46" s="43" t="s">
        <v>35</v>
      </c>
      <c r="Z46" s="43" t="s">
        <v>35</v>
      </c>
      <c r="AA46" s="43" t="s">
        <v>35</v>
      </c>
      <c r="AB46" s="43">
        <v>306</v>
      </c>
      <c r="AC46" s="43" t="s">
        <v>35</v>
      </c>
      <c r="AD46" s="43" t="s">
        <v>35</v>
      </c>
      <c r="AE46" s="72" t="s">
        <v>35</v>
      </c>
      <c r="AF46" s="43" t="s">
        <v>35</v>
      </c>
      <c r="AG46" s="43">
        <v>238</v>
      </c>
      <c r="AH46" s="43" t="s">
        <v>35</v>
      </c>
      <c r="AI46" s="43" t="s">
        <v>35</v>
      </c>
      <c r="AJ46" s="43" t="s">
        <v>35</v>
      </c>
      <c r="AK46" s="43" t="s">
        <v>35</v>
      </c>
      <c r="AL46" s="43" t="s">
        <v>35</v>
      </c>
      <c r="AV46" s="49"/>
    </row>
    <row r="47" spans="1:48" ht="60">
      <c r="A47" s="43" t="s">
        <v>92</v>
      </c>
      <c r="B47" s="43">
        <v>9980</v>
      </c>
      <c r="C47" s="43" t="s">
        <v>35</v>
      </c>
      <c r="D47" s="43">
        <v>1299</v>
      </c>
      <c r="E47" s="43">
        <v>1533</v>
      </c>
      <c r="F47" s="43">
        <v>1239</v>
      </c>
      <c r="G47" s="43">
        <v>1097</v>
      </c>
      <c r="H47" s="43">
        <v>856</v>
      </c>
      <c r="I47" s="43">
        <v>870</v>
      </c>
      <c r="J47" s="43">
        <v>867</v>
      </c>
      <c r="K47" s="72">
        <v>928</v>
      </c>
      <c r="L47" s="43">
        <v>905</v>
      </c>
      <c r="M47" s="43">
        <v>386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U47" s="43" t="s">
        <v>92</v>
      </c>
      <c r="V47" s="43">
        <v>524</v>
      </c>
      <c r="W47" s="43" t="s">
        <v>35</v>
      </c>
      <c r="X47" s="43">
        <v>99</v>
      </c>
      <c r="Y47" s="43">
        <v>83</v>
      </c>
      <c r="Z47" s="43">
        <v>68</v>
      </c>
      <c r="AA47" s="43">
        <v>63</v>
      </c>
      <c r="AB47" s="43">
        <v>33</v>
      </c>
      <c r="AC47" s="43">
        <v>39</v>
      </c>
      <c r="AD47" s="43">
        <v>29</v>
      </c>
      <c r="AE47" s="72">
        <v>44</v>
      </c>
      <c r="AF47" s="43">
        <v>41</v>
      </c>
      <c r="AG47" s="43">
        <v>25</v>
      </c>
      <c r="AH47" s="43" t="s">
        <v>35</v>
      </c>
      <c r="AI47" s="43" t="s">
        <v>35</v>
      </c>
      <c r="AJ47" s="43" t="s">
        <v>35</v>
      </c>
      <c r="AK47" s="43" t="s">
        <v>35</v>
      </c>
      <c r="AL47" s="43" t="s">
        <v>35</v>
      </c>
      <c r="AV47" s="49"/>
    </row>
    <row r="48" spans="1:48" ht="30">
      <c r="A48" s="43" t="s">
        <v>93</v>
      </c>
      <c r="B48" s="43">
        <v>815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399</v>
      </c>
      <c r="Q48" s="43">
        <v>241</v>
      </c>
      <c r="R48" s="43">
        <v>175</v>
      </c>
      <c r="U48" s="43" t="s">
        <v>93</v>
      </c>
      <c r="V48" s="43">
        <v>53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43" t="s">
        <v>35</v>
      </c>
      <c r="AE48" s="72" t="s">
        <v>35</v>
      </c>
      <c r="AF48" s="43" t="s">
        <v>35</v>
      </c>
      <c r="AG48" s="43" t="s">
        <v>35</v>
      </c>
      <c r="AH48" s="43" t="s">
        <v>35</v>
      </c>
      <c r="AI48" s="43" t="s">
        <v>35</v>
      </c>
      <c r="AJ48" s="43">
        <v>38</v>
      </c>
      <c r="AK48" s="43">
        <v>7</v>
      </c>
      <c r="AL48" s="43">
        <v>8</v>
      </c>
      <c r="AV48" s="49"/>
    </row>
    <row r="49" spans="1:48">
      <c r="A49" s="43" t="s">
        <v>94</v>
      </c>
      <c r="B49" s="43">
        <v>905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401</v>
      </c>
      <c r="Q49" s="43">
        <v>296</v>
      </c>
      <c r="R49" s="43">
        <v>208</v>
      </c>
      <c r="U49" s="43" t="s">
        <v>94</v>
      </c>
      <c r="V49" s="43">
        <v>38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43" t="s">
        <v>35</v>
      </c>
      <c r="AE49" s="72" t="s">
        <v>35</v>
      </c>
      <c r="AF49" s="43" t="s">
        <v>35</v>
      </c>
      <c r="AG49" s="43" t="s">
        <v>35</v>
      </c>
      <c r="AH49" s="43" t="s">
        <v>35</v>
      </c>
      <c r="AI49" s="43" t="s">
        <v>35</v>
      </c>
      <c r="AJ49" s="43">
        <v>19</v>
      </c>
      <c r="AK49" s="43">
        <v>13</v>
      </c>
      <c r="AL49" s="43">
        <v>6</v>
      </c>
      <c r="AV49" s="49"/>
    </row>
    <row r="50" spans="1:48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51"/>
      <c r="U50" s="41" t="s">
        <v>48</v>
      </c>
      <c r="V50" s="51"/>
      <c r="W50" s="51"/>
      <c r="X50" s="51"/>
      <c r="Y50" s="51"/>
      <c r="Z50" s="51"/>
      <c r="AA50" s="51"/>
      <c r="AB50" s="51"/>
      <c r="AC50" s="51"/>
      <c r="AD50" s="51"/>
      <c r="AE50" s="7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2"/>
    </row>
    <row r="51" spans="1:48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51"/>
      <c r="U51" s="41"/>
      <c r="V51" s="51"/>
      <c r="W51" s="51"/>
      <c r="X51" s="51"/>
      <c r="Y51" s="51"/>
      <c r="Z51" s="51"/>
      <c r="AA51" s="51"/>
      <c r="AB51" s="51"/>
      <c r="AC51" s="51"/>
      <c r="AD51" s="51"/>
      <c r="AE51" s="7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2"/>
    </row>
    <row r="52" spans="1:48" ht="30">
      <c r="A52" s="43" t="s">
        <v>40</v>
      </c>
      <c r="B52" s="43">
        <v>160350</v>
      </c>
      <c r="C52" s="43">
        <v>522</v>
      </c>
      <c r="D52" s="43">
        <v>13655</v>
      </c>
      <c r="E52" s="43">
        <v>13443</v>
      </c>
      <c r="F52" s="43">
        <v>13730</v>
      </c>
      <c r="G52" s="43">
        <v>13416</v>
      </c>
      <c r="H52" s="43">
        <v>14782</v>
      </c>
      <c r="I52" s="43">
        <v>14331</v>
      </c>
      <c r="J52" s="43">
        <v>14491</v>
      </c>
      <c r="K52" s="72">
        <v>14631</v>
      </c>
      <c r="L52" s="43">
        <v>15068</v>
      </c>
      <c r="M52" s="43">
        <v>9433</v>
      </c>
      <c r="N52" s="43">
        <v>1627</v>
      </c>
      <c r="O52" s="43">
        <v>5918</v>
      </c>
      <c r="P52" s="43">
        <v>7611</v>
      </c>
      <c r="Q52" s="43">
        <v>6676</v>
      </c>
      <c r="R52" s="43">
        <v>1016</v>
      </c>
      <c r="U52" s="43" t="s">
        <v>40</v>
      </c>
      <c r="V52" s="43">
        <v>13552</v>
      </c>
      <c r="W52" s="43">
        <v>130</v>
      </c>
      <c r="X52" s="43">
        <v>1532</v>
      </c>
      <c r="Y52" s="43">
        <v>1375</v>
      </c>
      <c r="Z52" s="43">
        <v>1222</v>
      </c>
      <c r="AA52" s="43">
        <v>1242</v>
      </c>
      <c r="AB52" s="43">
        <v>1038</v>
      </c>
      <c r="AC52" s="43">
        <v>871</v>
      </c>
      <c r="AD52" s="43">
        <v>963</v>
      </c>
      <c r="AE52" s="72">
        <v>1032</v>
      </c>
      <c r="AF52" s="43">
        <v>1085</v>
      </c>
      <c r="AG52" s="43">
        <v>782</v>
      </c>
      <c r="AH52" s="43">
        <v>1439</v>
      </c>
      <c r="AI52" s="43">
        <v>301</v>
      </c>
      <c r="AJ52" s="43">
        <v>302</v>
      </c>
      <c r="AK52" s="43">
        <v>217</v>
      </c>
      <c r="AL52" s="43">
        <v>21</v>
      </c>
      <c r="AV52" s="49"/>
    </row>
    <row r="53" spans="1:48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51"/>
      <c r="U53" s="41"/>
      <c r="V53" s="51"/>
      <c r="W53" s="51"/>
      <c r="X53" s="51"/>
      <c r="Y53" s="51"/>
      <c r="Z53" s="51"/>
      <c r="AA53" s="51"/>
      <c r="AB53" s="51"/>
      <c r="AC53" s="51"/>
      <c r="AD53" s="51"/>
      <c r="AE53" s="7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2"/>
    </row>
    <row r="54" spans="1:48" ht="45">
      <c r="A54" s="43" t="s">
        <v>75</v>
      </c>
      <c r="B54" s="43">
        <v>497</v>
      </c>
      <c r="C54" s="43">
        <v>497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U54" s="43" t="s">
        <v>75</v>
      </c>
      <c r="V54" s="43">
        <v>117</v>
      </c>
      <c r="W54" s="43">
        <v>117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43" t="s">
        <v>35</v>
      </c>
      <c r="AE54" s="72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L54" s="43" t="s">
        <v>35</v>
      </c>
      <c r="AV54" s="49"/>
    </row>
    <row r="55" spans="1:48" ht="30">
      <c r="A55" s="43" t="s">
        <v>76</v>
      </c>
      <c r="B55" s="43">
        <v>52786</v>
      </c>
      <c r="C55" s="43" t="s">
        <v>35</v>
      </c>
      <c r="D55" s="43">
        <v>12926</v>
      </c>
      <c r="E55" s="43">
        <v>13046</v>
      </c>
      <c r="F55" s="43">
        <v>13325</v>
      </c>
      <c r="G55" s="43">
        <v>13045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444</v>
      </c>
      <c r="O55" s="43" t="s">
        <v>35</v>
      </c>
      <c r="P55" s="43" t="s">
        <v>35</v>
      </c>
      <c r="Q55" s="43" t="s">
        <v>35</v>
      </c>
      <c r="R55" s="43" t="s">
        <v>35</v>
      </c>
      <c r="U55" s="43" t="s">
        <v>76</v>
      </c>
      <c r="V55" s="43">
        <v>5565</v>
      </c>
      <c r="W55" s="43" t="s">
        <v>35</v>
      </c>
      <c r="X55" s="43">
        <v>1436</v>
      </c>
      <c r="Y55" s="43">
        <v>1348</v>
      </c>
      <c r="Z55" s="43">
        <v>1188</v>
      </c>
      <c r="AA55" s="43">
        <v>1215</v>
      </c>
      <c r="AB55" s="43" t="s">
        <v>35</v>
      </c>
      <c r="AC55" s="43" t="s">
        <v>35</v>
      </c>
      <c r="AD55" s="43" t="s">
        <v>35</v>
      </c>
      <c r="AE55" s="72" t="s">
        <v>35</v>
      </c>
      <c r="AF55" s="43" t="s">
        <v>35</v>
      </c>
      <c r="AG55" s="43" t="s">
        <v>35</v>
      </c>
      <c r="AH55" s="43">
        <v>378</v>
      </c>
      <c r="AI55" s="43" t="s">
        <v>35</v>
      </c>
      <c r="AJ55" s="43" t="s">
        <v>35</v>
      </c>
      <c r="AK55" s="43" t="s">
        <v>35</v>
      </c>
      <c r="AL55" s="43" t="s">
        <v>35</v>
      </c>
      <c r="AV55" s="49"/>
    </row>
    <row r="56" spans="1:48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U56" s="43" t="s">
        <v>77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43" t="s">
        <v>35</v>
      </c>
      <c r="AE56" s="72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L56" s="43" t="s">
        <v>35</v>
      </c>
      <c r="AV56" s="49"/>
    </row>
    <row r="57" spans="1:48" ht="30">
      <c r="A57" s="43" t="s">
        <v>78</v>
      </c>
      <c r="B57" s="43">
        <v>7161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620</v>
      </c>
      <c r="I57" s="43">
        <v>842</v>
      </c>
      <c r="J57" s="43">
        <v>1061</v>
      </c>
      <c r="K57" s="72">
        <v>1321</v>
      </c>
      <c r="L57" s="43">
        <v>1504</v>
      </c>
      <c r="M57" s="43">
        <v>1393</v>
      </c>
      <c r="N57" s="43">
        <v>420</v>
      </c>
      <c r="O57" s="43" t="s">
        <v>35</v>
      </c>
      <c r="P57" s="43" t="s">
        <v>35</v>
      </c>
      <c r="Q57" s="43" t="s">
        <v>35</v>
      </c>
      <c r="R57" s="43" t="s">
        <v>35</v>
      </c>
      <c r="U57" s="43" t="s">
        <v>78</v>
      </c>
      <c r="V57" s="43">
        <v>1642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 t="s">
        <v>35</v>
      </c>
      <c r="AB57" s="43">
        <v>104</v>
      </c>
      <c r="AC57" s="43">
        <v>144</v>
      </c>
      <c r="AD57" s="43">
        <v>197</v>
      </c>
      <c r="AE57" s="72">
        <v>259</v>
      </c>
      <c r="AF57" s="43">
        <v>321</v>
      </c>
      <c r="AG57" s="43">
        <v>230</v>
      </c>
      <c r="AH57" s="43">
        <v>387</v>
      </c>
      <c r="AI57" s="43" t="s">
        <v>35</v>
      </c>
      <c r="AJ57" s="43" t="s">
        <v>35</v>
      </c>
      <c r="AK57" s="43" t="s">
        <v>35</v>
      </c>
      <c r="AL57" s="43" t="s">
        <v>35</v>
      </c>
      <c r="AV57" s="49"/>
    </row>
    <row r="58" spans="1:48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U58" s="43" t="s">
        <v>79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43" t="s">
        <v>35</v>
      </c>
      <c r="AE58" s="72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L58" s="43" t="s">
        <v>35</v>
      </c>
      <c r="AV58" s="49"/>
    </row>
    <row r="59" spans="1:48" ht="30">
      <c r="A59" s="43" t="s">
        <v>80</v>
      </c>
      <c r="B59" s="43">
        <v>16165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2301</v>
      </c>
      <c r="I59" s="43">
        <v>2302</v>
      </c>
      <c r="J59" s="43">
        <v>2364</v>
      </c>
      <c r="K59" s="72">
        <v>2529</v>
      </c>
      <c r="L59" s="43">
        <v>3050</v>
      </c>
      <c r="M59" s="43">
        <v>3465</v>
      </c>
      <c r="N59" s="43">
        <v>154</v>
      </c>
      <c r="O59" s="43" t="s">
        <v>35</v>
      </c>
      <c r="P59" s="43" t="s">
        <v>35</v>
      </c>
      <c r="Q59" s="43" t="s">
        <v>35</v>
      </c>
      <c r="R59" s="43" t="s">
        <v>35</v>
      </c>
      <c r="U59" s="43" t="s">
        <v>80</v>
      </c>
      <c r="V59" s="43">
        <v>1632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 t="s">
        <v>35</v>
      </c>
      <c r="AB59" s="43">
        <v>219</v>
      </c>
      <c r="AC59" s="43">
        <v>191</v>
      </c>
      <c r="AD59" s="43">
        <v>228</v>
      </c>
      <c r="AE59" s="72">
        <v>257</v>
      </c>
      <c r="AF59" s="43">
        <v>305</v>
      </c>
      <c r="AG59" s="43">
        <v>292</v>
      </c>
      <c r="AH59" s="43">
        <v>140</v>
      </c>
      <c r="AI59" s="43" t="s">
        <v>35</v>
      </c>
      <c r="AJ59" s="43" t="s">
        <v>35</v>
      </c>
      <c r="AK59" s="43" t="s">
        <v>35</v>
      </c>
      <c r="AL59" s="43" t="s">
        <v>35</v>
      </c>
      <c r="AV59" s="49"/>
    </row>
    <row r="60" spans="1:48" ht="30">
      <c r="A60" s="43" t="s">
        <v>81</v>
      </c>
      <c r="B60" s="43">
        <v>8480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1311</v>
      </c>
      <c r="I60" s="43">
        <v>1402</v>
      </c>
      <c r="J60" s="43">
        <v>1566</v>
      </c>
      <c r="K60" s="72">
        <v>1563</v>
      </c>
      <c r="L60" s="43">
        <v>1490</v>
      </c>
      <c r="M60" s="43">
        <v>1026</v>
      </c>
      <c r="N60" s="43">
        <v>122</v>
      </c>
      <c r="O60" s="43" t="s">
        <v>35</v>
      </c>
      <c r="P60" s="43" t="s">
        <v>35</v>
      </c>
      <c r="Q60" s="43" t="s">
        <v>35</v>
      </c>
      <c r="R60" s="43" t="s">
        <v>35</v>
      </c>
      <c r="U60" s="43" t="s">
        <v>81</v>
      </c>
      <c r="V60" s="43">
        <v>848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 t="s">
        <v>35</v>
      </c>
      <c r="AB60" s="43">
        <v>143</v>
      </c>
      <c r="AC60" s="43">
        <v>133</v>
      </c>
      <c r="AD60" s="43">
        <v>133</v>
      </c>
      <c r="AE60" s="72">
        <v>130</v>
      </c>
      <c r="AF60" s="43">
        <v>122</v>
      </c>
      <c r="AG60" s="43">
        <v>68</v>
      </c>
      <c r="AH60" s="43">
        <v>119</v>
      </c>
      <c r="AI60" s="43" t="s">
        <v>35</v>
      </c>
      <c r="AJ60" s="43" t="s">
        <v>35</v>
      </c>
      <c r="AK60" s="43" t="s">
        <v>35</v>
      </c>
      <c r="AL60" s="43" t="s">
        <v>35</v>
      </c>
      <c r="AV60" s="49"/>
    </row>
    <row r="61" spans="1:48" ht="30">
      <c r="A61" s="43" t="s">
        <v>82</v>
      </c>
      <c r="B61" s="43">
        <v>45271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6003</v>
      </c>
      <c r="I61" s="43">
        <v>5950</v>
      </c>
      <c r="J61" s="43">
        <v>5593</v>
      </c>
      <c r="K61" s="72">
        <v>5447</v>
      </c>
      <c r="L61" s="43">
        <v>5187</v>
      </c>
      <c r="M61" s="43" t="s">
        <v>35</v>
      </c>
      <c r="N61" s="43">
        <v>285</v>
      </c>
      <c r="O61" s="43">
        <v>5835</v>
      </c>
      <c r="P61" s="43">
        <v>5735</v>
      </c>
      <c r="Q61" s="43">
        <v>5236</v>
      </c>
      <c r="R61" s="43" t="s">
        <v>35</v>
      </c>
      <c r="U61" s="43" t="s">
        <v>82</v>
      </c>
      <c r="V61" s="43">
        <v>2121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 t="s">
        <v>35</v>
      </c>
      <c r="AB61" s="43">
        <v>302</v>
      </c>
      <c r="AC61" s="43">
        <v>250</v>
      </c>
      <c r="AD61" s="43">
        <v>219</v>
      </c>
      <c r="AE61" s="72">
        <v>217</v>
      </c>
      <c r="AF61" s="43">
        <v>177</v>
      </c>
      <c r="AG61" s="43" t="s">
        <v>35</v>
      </c>
      <c r="AH61" s="43">
        <v>267</v>
      </c>
      <c r="AI61" s="43">
        <v>297</v>
      </c>
      <c r="AJ61" s="43">
        <v>220</v>
      </c>
      <c r="AK61" s="43">
        <v>172</v>
      </c>
      <c r="AL61" s="43" t="s">
        <v>35</v>
      </c>
      <c r="AV61" s="49"/>
    </row>
    <row r="62" spans="1:48" ht="45">
      <c r="A62" s="43" t="s">
        <v>83</v>
      </c>
      <c r="B62" s="43">
        <v>20711</v>
      </c>
      <c r="C62" s="43">
        <v>25</v>
      </c>
      <c r="D62" s="43">
        <v>128</v>
      </c>
      <c r="E62" s="43">
        <v>136</v>
      </c>
      <c r="F62" s="43">
        <v>147</v>
      </c>
      <c r="G62" s="43">
        <v>142</v>
      </c>
      <c r="H62" s="43">
        <v>3129</v>
      </c>
      <c r="I62" s="43">
        <v>3051</v>
      </c>
      <c r="J62" s="43">
        <v>3064</v>
      </c>
      <c r="K62" s="72">
        <v>2713</v>
      </c>
      <c r="L62" s="43">
        <v>2711</v>
      </c>
      <c r="M62" s="43">
        <v>2393</v>
      </c>
      <c r="N62" s="43">
        <v>174</v>
      </c>
      <c r="O62" s="43" t="s">
        <v>35</v>
      </c>
      <c r="P62" s="43">
        <v>1298</v>
      </c>
      <c r="Q62" s="43">
        <v>947</v>
      </c>
      <c r="R62" s="43">
        <v>653</v>
      </c>
      <c r="U62" s="43" t="s">
        <v>83</v>
      </c>
      <c r="V62" s="43">
        <v>1049</v>
      </c>
      <c r="W62" s="43">
        <v>13</v>
      </c>
      <c r="X62" s="43">
        <v>19</v>
      </c>
      <c r="Y62" s="43">
        <v>16</v>
      </c>
      <c r="Z62" s="43">
        <v>21</v>
      </c>
      <c r="AA62" s="43">
        <v>12</v>
      </c>
      <c r="AB62" s="43">
        <v>152</v>
      </c>
      <c r="AC62" s="43">
        <v>118</v>
      </c>
      <c r="AD62" s="43">
        <v>143</v>
      </c>
      <c r="AE62" s="72">
        <v>107</v>
      </c>
      <c r="AF62" s="43">
        <v>115</v>
      </c>
      <c r="AG62" s="43">
        <v>97</v>
      </c>
      <c r="AH62" s="43">
        <v>120</v>
      </c>
      <c r="AI62" s="43" t="s">
        <v>35</v>
      </c>
      <c r="AJ62" s="43">
        <v>60</v>
      </c>
      <c r="AK62" s="43">
        <v>37</v>
      </c>
      <c r="AL62" s="43">
        <v>19</v>
      </c>
      <c r="AV62" s="49"/>
    </row>
    <row r="63" spans="1:48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U63" s="43" t="s">
        <v>84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43" t="s">
        <v>35</v>
      </c>
      <c r="AE63" s="72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L63" s="43" t="s">
        <v>35</v>
      </c>
      <c r="AV63" s="49"/>
    </row>
    <row r="64" spans="1:48" ht="45">
      <c r="A64" s="43" t="s">
        <v>85</v>
      </c>
      <c r="B64" s="43">
        <v>530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72</v>
      </c>
      <c r="I64" s="43">
        <v>83</v>
      </c>
      <c r="J64" s="43">
        <v>67</v>
      </c>
      <c r="K64" s="72">
        <v>104</v>
      </c>
      <c r="L64" s="43">
        <v>111</v>
      </c>
      <c r="M64" s="43">
        <v>77</v>
      </c>
      <c r="N64" s="43">
        <v>16</v>
      </c>
      <c r="O64" s="43" t="s">
        <v>35</v>
      </c>
      <c r="P64" s="43" t="s">
        <v>35</v>
      </c>
      <c r="Q64" s="43" t="s">
        <v>35</v>
      </c>
      <c r="R64" s="43" t="s">
        <v>35</v>
      </c>
      <c r="U64" s="43" t="s">
        <v>85</v>
      </c>
      <c r="V64" s="43">
        <v>33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 t="s">
        <v>35</v>
      </c>
      <c r="AB64" s="43">
        <v>1</v>
      </c>
      <c r="AC64" s="43">
        <v>3</v>
      </c>
      <c r="AD64" s="43">
        <v>2</v>
      </c>
      <c r="AE64" s="72">
        <v>6</v>
      </c>
      <c r="AF64" s="43">
        <v>4</v>
      </c>
      <c r="AG64" s="43">
        <v>1</v>
      </c>
      <c r="AH64" s="43">
        <v>16</v>
      </c>
      <c r="AI64" s="43" t="s">
        <v>35</v>
      </c>
      <c r="AJ64" s="43" t="s">
        <v>35</v>
      </c>
      <c r="AK64" s="43" t="s">
        <v>35</v>
      </c>
      <c r="AL64" s="43" t="s">
        <v>35</v>
      </c>
      <c r="AV64" s="49"/>
    </row>
    <row r="65" spans="1:48" ht="45">
      <c r="A65" s="43" t="s">
        <v>86</v>
      </c>
      <c r="B65" s="43">
        <v>1489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223</v>
      </c>
      <c r="I65" s="43">
        <v>191</v>
      </c>
      <c r="J65" s="43">
        <v>237</v>
      </c>
      <c r="K65" s="72">
        <v>288</v>
      </c>
      <c r="L65" s="43">
        <v>258</v>
      </c>
      <c r="M65" s="43">
        <v>292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U65" s="43" t="s">
        <v>86</v>
      </c>
      <c r="V65" s="43">
        <v>26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 t="s">
        <v>35</v>
      </c>
      <c r="AB65" s="43">
        <v>1</v>
      </c>
      <c r="AC65" s="43">
        <v>3</v>
      </c>
      <c r="AD65" s="43">
        <v>1</v>
      </c>
      <c r="AE65" s="72">
        <v>15</v>
      </c>
      <c r="AF65" s="43">
        <v>1</v>
      </c>
      <c r="AG65" s="43">
        <v>5</v>
      </c>
      <c r="AH65" s="43" t="s">
        <v>35</v>
      </c>
      <c r="AI65" s="43" t="s">
        <v>35</v>
      </c>
      <c r="AJ65" s="43" t="s">
        <v>35</v>
      </c>
      <c r="AK65" s="43" t="s">
        <v>35</v>
      </c>
      <c r="AL65" s="43" t="s">
        <v>35</v>
      </c>
      <c r="AV65" s="49"/>
    </row>
    <row r="66" spans="1:48" ht="60">
      <c r="A66" s="43" t="s">
        <v>87</v>
      </c>
      <c r="B66" s="43">
        <v>593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98</v>
      </c>
      <c r="I66" s="43">
        <v>96</v>
      </c>
      <c r="J66" s="43">
        <v>104</v>
      </c>
      <c r="K66" s="72">
        <v>83</v>
      </c>
      <c r="L66" s="43">
        <v>73</v>
      </c>
      <c r="M66" s="43" t="s">
        <v>35</v>
      </c>
      <c r="N66" s="43" t="s">
        <v>35</v>
      </c>
      <c r="O66" s="43">
        <v>83</v>
      </c>
      <c r="P66" s="43">
        <v>32</v>
      </c>
      <c r="Q66" s="43">
        <v>24</v>
      </c>
      <c r="R66" s="43" t="s">
        <v>35</v>
      </c>
      <c r="U66" s="43" t="s">
        <v>87</v>
      </c>
      <c r="V66" s="43">
        <v>14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3</v>
      </c>
      <c r="AC66" s="43" t="s">
        <v>35</v>
      </c>
      <c r="AD66" s="43">
        <v>3</v>
      </c>
      <c r="AE66" s="72" t="s">
        <v>35</v>
      </c>
      <c r="AF66" s="43">
        <v>3</v>
      </c>
      <c r="AG66" s="43" t="s">
        <v>35</v>
      </c>
      <c r="AH66" s="43" t="s">
        <v>35</v>
      </c>
      <c r="AI66" s="43">
        <v>4</v>
      </c>
      <c r="AJ66" s="43">
        <v>1</v>
      </c>
      <c r="AK66" s="43" t="s">
        <v>35</v>
      </c>
      <c r="AL66" s="43" t="s">
        <v>35</v>
      </c>
      <c r="AV66" s="49"/>
    </row>
    <row r="67" spans="1:48" ht="75">
      <c r="A67" s="43" t="s">
        <v>88</v>
      </c>
      <c r="B67" s="43">
        <v>1557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70</v>
      </c>
      <c r="I67" s="43">
        <v>80</v>
      </c>
      <c r="J67" s="43">
        <v>82</v>
      </c>
      <c r="K67" s="72">
        <v>175</v>
      </c>
      <c r="L67" s="43">
        <v>188</v>
      </c>
      <c r="M67" s="43">
        <v>184</v>
      </c>
      <c r="N67" s="43">
        <v>12</v>
      </c>
      <c r="O67" s="43" t="s">
        <v>35</v>
      </c>
      <c r="P67" s="43">
        <v>259</v>
      </c>
      <c r="Q67" s="43">
        <v>261</v>
      </c>
      <c r="R67" s="43">
        <v>246</v>
      </c>
      <c r="U67" s="43" t="s">
        <v>88</v>
      </c>
      <c r="V67" s="43">
        <v>26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 t="s">
        <v>35</v>
      </c>
      <c r="AB67" s="43">
        <v>4</v>
      </c>
      <c r="AC67" s="43">
        <v>1</v>
      </c>
      <c r="AD67" s="43" t="s">
        <v>35</v>
      </c>
      <c r="AE67" s="72">
        <v>1</v>
      </c>
      <c r="AF67" s="43" t="s">
        <v>35</v>
      </c>
      <c r="AG67" s="43">
        <v>2</v>
      </c>
      <c r="AH67" s="43">
        <v>12</v>
      </c>
      <c r="AI67" s="43" t="s">
        <v>35</v>
      </c>
      <c r="AJ67" s="43">
        <v>2</v>
      </c>
      <c r="AK67" s="43">
        <v>2</v>
      </c>
      <c r="AL67" s="43">
        <v>2</v>
      </c>
      <c r="AV67" s="49"/>
    </row>
    <row r="68" spans="1:48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U68" s="43" t="s">
        <v>89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43" t="s">
        <v>35</v>
      </c>
      <c r="AE68" s="72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L68" s="43" t="s">
        <v>35</v>
      </c>
      <c r="AV68" s="49"/>
    </row>
    <row r="69" spans="1:48" ht="45">
      <c r="A69" s="43" t="s">
        <v>90</v>
      </c>
      <c r="B69" s="43">
        <v>1258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194</v>
      </c>
      <c r="I69" s="43">
        <v>178</v>
      </c>
      <c r="J69" s="43">
        <v>174</v>
      </c>
      <c r="K69" s="72">
        <v>260</v>
      </c>
      <c r="L69" s="43">
        <v>291</v>
      </c>
      <c r="M69" s="43">
        <v>161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U69" s="43" t="s">
        <v>90</v>
      </c>
      <c r="V69" s="43">
        <v>147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>
        <v>22</v>
      </c>
      <c r="AC69" s="43">
        <v>17</v>
      </c>
      <c r="AD69" s="43">
        <v>32</v>
      </c>
      <c r="AE69" s="72">
        <v>30</v>
      </c>
      <c r="AF69" s="43">
        <v>27</v>
      </c>
      <c r="AG69" s="43">
        <v>19</v>
      </c>
      <c r="AH69" s="43" t="s">
        <v>35</v>
      </c>
      <c r="AI69" s="43" t="s">
        <v>35</v>
      </c>
      <c r="AJ69" s="43" t="s">
        <v>35</v>
      </c>
      <c r="AK69" s="43" t="s">
        <v>35</v>
      </c>
      <c r="AL69" s="43" t="s">
        <v>35</v>
      </c>
      <c r="AV69" s="49"/>
    </row>
    <row r="70" spans="1:48" ht="60">
      <c r="A70" s="43" t="s">
        <v>91</v>
      </c>
      <c r="B70" s="43">
        <v>1401</v>
      </c>
      <c r="C70" s="43" t="s">
        <v>35</v>
      </c>
      <c r="D70" s="43">
        <v>374</v>
      </c>
      <c r="E70" s="43" t="s">
        <v>35</v>
      </c>
      <c r="F70" s="43" t="s">
        <v>35</v>
      </c>
      <c r="G70" s="43" t="s">
        <v>35</v>
      </c>
      <c r="H70" s="43">
        <v>626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401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U70" s="43" t="s">
        <v>91</v>
      </c>
      <c r="V70" s="43">
        <v>208</v>
      </c>
      <c r="W70" s="43" t="s">
        <v>35</v>
      </c>
      <c r="X70" s="43">
        <v>65</v>
      </c>
      <c r="Y70" s="43" t="s">
        <v>35</v>
      </c>
      <c r="Z70" s="43" t="s">
        <v>35</v>
      </c>
      <c r="AA70" s="43" t="s">
        <v>35</v>
      </c>
      <c r="AB70" s="43">
        <v>78</v>
      </c>
      <c r="AC70" s="43" t="s">
        <v>35</v>
      </c>
      <c r="AD70" s="43" t="s">
        <v>35</v>
      </c>
      <c r="AE70" s="72" t="s">
        <v>35</v>
      </c>
      <c r="AF70" s="43" t="s">
        <v>35</v>
      </c>
      <c r="AG70" s="43">
        <v>65</v>
      </c>
      <c r="AH70" s="43" t="s">
        <v>35</v>
      </c>
      <c r="AI70" s="43" t="s">
        <v>35</v>
      </c>
      <c r="AJ70" s="43" t="s">
        <v>35</v>
      </c>
      <c r="AK70" s="43" t="s">
        <v>35</v>
      </c>
      <c r="AL70" s="43" t="s">
        <v>35</v>
      </c>
      <c r="AV70" s="49"/>
    </row>
    <row r="71" spans="1:48" ht="60">
      <c r="A71" s="43" t="s">
        <v>92</v>
      </c>
      <c r="B71" s="43">
        <v>1839</v>
      </c>
      <c r="C71" s="43" t="s">
        <v>35</v>
      </c>
      <c r="D71" s="43">
        <v>227</v>
      </c>
      <c r="E71" s="43">
        <v>261</v>
      </c>
      <c r="F71" s="43">
        <v>258</v>
      </c>
      <c r="G71" s="43">
        <v>229</v>
      </c>
      <c r="H71" s="43">
        <v>135</v>
      </c>
      <c r="I71" s="43">
        <v>156</v>
      </c>
      <c r="J71" s="43">
        <v>179</v>
      </c>
      <c r="K71" s="72">
        <v>148</v>
      </c>
      <c r="L71" s="43">
        <v>205</v>
      </c>
      <c r="M71" s="43">
        <v>41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U71" s="43" t="s">
        <v>92</v>
      </c>
      <c r="V71" s="43">
        <v>99</v>
      </c>
      <c r="W71" s="43" t="s">
        <v>35</v>
      </c>
      <c r="X71" s="43">
        <v>12</v>
      </c>
      <c r="Y71" s="43">
        <v>11</v>
      </c>
      <c r="Z71" s="43">
        <v>13</v>
      </c>
      <c r="AA71" s="43">
        <v>15</v>
      </c>
      <c r="AB71" s="43">
        <v>9</v>
      </c>
      <c r="AC71" s="43">
        <v>11</v>
      </c>
      <c r="AD71" s="43">
        <v>5</v>
      </c>
      <c r="AE71" s="72">
        <v>10</v>
      </c>
      <c r="AF71" s="43">
        <v>10</v>
      </c>
      <c r="AG71" s="43">
        <v>3</v>
      </c>
      <c r="AH71" s="43" t="s">
        <v>35</v>
      </c>
      <c r="AI71" s="43" t="s">
        <v>35</v>
      </c>
      <c r="AJ71" s="43" t="s">
        <v>35</v>
      </c>
      <c r="AK71" s="43" t="s">
        <v>35</v>
      </c>
      <c r="AL71" s="43" t="s">
        <v>35</v>
      </c>
      <c r="AV71" s="49"/>
    </row>
    <row r="72" spans="1:48" ht="30">
      <c r="A72" s="43" t="s">
        <v>93</v>
      </c>
      <c r="B72" s="43">
        <v>250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112</v>
      </c>
      <c r="Q72" s="43">
        <v>87</v>
      </c>
      <c r="R72" s="43">
        <v>51</v>
      </c>
      <c r="U72" s="43" t="s">
        <v>93</v>
      </c>
      <c r="V72" s="43">
        <v>7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43" t="s">
        <v>35</v>
      </c>
      <c r="AE72" s="72" t="s">
        <v>35</v>
      </c>
      <c r="AF72" s="43" t="s">
        <v>35</v>
      </c>
      <c r="AG72" s="43" t="s">
        <v>35</v>
      </c>
      <c r="AH72" s="43" t="s">
        <v>35</v>
      </c>
      <c r="AI72" s="43" t="s">
        <v>35</v>
      </c>
      <c r="AJ72" s="43">
        <v>6</v>
      </c>
      <c r="AK72" s="43">
        <v>1</v>
      </c>
      <c r="AL72" s="43" t="s">
        <v>35</v>
      </c>
      <c r="AV72" s="49"/>
    </row>
    <row r="73" spans="1:48">
      <c r="A73" s="43" t="s">
        <v>94</v>
      </c>
      <c r="B73" s="43">
        <v>362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175</v>
      </c>
      <c r="Q73" s="43">
        <v>121</v>
      </c>
      <c r="R73" s="43">
        <v>66</v>
      </c>
      <c r="U73" s="43" t="s">
        <v>94</v>
      </c>
      <c r="V73" s="43">
        <v>18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43" t="s">
        <v>35</v>
      </c>
      <c r="AE73" s="72" t="s">
        <v>35</v>
      </c>
      <c r="AF73" s="43" t="s">
        <v>35</v>
      </c>
      <c r="AG73" s="43" t="s">
        <v>35</v>
      </c>
      <c r="AH73" s="43" t="s">
        <v>35</v>
      </c>
      <c r="AI73" s="43" t="s">
        <v>35</v>
      </c>
      <c r="AJ73" s="43">
        <v>13</v>
      </c>
      <c r="AK73" s="43">
        <v>5</v>
      </c>
      <c r="AL73" s="43" t="s">
        <v>35</v>
      </c>
      <c r="AV73" s="49"/>
    </row>
    <row r="74" spans="1:48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51"/>
      <c r="U74" s="41" t="s">
        <v>49</v>
      </c>
      <c r="V74" s="51"/>
      <c r="W74" s="51"/>
      <c r="X74" s="51"/>
      <c r="Y74" s="51"/>
      <c r="Z74" s="51"/>
      <c r="AA74" s="51"/>
      <c r="AB74" s="51"/>
      <c r="AC74" s="51"/>
      <c r="AD74" s="51"/>
      <c r="AE74" s="7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2"/>
    </row>
    <row r="75" spans="1:48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51"/>
      <c r="U75" s="41"/>
      <c r="V75" s="51"/>
      <c r="W75" s="51"/>
      <c r="X75" s="51"/>
      <c r="Y75" s="51"/>
      <c r="Z75" s="51"/>
      <c r="AA75" s="51"/>
      <c r="AB75" s="51"/>
      <c r="AC75" s="51"/>
      <c r="AD75" s="51"/>
      <c r="AE75" s="7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2"/>
    </row>
    <row r="76" spans="1:48" ht="30">
      <c r="A76" s="43" t="s">
        <v>40</v>
      </c>
      <c r="B76" s="43">
        <v>224153</v>
      </c>
      <c r="C76" s="43">
        <v>670</v>
      </c>
      <c r="D76" s="43">
        <v>19514</v>
      </c>
      <c r="E76" s="43">
        <v>19263</v>
      </c>
      <c r="F76" s="43">
        <v>19297</v>
      </c>
      <c r="G76" s="43">
        <v>18916</v>
      </c>
      <c r="H76" s="43">
        <v>20442</v>
      </c>
      <c r="I76" s="43">
        <v>19819</v>
      </c>
      <c r="J76" s="43">
        <v>20061</v>
      </c>
      <c r="K76" s="72">
        <v>20125</v>
      </c>
      <c r="L76" s="43">
        <v>20485</v>
      </c>
      <c r="M76" s="43">
        <v>12794</v>
      </c>
      <c r="N76" s="43">
        <v>3204</v>
      </c>
      <c r="O76" s="43">
        <v>8380</v>
      </c>
      <c r="P76" s="43">
        <v>10519</v>
      </c>
      <c r="Q76" s="43">
        <v>9375</v>
      </c>
      <c r="R76" s="43">
        <v>1289</v>
      </c>
      <c r="U76" s="43" t="s">
        <v>40</v>
      </c>
      <c r="V76" s="43">
        <v>23003</v>
      </c>
      <c r="W76" s="43">
        <v>181</v>
      </c>
      <c r="X76" s="43">
        <v>2543</v>
      </c>
      <c r="Y76" s="43">
        <v>2292</v>
      </c>
      <c r="Z76" s="43">
        <v>2161</v>
      </c>
      <c r="AA76" s="43">
        <v>2132</v>
      </c>
      <c r="AB76" s="43">
        <v>1591</v>
      </c>
      <c r="AC76" s="43">
        <v>1429</v>
      </c>
      <c r="AD76" s="43">
        <v>1482</v>
      </c>
      <c r="AE76" s="72">
        <v>1572</v>
      </c>
      <c r="AF76" s="43">
        <v>1759</v>
      </c>
      <c r="AG76" s="43">
        <v>1318</v>
      </c>
      <c r="AH76" s="43">
        <v>2858</v>
      </c>
      <c r="AI76" s="43">
        <v>400</v>
      </c>
      <c r="AJ76" s="43">
        <v>663</v>
      </c>
      <c r="AK76" s="43">
        <v>567</v>
      </c>
      <c r="AL76" s="43">
        <v>55</v>
      </c>
      <c r="AV76" s="49"/>
    </row>
    <row r="77" spans="1:48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51"/>
      <c r="U77" s="41"/>
      <c r="V77" s="51"/>
      <c r="W77" s="51"/>
      <c r="X77" s="51"/>
      <c r="Y77" s="51"/>
      <c r="Z77" s="51"/>
      <c r="AA77" s="51"/>
      <c r="AB77" s="51"/>
      <c r="AC77" s="51"/>
      <c r="AD77" s="51"/>
      <c r="AE77" s="7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2"/>
    </row>
    <row r="78" spans="1:48" ht="45">
      <c r="A78" s="43" t="s">
        <v>75</v>
      </c>
      <c r="B78" s="43">
        <v>613</v>
      </c>
      <c r="C78" s="43">
        <v>613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U78" s="43" t="s">
        <v>75</v>
      </c>
      <c r="V78" s="43">
        <v>179</v>
      </c>
      <c r="W78" s="43">
        <v>179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43" t="s">
        <v>35</v>
      </c>
      <c r="AE78" s="72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L78" s="43" t="s">
        <v>35</v>
      </c>
      <c r="AV78" s="49"/>
    </row>
    <row r="79" spans="1:48" ht="30">
      <c r="A79" s="43" t="s">
        <v>76</v>
      </c>
      <c r="B79" s="43">
        <v>74468</v>
      </c>
      <c r="C79" s="43" t="s">
        <v>35</v>
      </c>
      <c r="D79" s="43">
        <v>18329</v>
      </c>
      <c r="E79" s="43">
        <v>18556</v>
      </c>
      <c r="F79" s="43">
        <v>18649</v>
      </c>
      <c r="G79" s="43">
        <v>18302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632</v>
      </c>
      <c r="O79" s="43" t="s">
        <v>35</v>
      </c>
      <c r="P79" s="43" t="s">
        <v>35</v>
      </c>
      <c r="Q79" s="43" t="s">
        <v>35</v>
      </c>
      <c r="R79" s="43" t="s">
        <v>35</v>
      </c>
      <c r="U79" s="43" t="s">
        <v>76</v>
      </c>
      <c r="V79" s="43">
        <v>9394</v>
      </c>
      <c r="W79" s="43" t="s">
        <v>35</v>
      </c>
      <c r="X79" s="43">
        <v>2420</v>
      </c>
      <c r="Y79" s="43">
        <v>2229</v>
      </c>
      <c r="Z79" s="43">
        <v>2113</v>
      </c>
      <c r="AA79" s="43">
        <v>2092</v>
      </c>
      <c r="AB79" s="43" t="s">
        <v>35</v>
      </c>
      <c r="AC79" s="43" t="s">
        <v>35</v>
      </c>
      <c r="AD79" s="43" t="s">
        <v>35</v>
      </c>
      <c r="AE79" s="72" t="s">
        <v>35</v>
      </c>
      <c r="AF79" s="43" t="s">
        <v>35</v>
      </c>
      <c r="AG79" s="43" t="s">
        <v>35</v>
      </c>
      <c r="AH79" s="43">
        <v>540</v>
      </c>
      <c r="AI79" s="43" t="s">
        <v>35</v>
      </c>
      <c r="AJ79" s="43" t="s">
        <v>35</v>
      </c>
      <c r="AK79" s="43" t="s">
        <v>35</v>
      </c>
      <c r="AL79" s="43" t="s">
        <v>35</v>
      </c>
      <c r="AV79" s="49"/>
    </row>
    <row r="80" spans="1:48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U80" s="43" t="s">
        <v>77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43" t="s">
        <v>35</v>
      </c>
      <c r="AE80" s="72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L80" s="43" t="s">
        <v>35</v>
      </c>
      <c r="AV80" s="49"/>
    </row>
    <row r="81" spans="1:48" ht="30">
      <c r="A81" s="43" t="s">
        <v>78</v>
      </c>
      <c r="B81" s="43">
        <v>5415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342</v>
      </c>
      <c r="I81" s="43">
        <v>504</v>
      </c>
      <c r="J81" s="43">
        <v>708</v>
      </c>
      <c r="K81" s="72">
        <v>978</v>
      </c>
      <c r="L81" s="43">
        <v>1211</v>
      </c>
      <c r="M81" s="43">
        <v>1215</v>
      </c>
      <c r="N81" s="43">
        <v>457</v>
      </c>
      <c r="O81" s="43" t="s">
        <v>35</v>
      </c>
      <c r="P81" s="43" t="s">
        <v>35</v>
      </c>
      <c r="Q81" s="43" t="s">
        <v>35</v>
      </c>
      <c r="R81" s="43" t="s">
        <v>35</v>
      </c>
      <c r="U81" s="43" t="s">
        <v>78</v>
      </c>
      <c r="V81" s="43">
        <v>1580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 t="s">
        <v>35</v>
      </c>
      <c r="AB81" s="43">
        <v>96</v>
      </c>
      <c r="AC81" s="43">
        <v>130</v>
      </c>
      <c r="AD81" s="43">
        <v>192</v>
      </c>
      <c r="AE81" s="72">
        <v>245</v>
      </c>
      <c r="AF81" s="43">
        <v>300</v>
      </c>
      <c r="AG81" s="43">
        <v>215</v>
      </c>
      <c r="AH81" s="43">
        <v>402</v>
      </c>
      <c r="AI81" s="43" t="s">
        <v>35</v>
      </c>
      <c r="AJ81" s="43" t="s">
        <v>35</v>
      </c>
      <c r="AK81" s="43" t="s">
        <v>35</v>
      </c>
      <c r="AL81" s="43" t="s">
        <v>35</v>
      </c>
      <c r="AV81" s="49"/>
    </row>
    <row r="82" spans="1:48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U82" s="43" t="s">
        <v>79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43" t="s">
        <v>35</v>
      </c>
      <c r="AE82" s="72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L82" s="43" t="s">
        <v>35</v>
      </c>
      <c r="AV82" s="49"/>
    </row>
    <row r="83" spans="1:48" ht="30">
      <c r="A83" s="43" t="s">
        <v>80</v>
      </c>
      <c r="B83" s="43">
        <v>16170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1844</v>
      </c>
      <c r="I83" s="43">
        <v>2054</v>
      </c>
      <c r="J83" s="43">
        <v>2379</v>
      </c>
      <c r="K83" s="72">
        <v>2809</v>
      </c>
      <c r="L83" s="43">
        <v>3164</v>
      </c>
      <c r="M83" s="43">
        <v>3695</v>
      </c>
      <c r="N83" s="43">
        <v>225</v>
      </c>
      <c r="O83" s="43" t="s">
        <v>35</v>
      </c>
      <c r="P83" s="43" t="s">
        <v>35</v>
      </c>
      <c r="Q83" s="43" t="s">
        <v>35</v>
      </c>
      <c r="R83" s="43" t="s">
        <v>35</v>
      </c>
      <c r="U83" s="43" t="s">
        <v>80</v>
      </c>
      <c r="V83" s="43">
        <v>2134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 t="s">
        <v>35</v>
      </c>
      <c r="AB83" s="43">
        <v>242</v>
      </c>
      <c r="AC83" s="43">
        <v>287</v>
      </c>
      <c r="AD83" s="43">
        <v>280</v>
      </c>
      <c r="AE83" s="72">
        <v>331</v>
      </c>
      <c r="AF83" s="43">
        <v>382</v>
      </c>
      <c r="AG83" s="43">
        <v>403</v>
      </c>
      <c r="AH83" s="43">
        <v>209</v>
      </c>
      <c r="AI83" s="43" t="s">
        <v>35</v>
      </c>
      <c r="AJ83" s="43" t="s">
        <v>35</v>
      </c>
      <c r="AK83" s="43" t="s">
        <v>35</v>
      </c>
      <c r="AL83" s="43" t="s">
        <v>35</v>
      </c>
      <c r="AV83" s="49"/>
    </row>
    <row r="84" spans="1:48" ht="30">
      <c r="A84" s="43" t="s">
        <v>81</v>
      </c>
      <c r="B84" s="43">
        <v>14133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2315</v>
      </c>
      <c r="I84" s="43">
        <v>2414</v>
      </c>
      <c r="J84" s="43">
        <v>2437</v>
      </c>
      <c r="K84" s="72">
        <v>2394</v>
      </c>
      <c r="L84" s="43">
        <v>2448</v>
      </c>
      <c r="M84" s="43">
        <v>1647</v>
      </c>
      <c r="N84" s="43">
        <v>478</v>
      </c>
      <c r="O84" s="43" t="s">
        <v>35</v>
      </c>
      <c r="P84" s="43" t="s">
        <v>35</v>
      </c>
      <c r="Q84" s="43" t="s">
        <v>35</v>
      </c>
      <c r="R84" s="43" t="s">
        <v>35</v>
      </c>
      <c r="U84" s="43" t="s">
        <v>81</v>
      </c>
      <c r="V84" s="43">
        <v>1955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 t="s">
        <v>35</v>
      </c>
      <c r="AB84" s="43">
        <v>312</v>
      </c>
      <c r="AC84" s="43">
        <v>261</v>
      </c>
      <c r="AD84" s="43">
        <v>254</v>
      </c>
      <c r="AE84" s="72">
        <v>254</v>
      </c>
      <c r="AF84" s="43">
        <v>272</v>
      </c>
      <c r="AG84" s="43">
        <v>197</v>
      </c>
      <c r="AH84" s="43">
        <v>405</v>
      </c>
      <c r="AI84" s="43" t="s">
        <v>35</v>
      </c>
      <c r="AJ84" s="43" t="s">
        <v>35</v>
      </c>
      <c r="AK84" s="43" t="s">
        <v>35</v>
      </c>
      <c r="AL84" s="43" t="s">
        <v>35</v>
      </c>
      <c r="AV84" s="49"/>
    </row>
    <row r="85" spans="1:48" ht="30">
      <c r="A85" s="43" t="s">
        <v>82</v>
      </c>
      <c r="B85" s="43">
        <v>58655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8215</v>
      </c>
      <c r="I85" s="43">
        <v>7773</v>
      </c>
      <c r="J85" s="43">
        <v>7382</v>
      </c>
      <c r="K85" s="72">
        <v>7015</v>
      </c>
      <c r="L85" s="43">
        <v>6904</v>
      </c>
      <c r="M85" s="43" t="s">
        <v>35</v>
      </c>
      <c r="N85" s="43">
        <v>559</v>
      </c>
      <c r="O85" s="43">
        <v>7228</v>
      </c>
      <c r="P85" s="43">
        <v>7182</v>
      </c>
      <c r="Q85" s="43">
        <v>6397</v>
      </c>
      <c r="R85" s="43" t="s">
        <v>35</v>
      </c>
      <c r="U85" s="43" t="s">
        <v>82</v>
      </c>
      <c r="V85" s="43">
        <v>3268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 t="s">
        <v>35</v>
      </c>
      <c r="AB85" s="43">
        <v>351</v>
      </c>
      <c r="AC85" s="43">
        <v>283</v>
      </c>
      <c r="AD85" s="43">
        <v>279</v>
      </c>
      <c r="AE85" s="72">
        <v>261</v>
      </c>
      <c r="AF85" s="43">
        <v>292</v>
      </c>
      <c r="AG85" s="43" t="s">
        <v>35</v>
      </c>
      <c r="AH85" s="43">
        <v>524</v>
      </c>
      <c r="AI85" s="43">
        <v>375</v>
      </c>
      <c r="AJ85" s="43">
        <v>497</v>
      </c>
      <c r="AK85" s="43">
        <v>406</v>
      </c>
      <c r="AL85" s="43" t="s">
        <v>35</v>
      </c>
      <c r="AV85" s="49"/>
    </row>
    <row r="86" spans="1:48" ht="45">
      <c r="A86" s="43" t="s">
        <v>83</v>
      </c>
      <c r="B86" s="43">
        <v>29430</v>
      </c>
      <c r="C86" s="43" t="s">
        <v>35</v>
      </c>
      <c r="D86" s="43">
        <v>276</v>
      </c>
      <c r="E86" s="43">
        <v>299</v>
      </c>
      <c r="F86" s="43">
        <v>288</v>
      </c>
      <c r="G86" s="43">
        <v>291</v>
      </c>
      <c r="H86" s="43">
        <v>4161</v>
      </c>
      <c r="I86" s="43">
        <v>4104</v>
      </c>
      <c r="J86" s="43">
        <v>4209</v>
      </c>
      <c r="K86" s="72">
        <v>3718</v>
      </c>
      <c r="L86" s="43">
        <v>3493</v>
      </c>
      <c r="M86" s="43">
        <v>3415</v>
      </c>
      <c r="N86" s="43">
        <v>489</v>
      </c>
      <c r="O86" s="43" t="s">
        <v>35</v>
      </c>
      <c r="P86" s="43">
        <v>1922</v>
      </c>
      <c r="Q86" s="43">
        <v>1675</v>
      </c>
      <c r="R86" s="43">
        <v>1090</v>
      </c>
      <c r="U86" s="43" t="s">
        <v>83</v>
      </c>
      <c r="V86" s="43">
        <v>2636</v>
      </c>
      <c r="W86" s="43" t="s">
        <v>35</v>
      </c>
      <c r="X86" s="43">
        <v>37</v>
      </c>
      <c r="Y86" s="43">
        <v>33</v>
      </c>
      <c r="Z86" s="43">
        <v>26</v>
      </c>
      <c r="AA86" s="43">
        <v>22</v>
      </c>
      <c r="AB86" s="43">
        <v>356</v>
      </c>
      <c r="AC86" s="43">
        <v>303</v>
      </c>
      <c r="AD86" s="43">
        <v>316</v>
      </c>
      <c r="AE86" s="72">
        <v>281</v>
      </c>
      <c r="AF86" s="43">
        <v>283</v>
      </c>
      <c r="AG86" s="43">
        <v>252</v>
      </c>
      <c r="AH86" s="43">
        <v>458</v>
      </c>
      <c r="AI86" s="43" t="s">
        <v>35</v>
      </c>
      <c r="AJ86" s="43">
        <v>115</v>
      </c>
      <c r="AK86" s="43">
        <v>110</v>
      </c>
      <c r="AL86" s="43">
        <v>44</v>
      </c>
      <c r="AV86" s="49"/>
    </row>
    <row r="87" spans="1:48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U87" s="43" t="s">
        <v>84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43" t="s">
        <v>35</v>
      </c>
      <c r="AE87" s="72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L87" s="43" t="s">
        <v>35</v>
      </c>
      <c r="AV87" s="49"/>
    </row>
    <row r="88" spans="1:48" ht="45">
      <c r="A88" s="43" t="s">
        <v>85</v>
      </c>
      <c r="B88" s="43">
        <v>2361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243</v>
      </c>
      <c r="I88" s="43">
        <v>332</v>
      </c>
      <c r="J88" s="43">
        <v>306</v>
      </c>
      <c r="K88" s="72">
        <v>407</v>
      </c>
      <c r="L88" s="43">
        <v>415</v>
      </c>
      <c r="M88" s="43">
        <v>349</v>
      </c>
      <c r="N88" s="43">
        <v>309</v>
      </c>
      <c r="O88" s="43" t="s">
        <v>35</v>
      </c>
      <c r="P88" s="43" t="s">
        <v>35</v>
      </c>
      <c r="Q88" s="43" t="s">
        <v>35</v>
      </c>
      <c r="R88" s="43" t="s">
        <v>35</v>
      </c>
      <c r="U88" s="43" t="s">
        <v>85</v>
      </c>
      <c r="V88" s="43">
        <v>533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 t="s">
        <v>35</v>
      </c>
      <c r="AB88" s="43">
        <v>28</v>
      </c>
      <c r="AC88" s="43">
        <v>36</v>
      </c>
      <c r="AD88" s="43">
        <v>30</v>
      </c>
      <c r="AE88" s="72">
        <v>48</v>
      </c>
      <c r="AF88" s="43">
        <v>52</v>
      </c>
      <c r="AG88" s="43">
        <v>40</v>
      </c>
      <c r="AH88" s="43">
        <v>299</v>
      </c>
      <c r="AI88" s="43" t="s">
        <v>35</v>
      </c>
      <c r="AJ88" s="43" t="s">
        <v>35</v>
      </c>
      <c r="AK88" s="43" t="s">
        <v>35</v>
      </c>
      <c r="AL88" s="43" t="s">
        <v>35</v>
      </c>
      <c r="AV88" s="49"/>
    </row>
    <row r="89" spans="1:48" ht="45">
      <c r="A89" s="43" t="s">
        <v>86</v>
      </c>
      <c r="B89" s="43">
        <v>6635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979</v>
      </c>
      <c r="I89" s="43">
        <v>1045</v>
      </c>
      <c r="J89" s="43">
        <v>1049</v>
      </c>
      <c r="K89" s="72">
        <v>1081</v>
      </c>
      <c r="L89" s="43">
        <v>1196</v>
      </c>
      <c r="M89" s="43">
        <v>1260</v>
      </c>
      <c r="N89" s="43">
        <v>25</v>
      </c>
      <c r="O89" s="43" t="s">
        <v>35</v>
      </c>
      <c r="P89" s="43" t="s">
        <v>35</v>
      </c>
      <c r="Q89" s="43" t="s">
        <v>35</v>
      </c>
      <c r="R89" s="43" t="s">
        <v>35</v>
      </c>
      <c r="U89" s="43" t="s">
        <v>86</v>
      </c>
      <c r="V89" s="43">
        <v>412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 t="s">
        <v>35</v>
      </c>
      <c r="AB89" s="43">
        <v>61</v>
      </c>
      <c r="AC89" s="43">
        <v>65</v>
      </c>
      <c r="AD89" s="43">
        <v>56</v>
      </c>
      <c r="AE89" s="72">
        <v>73</v>
      </c>
      <c r="AF89" s="43">
        <v>80</v>
      </c>
      <c r="AG89" s="43">
        <v>68</v>
      </c>
      <c r="AH89" s="43">
        <v>9</v>
      </c>
      <c r="AI89" s="43" t="s">
        <v>35</v>
      </c>
      <c r="AJ89" s="43" t="s">
        <v>35</v>
      </c>
      <c r="AK89" s="43" t="s">
        <v>35</v>
      </c>
      <c r="AL89" s="43" t="s">
        <v>35</v>
      </c>
      <c r="AV89" s="49"/>
    </row>
    <row r="90" spans="1:48" ht="60">
      <c r="A90" s="43" t="s">
        <v>87</v>
      </c>
      <c r="B90" s="43">
        <v>8104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939</v>
      </c>
      <c r="I90" s="43">
        <v>976</v>
      </c>
      <c r="J90" s="43">
        <v>983</v>
      </c>
      <c r="K90" s="72">
        <v>965</v>
      </c>
      <c r="L90" s="43">
        <v>916</v>
      </c>
      <c r="M90" s="43" t="s">
        <v>35</v>
      </c>
      <c r="N90" s="43">
        <v>30</v>
      </c>
      <c r="O90" s="43">
        <v>1152</v>
      </c>
      <c r="P90" s="43">
        <v>1107</v>
      </c>
      <c r="Q90" s="43">
        <v>1036</v>
      </c>
      <c r="R90" s="43" t="s">
        <v>35</v>
      </c>
      <c r="U90" s="43" t="s">
        <v>87</v>
      </c>
      <c r="V90" s="43">
        <v>253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 t="s">
        <v>35</v>
      </c>
      <c r="AB90" s="43">
        <v>28</v>
      </c>
      <c r="AC90" s="43">
        <v>24</v>
      </c>
      <c r="AD90" s="43">
        <v>30</v>
      </c>
      <c r="AE90" s="72">
        <v>22</v>
      </c>
      <c r="AF90" s="43">
        <v>40</v>
      </c>
      <c r="AG90" s="43" t="s">
        <v>35</v>
      </c>
      <c r="AH90" s="43">
        <v>12</v>
      </c>
      <c r="AI90" s="43">
        <v>25</v>
      </c>
      <c r="AJ90" s="43">
        <v>31</v>
      </c>
      <c r="AK90" s="43">
        <v>41</v>
      </c>
      <c r="AL90" s="43" t="s">
        <v>35</v>
      </c>
      <c r="AV90" s="49"/>
    </row>
    <row r="91" spans="1:48" ht="75">
      <c r="A91" s="43" t="s">
        <v>88</v>
      </c>
      <c r="B91" s="43">
        <v>980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103</v>
      </c>
      <c r="I91" s="43">
        <v>106</v>
      </c>
      <c r="J91" s="43">
        <v>136</v>
      </c>
      <c r="K91" s="72">
        <v>117</v>
      </c>
      <c r="L91" s="43">
        <v>125</v>
      </c>
      <c r="M91" s="43">
        <v>99</v>
      </c>
      <c r="N91" s="43" t="s">
        <v>35</v>
      </c>
      <c r="O91" s="43" t="s">
        <v>35</v>
      </c>
      <c r="P91" s="43">
        <v>104</v>
      </c>
      <c r="Q91" s="43">
        <v>130</v>
      </c>
      <c r="R91" s="43">
        <v>60</v>
      </c>
      <c r="U91" s="43" t="s">
        <v>88</v>
      </c>
      <c r="V91" s="43">
        <v>40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 t="s">
        <v>35</v>
      </c>
      <c r="AB91" s="43">
        <v>6</v>
      </c>
      <c r="AC91" s="43">
        <v>3</v>
      </c>
      <c r="AD91" s="43">
        <v>6</v>
      </c>
      <c r="AE91" s="72">
        <v>7</v>
      </c>
      <c r="AF91" s="43">
        <v>7</v>
      </c>
      <c r="AG91" s="43">
        <v>4</v>
      </c>
      <c r="AH91" s="43" t="s">
        <v>35</v>
      </c>
      <c r="AI91" s="43" t="s">
        <v>35</v>
      </c>
      <c r="AJ91" s="43">
        <v>3</v>
      </c>
      <c r="AK91" s="43">
        <v>1</v>
      </c>
      <c r="AL91" s="43">
        <v>3</v>
      </c>
      <c r="AV91" s="49"/>
    </row>
    <row r="92" spans="1:48" ht="45">
      <c r="A92" s="43" t="s">
        <v>89</v>
      </c>
      <c r="B92" s="43">
        <v>57</v>
      </c>
      <c r="C92" s="43">
        <v>57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U92" s="43" t="s">
        <v>89</v>
      </c>
      <c r="V92" s="43">
        <v>2</v>
      </c>
      <c r="W92" s="43">
        <v>2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43" t="s">
        <v>35</v>
      </c>
      <c r="AE92" s="72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L92" s="43" t="s">
        <v>35</v>
      </c>
      <c r="AV92" s="49"/>
    </row>
    <row r="93" spans="1:48" ht="45">
      <c r="A93" s="43" t="s">
        <v>90</v>
      </c>
      <c r="B93" s="43">
        <v>1681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240</v>
      </c>
      <c r="I93" s="43">
        <v>237</v>
      </c>
      <c r="J93" s="43">
        <v>247</v>
      </c>
      <c r="K93" s="72">
        <v>338</v>
      </c>
      <c r="L93" s="43">
        <v>346</v>
      </c>
      <c r="M93" s="43">
        <v>273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U93" s="43" t="s">
        <v>90</v>
      </c>
      <c r="V93" s="43">
        <v>175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>
        <v>17</v>
      </c>
      <c r="AC93" s="43">
        <v>23</v>
      </c>
      <c r="AD93" s="43">
        <v>29</v>
      </c>
      <c r="AE93" s="72">
        <v>37</v>
      </c>
      <c r="AF93" s="43">
        <v>34</v>
      </c>
      <c r="AG93" s="43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L93" s="43" t="s">
        <v>35</v>
      </c>
      <c r="AV93" s="49"/>
    </row>
    <row r="94" spans="1:48" ht="60">
      <c r="A94" s="43" t="s">
        <v>91</v>
      </c>
      <c r="B94" s="43">
        <v>1967</v>
      </c>
      <c r="C94" s="43" t="s">
        <v>35</v>
      </c>
      <c r="D94" s="43">
        <v>540</v>
      </c>
      <c r="E94" s="43" t="s">
        <v>35</v>
      </c>
      <c r="F94" s="43" t="s">
        <v>35</v>
      </c>
      <c r="G94" s="43" t="s">
        <v>35</v>
      </c>
      <c r="H94" s="43">
        <v>800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627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U94" s="43" t="s">
        <v>91</v>
      </c>
      <c r="V94" s="43">
        <v>232</v>
      </c>
      <c r="W94" s="43" t="s">
        <v>35</v>
      </c>
      <c r="X94" s="43">
        <v>57</v>
      </c>
      <c r="Y94" s="43" t="s">
        <v>35</v>
      </c>
      <c r="Z94" s="43" t="s">
        <v>35</v>
      </c>
      <c r="AA94" s="43" t="s">
        <v>35</v>
      </c>
      <c r="AB94" s="43">
        <v>85</v>
      </c>
      <c r="AC94" s="43" t="s">
        <v>35</v>
      </c>
      <c r="AD94" s="43" t="s">
        <v>35</v>
      </c>
      <c r="AE94" s="72" t="s">
        <v>35</v>
      </c>
      <c r="AF94" s="43" t="s">
        <v>35</v>
      </c>
      <c r="AG94" s="43">
        <v>90</v>
      </c>
      <c r="AH94" s="43" t="s">
        <v>35</v>
      </c>
      <c r="AI94" s="43" t="s">
        <v>35</v>
      </c>
      <c r="AJ94" s="43" t="s">
        <v>35</v>
      </c>
      <c r="AK94" s="43" t="s">
        <v>35</v>
      </c>
      <c r="AL94" s="43" t="s">
        <v>35</v>
      </c>
      <c r="AV94" s="49"/>
    </row>
    <row r="95" spans="1:48" ht="60">
      <c r="A95" s="43" t="s">
        <v>92</v>
      </c>
      <c r="B95" s="43">
        <v>3004</v>
      </c>
      <c r="C95" s="43" t="s">
        <v>35</v>
      </c>
      <c r="D95" s="43">
        <v>369</v>
      </c>
      <c r="E95" s="43">
        <v>408</v>
      </c>
      <c r="F95" s="43">
        <v>360</v>
      </c>
      <c r="G95" s="43">
        <v>323</v>
      </c>
      <c r="H95" s="43">
        <v>261</v>
      </c>
      <c r="I95" s="43">
        <v>274</v>
      </c>
      <c r="J95" s="43">
        <v>225</v>
      </c>
      <c r="K95" s="72">
        <v>303</v>
      </c>
      <c r="L95" s="43">
        <v>267</v>
      </c>
      <c r="M95" s="43">
        <v>214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U95" s="43" t="s">
        <v>92</v>
      </c>
      <c r="V95" s="43">
        <v>176</v>
      </c>
      <c r="W95" s="43" t="s">
        <v>35</v>
      </c>
      <c r="X95" s="43">
        <v>29</v>
      </c>
      <c r="Y95" s="43">
        <v>30</v>
      </c>
      <c r="Z95" s="43">
        <v>22</v>
      </c>
      <c r="AA95" s="43">
        <v>18</v>
      </c>
      <c r="AB95" s="43">
        <v>9</v>
      </c>
      <c r="AC95" s="43">
        <v>14</v>
      </c>
      <c r="AD95" s="43">
        <v>10</v>
      </c>
      <c r="AE95" s="72">
        <v>13</v>
      </c>
      <c r="AF95" s="43">
        <v>17</v>
      </c>
      <c r="AG95" s="43">
        <v>14</v>
      </c>
      <c r="AH95" s="43" t="s">
        <v>35</v>
      </c>
      <c r="AI95" s="43" t="s">
        <v>35</v>
      </c>
      <c r="AJ95" s="43" t="s">
        <v>35</v>
      </c>
      <c r="AK95" s="43" t="s">
        <v>35</v>
      </c>
      <c r="AL95" s="43" t="s">
        <v>35</v>
      </c>
      <c r="AV95" s="49"/>
    </row>
    <row r="96" spans="1:48" ht="30">
      <c r="A96" s="43" t="s">
        <v>93</v>
      </c>
      <c r="B96" s="43">
        <v>168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86</v>
      </c>
      <c r="Q96" s="43">
        <v>38</v>
      </c>
      <c r="R96" s="43">
        <v>44</v>
      </c>
      <c r="U96" s="43" t="s">
        <v>93</v>
      </c>
      <c r="V96" s="43">
        <v>17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43" t="s">
        <v>35</v>
      </c>
      <c r="AE96" s="72" t="s">
        <v>35</v>
      </c>
      <c r="AF96" s="43" t="s">
        <v>35</v>
      </c>
      <c r="AG96" s="43" t="s">
        <v>35</v>
      </c>
      <c r="AH96" s="43" t="s">
        <v>35</v>
      </c>
      <c r="AI96" s="43" t="s">
        <v>35</v>
      </c>
      <c r="AJ96" s="43">
        <v>14</v>
      </c>
      <c r="AK96" s="43">
        <v>1</v>
      </c>
      <c r="AL96" s="43">
        <v>2</v>
      </c>
      <c r="AV96" s="49"/>
    </row>
    <row r="97" spans="1:48">
      <c r="A97" s="43" t="s">
        <v>94</v>
      </c>
      <c r="B97" s="43">
        <v>312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118</v>
      </c>
      <c r="Q97" s="43">
        <v>99</v>
      </c>
      <c r="R97" s="43">
        <v>95</v>
      </c>
      <c r="U97" s="43" t="s">
        <v>94</v>
      </c>
      <c r="V97" s="43">
        <v>17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43" t="s">
        <v>35</v>
      </c>
      <c r="AE97" s="72" t="s">
        <v>35</v>
      </c>
      <c r="AF97" s="43" t="s">
        <v>35</v>
      </c>
      <c r="AG97" s="43" t="s">
        <v>35</v>
      </c>
      <c r="AH97" s="43" t="s">
        <v>35</v>
      </c>
      <c r="AI97" s="43" t="s">
        <v>35</v>
      </c>
      <c r="AJ97" s="43">
        <v>3</v>
      </c>
      <c r="AK97" s="43">
        <v>8</v>
      </c>
      <c r="AL97" s="43">
        <v>6</v>
      </c>
      <c r="AV97" s="49"/>
    </row>
    <row r="98" spans="1:48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51"/>
      <c r="U98" s="41" t="s">
        <v>50</v>
      </c>
      <c r="V98" s="51"/>
      <c r="W98" s="51"/>
      <c r="X98" s="51"/>
      <c r="Y98" s="51"/>
      <c r="Z98" s="51"/>
      <c r="AA98" s="51"/>
      <c r="AB98" s="51"/>
      <c r="AC98" s="51"/>
      <c r="AD98" s="51"/>
      <c r="AE98" s="7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2"/>
    </row>
    <row r="99" spans="1:48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51"/>
      <c r="U99" s="41"/>
      <c r="V99" s="51"/>
      <c r="W99" s="51"/>
      <c r="X99" s="51"/>
      <c r="Y99" s="51"/>
      <c r="Z99" s="51"/>
      <c r="AA99" s="51"/>
      <c r="AB99" s="51"/>
      <c r="AC99" s="51"/>
      <c r="AD99" s="51"/>
      <c r="AE99" s="7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2"/>
    </row>
    <row r="100" spans="1:48" ht="30">
      <c r="A100" s="43" t="s">
        <v>40</v>
      </c>
      <c r="B100" s="43">
        <v>185998</v>
      </c>
      <c r="C100" s="43">
        <v>597</v>
      </c>
      <c r="D100" s="43">
        <v>16157</v>
      </c>
      <c r="E100" s="43">
        <v>16486</v>
      </c>
      <c r="F100" s="43">
        <v>15908</v>
      </c>
      <c r="G100" s="43">
        <v>15992</v>
      </c>
      <c r="H100" s="43">
        <v>17344</v>
      </c>
      <c r="I100" s="43">
        <v>17262</v>
      </c>
      <c r="J100" s="43">
        <v>17521</v>
      </c>
      <c r="K100" s="72">
        <v>17548</v>
      </c>
      <c r="L100" s="43">
        <v>18045</v>
      </c>
      <c r="M100" s="43">
        <v>11168</v>
      </c>
      <c r="N100" s="43">
        <v>1531</v>
      </c>
      <c r="O100" s="43">
        <v>6700</v>
      </c>
      <c r="P100" s="43">
        <v>6997</v>
      </c>
      <c r="Q100" s="43">
        <v>6536</v>
      </c>
      <c r="R100" s="43">
        <v>206</v>
      </c>
      <c r="U100" s="43" t="s">
        <v>40</v>
      </c>
      <c r="V100" s="43">
        <v>12585</v>
      </c>
      <c r="W100" s="43">
        <v>122</v>
      </c>
      <c r="X100" s="43">
        <v>1506</v>
      </c>
      <c r="Y100" s="43">
        <v>1527</v>
      </c>
      <c r="Z100" s="43">
        <v>1318</v>
      </c>
      <c r="AA100" s="43">
        <v>1307</v>
      </c>
      <c r="AB100" s="43">
        <v>902</v>
      </c>
      <c r="AC100" s="43">
        <v>909</v>
      </c>
      <c r="AD100" s="43">
        <v>813</v>
      </c>
      <c r="AE100" s="72">
        <v>911</v>
      </c>
      <c r="AF100" s="43">
        <v>927</v>
      </c>
      <c r="AG100" s="43">
        <v>556</v>
      </c>
      <c r="AH100" s="43">
        <v>1359</v>
      </c>
      <c r="AI100" s="43">
        <v>190</v>
      </c>
      <c r="AJ100" s="43">
        <v>110</v>
      </c>
      <c r="AK100" s="43">
        <v>128</v>
      </c>
      <c r="AL100" s="43" t="s">
        <v>35</v>
      </c>
      <c r="AV100" s="49"/>
    </row>
    <row r="101" spans="1:48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51"/>
      <c r="U101" s="41"/>
      <c r="V101" s="51"/>
      <c r="W101" s="51"/>
      <c r="X101" s="51"/>
      <c r="Y101" s="51"/>
      <c r="Z101" s="51"/>
      <c r="AA101" s="51"/>
      <c r="AB101" s="51"/>
      <c r="AC101" s="51"/>
      <c r="AD101" s="51"/>
      <c r="AE101" s="7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2"/>
    </row>
    <row r="102" spans="1:48" ht="45">
      <c r="A102" s="43" t="s">
        <v>75</v>
      </c>
      <c r="B102" s="43">
        <v>597</v>
      </c>
      <c r="C102" s="43">
        <v>597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U102" s="43" t="s">
        <v>75</v>
      </c>
      <c r="V102" s="43">
        <v>122</v>
      </c>
      <c r="W102" s="43">
        <v>122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43" t="s">
        <v>35</v>
      </c>
      <c r="AE102" s="72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L102" s="43" t="s">
        <v>35</v>
      </c>
      <c r="AV102" s="49"/>
    </row>
    <row r="103" spans="1:48" ht="30">
      <c r="A103" s="43" t="s">
        <v>76</v>
      </c>
      <c r="B103" s="43">
        <v>62726</v>
      </c>
      <c r="C103" s="43" t="s">
        <v>35</v>
      </c>
      <c r="D103" s="43">
        <v>15313</v>
      </c>
      <c r="E103" s="43">
        <v>16028</v>
      </c>
      <c r="F103" s="43">
        <v>15570</v>
      </c>
      <c r="G103" s="43">
        <v>15626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189</v>
      </c>
      <c r="O103" s="43" t="s">
        <v>35</v>
      </c>
      <c r="P103" s="43" t="s">
        <v>35</v>
      </c>
      <c r="Q103" s="43" t="s">
        <v>35</v>
      </c>
      <c r="R103" s="43" t="s">
        <v>35</v>
      </c>
      <c r="U103" s="43" t="s">
        <v>76</v>
      </c>
      <c r="V103" s="43">
        <v>5771</v>
      </c>
      <c r="W103" s="43" t="s">
        <v>35</v>
      </c>
      <c r="X103" s="43">
        <v>1461</v>
      </c>
      <c r="Y103" s="43">
        <v>1523</v>
      </c>
      <c r="Z103" s="43">
        <v>1310</v>
      </c>
      <c r="AA103" s="43">
        <v>1306</v>
      </c>
      <c r="AB103" s="43" t="s">
        <v>35</v>
      </c>
      <c r="AC103" s="43" t="s">
        <v>35</v>
      </c>
      <c r="AD103" s="43" t="s">
        <v>35</v>
      </c>
      <c r="AE103" s="72" t="s">
        <v>35</v>
      </c>
      <c r="AF103" s="43" t="s">
        <v>35</v>
      </c>
      <c r="AG103" s="43" t="s">
        <v>35</v>
      </c>
      <c r="AH103" s="43">
        <v>171</v>
      </c>
      <c r="AI103" s="43" t="s">
        <v>35</v>
      </c>
      <c r="AJ103" s="43" t="s">
        <v>35</v>
      </c>
      <c r="AK103" s="43" t="s">
        <v>35</v>
      </c>
      <c r="AL103" s="43" t="s">
        <v>35</v>
      </c>
      <c r="AV103" s="49"/>
    </row>
    <row r="104" spans="1:48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U104" s="43" t="s">
        <v>77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43" t="s">
        <v>35</v>
      </c>
      <c r="AE104" s="72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L104" s="43" t="s">
        <v>35</v>
      </c>
      <c r="AV104" s="49"/>
    </row>
    <row r="105" spans="1:48" ht="30">
      <c r="A105" s="43" t="s">
        <v>78</v>
      </c>
      <c r="B105" s="43">
        <v>4921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420</v>
      </c>
      <c r="I105" s="43">
        <v>553</v>
      </c>
      <c r="J105" s="43">
        <v>630</v>
      </c>
      <c r="K105" s="72">
        <v>875</v>
      </c>
      <c r="L105" s="43">
        <v>1097</v>
      </c>
      <c r="M105" s="43">
        <v>1157</v>
      </c>
      <c r="N105" s="43">
        <v>189</v>
      </c>
      <c r="O105" s="43" t="s">
        <v>35</v>
      </c>
      <c r="P105" s="43" t="s">
        <v>35</v>
      </c>
      <c r="Q105" s="43" t="s">
        <v>35</v>
      </c>
      <c r="R105" s="43" t="s">
        <v>35</v>
      </c>
      <c r="U105" s="43" t="s">
        <v>78</v>
      </c>
      <c r="V105" s="43">
        <v>939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 t="s">
        <v>35</v>
      </c>
      <c r="AB105" s="43">
        <v>80</v>
      </c>
      <c r="AC105" s="43">
        <v>94</v>
      </c>
      <c r="AD105" s="43">
        <v>103</v>
      </c>
      <c r="AE105" s="72">
        <v>161</v>
      </c>
      <c r="AF105" s="43">
        <v>174</v>
      </c>
      <c r="AG105" s="43">
        <v>139</v>
      </c>
      <c r="AH105" s="43">
        <v>188</v>
      </c>
      <c r="AI105" s="43" t="s">
        <v>35</v>
      </c>
      <c r="AJ105" s="43" t="s">
        <v>35</v>
      </c>
      <c r="AK105" s="43" t="s">
        <v>35</v>
      </c>
      <c r="AL105" s="43" t="s">
        <v>35</v>
      </c>
      <c r="AV105" s="49"/>
    </row>
    <row r="106" spans="1:48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U106" s="43" t="s">
        <v>79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43" t="s">
        <v>35</v>
      </c>
      <c r="AE106" s="72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L106" s="43" t="s">
        <v>35</v>
      </c>
      <c r="AV106" s="49"/>
    </row>
    <row r="107" spans="1:48" ht="30">
      <c r="A107" s="43" t="s">
        <v>80</v>
      </c>
      <c r="B107" s="43">
        <v>12773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1483</v>
      </c>
      <c r="I107" s="43">
        <v>1482</v>
      </c>
      <c r="J107" s="43">
        <v>1501</v>
      </c>
      <c r="K107" s="72">
        <v>1784</v>
      </c>
      <c r="L107" s="43">
        <v>2316</v>
      </c>
      <c r="M107" s="43">
        <v>4183</v>
      </c>
      <c r="N107" s="43">
        <v>24</v>
      </c>
      <c r="O107" s="43" t="s">
        <v>35</v>
      </c>
      <c r="P107" s="43" t="s">
        <v>35</v>
      </c>
      <c r="Q107" s="43" t="s">
        <v>35</v>
      </c>
      <c r="R107" s="43" t="s">
        <v>35</v>
      </c>
      <c r="U107" s="43" t="s">
        <v>80</v>
      </c>
      <c r="V107" s="43">
        <v>768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 t="s">
        <v>35</v>
      </c>
      <c r="AB107" s="43">
        <v>103</v>
      </c>
      <c r="AC107" s="43">
        <v>102</v>
      </c>
      <c r="AD107" s="43">
        <v>84</v>
      </c>
      <c r="AE107" s="72">
        <v>124</v>
      </c>
      <c r="AF107" s="43">
        <v>158</v>
      </c>
      <c r="AG107" s="43">
        <v>173</v>
      </c>
      <c r="AH107" s="43">
        <v>24</v>
      </c>
      <c r="AI107" s="43" t="s">
        <v>35</v>
      </c>
      <c r="AJ107" s="43" t="s">
        <v>35</v>
      </c>
      <c r="AK107" s="43" t="s">
        <v>35</v>
      </c>
      <c r="AL107" s="43" t="s">
        <v>35</v>
      </c>
      <c r="AV107" s="49"/>
    </row>
    <row r="108" spans="1:48" ht="30">
      <c r="A108" s="43" t="s">
        <v>81</v>
      </c>
      <c r="B108" s="43">
        <v>28170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4406</v>
      </c>
      <c r="I108" s="43">
        <v>4934</v>
      </c>
      <c r="J108" s="43">
        <v>5201</v>
      </c>
      <c r="K108" s="72">
        <v>5228</v>
      </c>
      <c r="L108" s="43">
        <v>4999</v>
      </c>
      <c r="M108" s="43">
        <v>2860</v>
      </c>
      <c r="N108" s="43">
        <v>542</v>
      </c>
      <c r="O108" s="43" t="s">
        <v>35</v>
      </c>
      <c r="P108" s="43" t="s">
        <v>35</v>
      </c>
      <c r="Q108" s="43" t="s">
        <v>35</v>
      </c>
      <c r="R108" s="43" t="s">
        <v>35</v>
      </c>
      <c r="U108" s="43" t="s">
        <v>81</v>
      </c>
      <c r="V108" s="43">
        <v>2334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 t="s">
        <v>35</v>
      </c>
      <c r="AB108" s="43">
        <v>320</v>
      </c>
      <c r="AC108" s="43">
        <v>390</v>
      </c>
      <c r="AD108" s="43">
        <v>372</v>
      </c>
      <c r="AE108" s="72">
        <v>356</v>
      </c>
      <c r="AF108" s="43">
        <v>327</v>
      </c>
      <c r="AG108" s="43">
        <v>123</v>
      </c>
      <c r="AH108" s="43">
        <v>446</v>
      </c>
      <c r="AI108" s="43" t="s">
        <v>35</v>
      </c>
      <c r="AJ108" s="43" t="s">
        <v>35</v>
      </c>
      <c r="AK108" s="43" t="s">
        <v>35</v>
      </c>
      <c r="AL108" s="43" t="s">
        <v>35</v>
      </c>
      <c r="AV108" s="49"/>
    </row>
    <row r="109" spans="1:48" ht="30">
      <c r="A109" s="43" t="s">
        <v>82</v>
      </c>
      <c r="B109" s="43">
        <v>49062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6585</v>
      </c>
      <c r="I109" s="43">
        <v>6459</v>
      </c>
      <c r="J109" s="43">
        <v>6362</v>
      </c>
      <c r="K109" s="72">
        <v>5916</v>
      </c>
      <c r="L109" s="43">
        <v>5849</v>
      </c>
      <c r="M109" s="43" t="s">
        <v>35</v>
      </c>
      <c r="N109" s="43">
        <v>339</v>
      </c>
      <c r="O109" s="43">
        <v>6014</v>
      </c>
      <c r="P109" s="43">
        <v>5928</v>
      </c>
      <c r="Q109" s="43">
        <v>5610</v>
      </c>
      <c r="R109" s="43" t="s">
        <v>35</v>
      </c>
      <c r="U109" s="43" t="s">
        <v>82</v>
      </c>
      <c r="V109" s="43">
        <v>1371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 t="s">
        <v>35</v>
      </c>
      <c r="AB109" s="43">
        <v>175</v>
      </c>
      <c r="AC109" s="43">
        <v>138</v>
      </c>
      <c r="AD109" s="43">
        <v>126</v>
      </c>
      <c r="AE109" s="72">
        <v>138</v>
      </c>
      <c r="AF109" s="43">
        <v>119</v>
      </c>
      <c r="AG109" s="43" t="s">
        <v>35</v>
      </c>
      <c r="AH109" s="43">
        <v>300</v>
      </c>
      <c r="AI109" s="43">
        <v>176</v>
      </c>
      <c r="AJ109" s="43">
        <v>96</v>
      </c>
      <c r="AK109" s="43">
        <v>103</v>
      </c>
      <c r="AL109" s="43" t="s">
        <v>35</v>
      </c>
      <c r="AV109" s="49"/>
    </row>
    <row r="110" spans="1:48" ht="45">
      <c r="A110" s="43" t="s">
        <v>83</v>
      </c>
      <c r="B110" s="43">
        <v>12292</v>
      </c>
      <c r="C110" s="43" t="s">
        <v>35</v>
      </c>
      <c r="D110" s="43">
        <v>215</v>
      </c>
      <c r="E110" s="43">
        <v>233</v>
      </c>
      <c r="F110" s="43">
        <v>221</v>
      </c>
      <c r="G110" s="43">
        <v>239</v>
      </c>
      <c r="H110" s="43">
        <v>1959</v>
      </c>
      <c r="I110" s="43">
        <v>1956</v>
      </c>
      <c r="J110" s="43">
        <v>1870</v>
      </c>
      <c r="K110" s="72">
        <v>1655</v>
      </c>
      <c r="L110" s="43">
        <v>1554</v>
      </c>
      <c r="M110" s="43">
        <v>1068</v>
      </c>
      <c r="N110" s="43">
        <v>125</v>
      </c>
      <c r="O110" s="43" t="s">
        <v>35</v>
      </c>
      <c r="P110" s="43">
        <v>600</v>
      </c>
      <c r="Q110" s="43">
        <v>391</v>
      </c>
      <c r="R110" s="43">
        <v>206</v>
      </c>
      <c r="U110" s="43" t="s">
        <v>83</v>
      </c>
      <c r="V110" s="43">
        <v>542</v>
      </c>
      <c r="W110" s="43" t="s">
        <v>35</v>
      </c>
      <c r="X110" s="43">
        <v>1</v>
      </c>
      <c r="Y110" s="43" t="s">
        <v>35</v>
      </c>
      <c r="Z110" s="43">
        <v>1</v>
      </c>
      <c r="AA110" s="43">
        <v>1</v>
      </c>
      <c r="AB110" s="43">
        <v>98</v>
      </c>
      <c r="AC110" s="43">
        <v>101</v>
      </c>
      <c r="AD110" s="43">
        <v>68</v>
      </c>
      <c r="AE110" s="72">
        <v>45</v>
      </c>
      <c r="AF110" s="43">
        <v>47</v>
      </c>
      <c r="AG110" s="43">
        <v>37</v>
      </c>
      <c r="AH110" s="43">
        <v>125</v>
      </c>
      <c r="AI110" s="43" t="s">
        <v>35</v>
      </c>
      <c r="AJ110" s="43">
        <v>9</v>
      </c>
      <c r="AK110" s="43">
        <v>9</v>
      </c>
      <c r="AL110" s="43" t="s">
        <v>35</v>
      </c>
      <c r="AV110" s="49"/>
    </row>
    <row r="111" spans="1:48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U111" s="43" t="s">
        <v>84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43" t="s">
        <v>35</v>
      </c>
      <c r="AE111" s="72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L111" s="43" t="s">
        <v>35</v>
      </c>
      <c r="AV111" s="49"/>
    </row>
    <row r="112" spans="1:48" ht="45">
      <c r="A112" s="43" t="s">
        <v>85</v>
      </c>
      <c r="B112" s="43">
        <v>1640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197</v>
      </c>
      <c r="I112" s="43">
        <v>223</v>
      </c>
      <c r="J112" s="43">
        <v>257</v>
      </c>
      <c r="K112" s="72">
        <v>313</v>
      </c>
      <c r="L112" s="43">
        <v>318</v>
      </c>
      <c r="M112" s="43">
        <v>220</v>
      </c>
      <c r="N112" s="43">
        <v>112</v>
      </c>
      <c r="O112" s="43" t="s">
        <v>35</v>
      </c>
      <c r="P112" s="43" t="s">
        <v>35</v>
      </c>
      <c r="Q112" s="43" t="s">
        <v>35</v>
      </c>
      <c r="R112" s="43" t="s">
        <v>35</v>
      </c>
      <c r="U112" s="43" t="s">
        <v>85</v>
      </c>
      <c r="V112" s="43">
        <v>230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 t="s">
        <v>35</v>
      </c>
      <c r="AB112" s="43">
        <v>25</v>
      </c>
      <c r="AC112" s="43">
        <v>24</v>
      </c>
      <c r="AD112" s="43">
        <v>20</v>
      </c>
      <c r="AE112" s="72">
        <v>25</v>
      </c>
      <c r="AF112" s="43">
        <v>21</v>
      </c>
      <c r="AG112" s="43">
        <v>21</v>
      </c>
      <c r="AH112" s="43">
        <v>94</v>
      </c>
      <c r="AI112" s="43" t="s">
        <v>35</v>
      </c>
      <c r="AJ112" s="43" t="s">
        <v>35</v>
      </c>
      <c r="AK112" s="43" t="s">
        <v>35</v>
      </c>
      <c r="AL112" s="43" t="s">
        <v>35</v>
      </c>
      <c r="AV112" s="49"/>
    </row>
    <row r="113" spans="1:48" ht="45">
      <c r="A113" s="43" t="s">
        <v>86</v>
      </c>
      <c r="B113" s="43">
        <v>4537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709</v>
      </c>
      <c r="I113" s="43">
        <v>687</v>
      </c>
      <c r="J113" s="43">
        <v>732</v>
      </c>
      <c r="K113" s="72">
        <v>816</v>
      </c>
      <c r="L113" s="43">
        <v>775</v>
      </c>
      <c r="M113" s="43">
        <v>807</v>
      </c>
      <c r="N113" s="43">
        <v>11</v>
      </c>
      <c r="O113" s="43" t="s">
        <v>35</v>
      </c>
      <c r="P113" s="43" t="s">
        <v>35</v>
      </c>
      <c r="Q113" s="43" t="s">
        <v>35</v>
      </c>
      <c r="R113" s="43" t="s">
        <v>35</v>
      </c>
      <c r="U113" s="43" t="s">
        <v>86</v>
      </c>
      <c r="V113" s="43">
        <v>167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 t="s">
        <v>35</v>
      </c>
      <c r="AB113" s="43">
        <v>35</v>
      </c>
      <c r="AC113" s="43">
        <v>22</v>
      </c>
      <c r="AD113" s="43">
        <v>22</v>
      </c>
      <c r="AE113" s="72">
        <v>28</v>
      </c>
      <c r="AF113" s="43">
        <v>23</v>
      </c>
      <c r="AG113" s="43">
        <v>26</v>
      </c>
      <c r="AH113" s="43">
        <v>11</v>
      </c>
      <c r="AI113" s="43" t="s">
        <v>35</v>
      </c>
      <c r="AJ113" s="43" t="s">
        <v>35</v>
      </c>
      <c r="AK113" s="43" t="s">
        <v>35</v>
      </c>
      <c r="AL113" s="43" t="s">
        <v>35</v>
      </c>
      <c r="AV113" s="49"/>
    </row>
    <row r="114" spans="1:48" ht="60">
      <c r="A114" s="43" t="s">
        <v>87</v>
      </c>
      <c r="B114" s="43">
        <v>4610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554</v>
      </c>
      <c r="I114" s="43">
        <v>617</v>
      </c>
      <c r="J114" s="43">
        <v>605</v>
      </c>
      <c r="K114" s="72">
        <v>544</v>
      </c>
      <c r="L114" s="43">
        <v>600</v>
      </c>
      <c r="M114" s="43" t="s">
        <v>35</v>
      </c>
      <c r="N114" s="43" t="s">
        <v>35</v>
      </c>
      <c r="O114" s="43">
        <v>686</v>
      </c>
      <c r="P114" s="43">
        <v>469</v>
      </c>
      <c r="Q114" s="43">
        <v>535</v>
      </c>
      <c r="R114" s="43" t="s">
        <v>35</v>
      </c>
      <c r="U114" s="43" t="s">
        <v>87</v>
      </c>
      <c r="V114" s="43">
        <v>106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 t="s">
        <v>35</v>
      </c>
      <c r="AB114" s="43">
        <v>16</v>
      </c>
      <c r="AC114" s="43">
        <v>16</v>
      </c>
      <c r="AD114" s="43">
        <v>8</v>
      </c>
      <c r="AE114" s="72">
        <v>7</v>
      </c>
      <c r="AF114" s="43">
        <v>24</v>
      </c>
      <c r="AG114" s="43" t="s">
        <v>35</v>
      </c>
      <c r="AH114" s="43" t="s">
        <v>35</v>
      </c>
      <c r="AI114" s="43">
        <v>14</v>
      </c>
      <c r="AJ114" s="43">
        <v>5</v>
      </c>
      <c r="AK114" s="43">
        <v>16</v>
      </c>
      <c r="AL114" s="43" t="s">
        <v>35</v>
      </c>
      <c r="AV114" s="49"/>
    </row>
    <row r="115" spans="1:48" ht="75">
      <c r="A115" s="43" t="s">
        <v>88</v>
      </c>
      <c r="B115" s="43">
        <v>346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57</v>
      </c>
      <c r="I115" s="43">
        <v>41</v>
      </c>
      <c r="J115" s="43">
        <v>61</v>
      </c>
      <c r="K115" s="72">
        <v>62</v>
      </c>
      <c r="L115" s="43">
        <v>61</v>
      </c>
      <c r="M115" s="43">
        <v>64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U115" s="43" t="s">
        <v>88</v>
      </c>
      <c r="V115" s="43">
        <v>2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 t="s">
        <v>35</v>
      </c>
      <c r="AC115" s="43" t="s">
        <v>35</v>
      </c>
      <c r="AD115" s="43" t="s">
        <v>35</v>
      </c>
      <c r="AE115" s="72">
        <v>2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L115" s="43" t="s">
        <v>35</v>
      </c>
      <c r="AV115" s="49"/>
    </row>
    <row r="116" spans="1:48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U116" s="43" t="s">
        <v>89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43" t="s">
        <v>35</v>
      </c>
      <c r="AE116" s="72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L116" s="43" t="s">
        <v>35</v>
      </c>
      <c r="AV116" s="49"/>
    </row>
    <row r="117" spans="1:48" ht="45">
      <c r="A117" s="43" t="s">
        <v>90</v>
      </c>
      <c r="B117" s="43">
        <v>1482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190</v>
      </c>
      <c r="I117" s="43">
        <v>215</v>
      </c>
      <c r="J117" s="43">
        <v>191</v>
      </c>
      <c r="K117" s="72">
        <v>279</v>
      </c>
      <c r="L117" s="43">
        <v>377</v>
      </c>
      <c r="M117" s="43">
        <v>230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U117" s="43" t="s">
        <v>90</v>
      </c>
      <c r="V117" s="43">
        <v>108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>
        <v>13</v>
      </c>
      <c r="AC117" s="43">
        <v>19</v>
      </c>
      <c r="AD117" s="43">
        <v>8</v>
      </c>
      <c r="AE117" s="72">
        <v>24</v>
      </c>
      <c r="AF117" s="43">
        <v>29</v>
      </c>
      <c r="AG117" s="43">
        <v>15</v>
      </c>
      <c r="AH117" s="43" t="s">
        <v>35</v>
      </c>
      <c r="AI117" s="43" t="s">
        <v>35</v>
      </c>
      <c r="AJ117" s="43" t="s">
        <v>35</v>
      </c>
      <c r="AK117" s="43" t="s">
        <v>35</v>
      </c>
      <c r="AL117" s="43" t="s">
        <v>35</v>
      </c>
      <c r="AV117" s="49"/>
    </row>
    <row r="118" spans="1:48" ht="60">
      <c r="A118" s="43" t="s">
        <v>91</v>
      </c>
      <c r="B118" s="43">
        <v>1684</v>
      </c>
      <c r="C118" s="43" t="s">
        <v>35</v>
      </c>
      <c r="D118" s="43">
        <v>439</v>
      </c>
      <c r="E118" s="43" t="s">
        <v>35</v>
      </c>
      <c r="F118" s="43" t="s">
        <v>35</v>
      </c>
      <c r="G118" s="43" t="s">
        <v>35</v>
      </c>
      <c r="H118" s="43">
        <v>718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527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U118" s="43" t="s">
        <v>91</v>
      </c>
      <c r="V118" s="43">
        <v>85</v>
      </c>
      <c r="W118" s="43" t="s">
        <v>35</v>
      </c>
      <c r="X118" s="43">
        <v>33</v>
      </c>
      <c r="Y118" s="43" t="s">
        <v>35</v>
      </c>
      <c r="Z118" s="43" t="s">
        <v>35</v>
      </c>
      <c r="AA118" s="43" t="s">
        <v>35</v>
      </c>
      <c r="AB118" s="43">
        <v>35</v>
      </c>
      <c r="AC118" s="43" t="s">
        <v>35</v>
      </c>
      <c r="AD118" s="43" t="s">
        <v>35</v>
      </c>
      <c r="AE118" s="72" t="s">
        <v>35</v>
      </c>
      <c r="AF118" s="43" t="s">
        <v>35</v>
      </c>
      <c r="AG118" s="43">
        <v>17</v>
      </c>
      <c r="AH118" s="43" t="s">
        <v>35</v>
      </c>
      <c r="AI118" s="43" t="s">
        <v>35</v>
      </c>
      <c r="AJ118" s="43" t="s">
        <v>35</v>
      </c>
      <c r="AK118" s="43" t="s">
        <v>35</v>
      </c>
      <c r="AL118" s="43" t="s">
        <v>35</v>
      </c>
      <c r="AV118" s="49"/>
    </row>
    <row r="119" spans="1:48" ht="60">
      <c r="A119" s="43" t="s">
        <v>92</v>
      </c>
      <c r="B119" s="43">
        <v>1158</v>
      </c>
      <c r="C119" s="43" t="s">
        <v>35</v>
      </c>
      <c r="D119" s="43">
        <v>190</v>
      </c>
      <c r="E119" s="43">
        <v>225</v>
      </c>
      <c r="F119" s="43">
        <v>117</v>
      </c>
      <c r="G119" s="43">
        <v>127</v>
      </c>
      <c r="H119" s="43">
        <v>66</v>
      </c>
      <c r="I119" s="43">
        <v>95</v>
      </c>
      <c r="J119" s="43">
        <v>111</v>
      </c>
      <c r="K119" s="72">
        <v>76</v>
      </c>
      <c r="L119" s="43">
        <v>99</v>
      </c>
      <c r="M119" s="43">
        <v>52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U119" s="43" t="s">
        <v>92</v>
      </c>
      <c r="V119" s="43">
        <v>40</v>
      </c>
      <c r="W119" s="43" t="s">
        <v>35</v>
      </c>
      <c r="X119" s="43">
        <v>11</v>
      </c>
      <c r="Y119" s="43">
        <v>4</v>
      </c>
      <c r="Z119" s="43">
        <v>7</v>
      </c>
      <c r="AA119" s="43" t="s">
        <v>35</v>
      </c>
      <c r="AB119" s="43">
        <v>2</v>
      </c>
      <c r="AC119" s="43">
        <v>3</v>
      </c>
      <c r="AD119" s="43">
        <v>2</v>
      </c>
      <c r="AE119" s="72">
        <v>1</v>
      </c>
      <c r="AF119" s="43">
        <v>5</v>
      </c>
      <c r="AG119" s="43">
        <v>5</v>
      </c>
      <c r="AH119" s="43" t="s">
        <v>35</v>
      </c>
      <c r="AI119" s="43" t="s">
        <v>35</v>
      </c>
      <c r="AJ119" s="43" t="s">
        <v>35</v>
      </c>
      <c r="AK119" s="43" t="s">
        <v>35</v>
      </c>
      <c r="AL119" s="43" t="s">
        <v>35</v>
      </c>
      <c r="AV119" s="49"/>
    </row>
    <row r="120" spans="1:48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U120" s="43" t="s">
        <v>93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43" t="s">
        <v>35</v>
      </c>
      <c r="AE120" s="72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L120" s="43" t="s">
        <v>35</v>
      </c>
      <c r="AV120" s="49"/>
    </row>
    <row r="121" spans="1:48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U121" s="43" t="s">
        <v>94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43" t="s">
        <v>35</v>
      </c>
      <c r="AE121" s="72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L121" s="43" t="s">
        <v>35</v>
      </c>
      <c r="AV121" s="49"/>
    </row>
    <row r="122" spans="1:48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51"/>
      <c r="U122" s="41" t="s">
        <v>51</v>
      </c>
      <c r="V122" s="51"/>
      <c r="W122" s="51"/>
      <c r="X122" s="51"/>
      <c r="Y122" s="51"/>
      <c r="Z122" s="51"/>
      <c r="AA122" s="51"/>
      <c r="AB122" s="51"/>
      <c r="AC122" s="51"/>
      <c r="AD122" s="51"/>
      <c r="AE122" s="7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2"/>
    </row>
    <row r="123" spans="1:48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51"/>
      <c r="U123" s="41"/>
      <c r="V123" s="51"/>
      <c r="W123" s="51"/>
      <c r="X123" s="51"/>
      <c r="Y123" s="51"/>
      <c r="Z123" s="51"/>
      <c r="AA123" s="51"/>
      <c r="AB123" s="51"/>
      <c r="AC123" s="51"/>
      <c r="AD123" s="51"/>
      <c r="AE123" s="7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2"/>
    </row>
    <row r="124" spans="1:48" ht="30">
      <c r="A124" s="43" t="s">
        <v>40</v>
      </c>
      <c r="B124" s="43">
        <v>277118</v>
      </c>
      <c r="C124" s="43">
        <v>967</v>
      </c>
      <c r="D124" s="43">
        <v>23916</v>
      </c>
      <c r="E124" s="43">
        <v>24162</v>
      </c>
      <c r="F124" s="43">
        <v>23722</v>
      </c>
      <c r="G124" s="43">
        <v>23468</v>
      </c>
      <c r="H124" s="43">
        <v>26060</v>
      </c>
      <c r="I124" s="43">
        <v>25891</v>
      </c>
      <c r="J124" s="43">
        <v>26388</v>
      </c>
      <c r="K124" s="72">
        <v>26361</v>
      </c>
      <c r="L124" s="43">
        <v>27396</v>
      </c>
      <c r="M124" s="43">
        <v>17049</v>
      </c>
      <c r="N124" s="43">
        <v>2844</v>
      </c>
      <c r="O124" s="43">
        <v>8997</v>
      </c>
      <c r="P124" s="43">
        <v>10098</v>
      </c>
      <c r="Q124" s="43">
        <v>8843</v>
      </c>
      <c r="R124" s="43">
        <v>956</v>
      </c>
      <c r="U124" s="43" t="s">
        <v>40</v>
      </c>
      <c r="V124" s="43">
        <v>23836</v>
      </c>
      <c r="W124" s="43">
        <v>281</v>
      </c>
      <c r="X124" s="43">
        <v>2882</v>
      </c>
      <c r="Y124" s="43">
        <v>2565</v>
      </c>
      <c r="Z124" s="43">
        <v>2330</v>
      </c>
      <c r="AA124" s="43">
        <v>2199</v>
      </c>
      <c r="AB124" s="43">
        <v>1836</v>
      </c>
      <c r="AC124" s="43">
        <v>1656</v>
      </c>
      <c r="AD124" s="43">
        <v>1736</v>
      </c>
      <c r="AE124" s="72">
        <v>1688</v>
      </c>
      <c r="AF124" s="43">
        <v>1936</v>
      </c>
      <c r="AG124" s="43">
        <v>1208</v>
      </c>
      <c r="AH124" s="43">
        <v>2680</v>
      </c>
      <c r="AI124" s="43">
        <v>416</v>
      </c>
      <c r="AJ124" s="43">
        <v>245</v>
      </c>
      <c r="AK124" s="43">
        <v>158</v>
      </c>
      <c r="AL124" s="43">
        <v>20</v>
      </c>
      <c r="AV124" s="49"/>
    </row>
    <row r="125" spans="1:48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51"/>
      <c r="U125" s="41"/>
      <c r="V125" s="51"/>
      <c r="W125" s="51"/>
      <c r="X125" s="51"/>
      <c r="Y125" s="51"/>
      <c r="Z125" s="51"/>
      <c r="AA125" s="51"/>
      <c r="AB125" s="51"/>
      <c r="AC125" s="51"/>
      <c r="AD125" s="51"/>
      <c r="AE125" s="7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2"/>
    </row>
    <row r="126" spans="1:48" ht="45">
      <c r="A126" s="43" t="s">
        <v>75</v>
      </c>
      <c r="B126" s="43">
        <v>967</v>
      </c>
      <c r="C126" s="43">
        <v>967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U126" s="43" t="s">
        <v>75</v>
      </c>
      <c r="V126" s="43">
        <v>281</v>
      </c>
      <c r="W126" s="43">
        <v>281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43" t="s">
        <v>35</v>
      </c>
      <c r="AE126" s="72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L126" s="43" t="s">
        <v>35</v>
      </c>
      <c r="AV126" s="49"/>
    </row>
    <row r="127" spans="1:48" ht="30">
      <c r="A127" s="43" t="s">
        <v>76</v>
      </c>
      <c r="B127" s="43">
        <v>92503</v>
      </c>
      <c r="C127" s="43" t="s">
        <v>35</v>
      </c>
      <c r="D127" s="43">
        <v>22511</v>
      </c>
      <c r="E127" s="43">
        <v>23351</v>
      </c>
      <c r="F127" s="43">
        <v>23033</v>
      </c>
      <c r="G127" s="43">
        <v>22873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735</v>
      </c>
      <c r="O127" s="43" t="s">
        <v>35</v>
      </c>
      <c r="P127" s="43" t="s">
        <v>35</v>
      </c>
      <c r="Q127" s="43" t="s">
        <v>35</v>
      </c>
      <c r="R127" s="43" t="s">
        <v>35</v>
      </c>
      <c r="U127" s="43" t="s">
        <v>76</v>
      </c>
      <c r="V127" s="43">
        <v>10460</v>
      </c>
      <c r="W127" s="43" t="s">
        <v>35</v>
      </c>
      <c r="X127" s="43">
        <v>2746</v>
      </c>
      <c r="Y127" s="43">
        <v>2525</v>
      </c>
      <c r="Z127" s="43">
        <v>2303</v>
      </c>
      <c r="AA127" s="43">
        <v>2168</v>
      </c>
      <c r="AB127" s="43" t="s">
        <v>35</v>
      </c>
      <c r="AC127" s="43" t="s">
        <v>35</v>
      </c>
      <c r="AD127" s="43" t="s">
        <v>35</v>
      </c>
      <c r="AE127" s="72" t="s">
        <v>35</v>
      </c>
      <c r="AF127" s="43" t="s">
        <v>35</v>
      </c>
      <c r="AG127" s="43" t="s">
        <v>35</v>
      </c>
      <c r="AH127" s="43">
        <v>718</v>
      </c>
      <c r="AI127" s="43" t="s">
        <v>35</v>
      </c>
      <c r="AJ127" s="43" t="s">
        <v>35</v>
      </c>
      <c r="AK127" s="43" t="s">
        <v>35</v>
      </c>
      <c r="AL127" s="43" t="s">
        <v>35</v>
      </c>
      <c r="AV127" s="49"/>
    </row>
    <row r="128" spans="1:48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U128" s="43" t="s">
        <v>77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43" t="s">
        <v>35</v>
      </c>
      <c r="AE128" s="72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L128" s="43" t="s">
        <v>35</v>
      </c>
      <c r="AV128" s="49"/>
    </row>
    <row r="129" spans="1:48" ht="30">
      <c r="A129" s="43" t="s">
        <v>78</v>
      </c>
      <c r="B129" s="43">
        <v>9670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709</v>
      </c>
      <c r="I129" s="43">
        <v>966</v>
      </c>
      <c r="J129" s="43">
        <v>1330</v>
      </c>
      <c r="K129" s="72">
        <v>1809</v>
      </c>
      <c r="L129" s="43">
        <v>2337</v>
      </c>
      <c r="M129" s="43">
        <v>2229</v>
      </c>
      <c r="N129" s="43">
        <v>290</v>
      </c>
      <c r="O129" s="43" t="s">
        <v>35</v>
      </c>
      <c r="P129" s="43" t="s">
        <v>35</v>
      </c>
      <c r="Q129" s="43" t="s">
        <v>35</v>
      </c>
      <c r="R129" s="43" t="s">
        <v>35</v>
      </c>
      <c r="U129" s="43" t="s">
        <v>78</v>
      </c>
      <c r="V129" s="43">
        <v>1799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 t="s">
        <v>35</v>
      </c>
      <c r="AB129" s="43">
        <v>108</v>
      </c>
      <c r="AC129" s="43">
        <v>175</v>
      </c>
      <c r="AD129" s="43">
        <v>229</v>
      </c>
      <c r="AE129" s="72">
        <v>293</v>
      </c>
      <c r="AF129" s="43">
        <v>394</v>
      </c>
      <c r="AG129" s="43">
        <v>310</v>
      </c>
      <c r="AH129" s="43">
        <v>290</v>
      </c>
      <c r="AI129" s="43" t="s">
        <v>35</v>
      </c>
      <c r="AJ129" s="43" t="s">
        <v>35</v>
      </c>
      <c r="AK129" s="43" t="s">
        <v>35</v>
      </c>
      <c r="AL129" s="43" t="s">
        <v>35</v>
      </c>
      <c r="AV129" s="49"/>
    </row>
    <row r="130" spans="1:48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U130" s="43" t="s">
        <v>79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43" t="s">
        <v>35</v>
      </c>
      <c r="AE130" s="72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L130" s="43" t="s">
        <v>35</v>
      </c>
      <c r="AV130" s="49"/>
    </row>
    <row r="131" spans="1:48" ht="30">
      <c r="A131" s="43" t="s">
        <v>80</v>
      </c>
      <c r="B131" s="43">
        <v>23005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2458</v>
      </c>
      <c r="I131" s="43">
        <v>2545</v>
      </c>
      <c r="J131" s="43">
        <v>3169</v>
      </c>
      <c r="K131" s="72">
        <v>3926</v>
      </c>
      <c r="L131" s="43">
        <v>4665</v>
      </c>
      <c r="M131" s="43">
        <v>6084</v>
      </c>
      <c r="N131" s="43">
        <v>158</v>
      </c>
      <c r="O131" s="43" t="s">
        <v>35</v>
      </c>
      <c r="P131" s="43" t="s">
        <v>35</v>
      </c>
      <c r="Q131" s="43" t="s">
        <v>35</v>
      </c>
      <c r="R131" s="43" t="s">
        <v>35</v>
      </c>
      <c r="U131" s="43" t="s">
        <v>80</v>
      </c>
      <c r="V131" s="43">
        <v>1665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 t="s">
        <v>35</v>
      </c>
      <c r="AB131" s="43">
        <v>178</v>
      </c>
      <c r="AC131" s="43">
        <v>203</v>
      </c>
      <c r="AD131" s="43">
        <v>217</v>
      </c>
      <c r="AE131" s="72">
        <v>258</v>
      </c>
      <c r="AF131" s="43">
        <v>357</v>
      </c>
      <c r="AG131" s="43">
        <v>332</v>
      </c>
      <c r="AH131" s="43">
        <v>120</v>
      </c>
      <c r="AI131" s="43" t="s">
        <v>35</v>
      </c>
      <c r="AJ131" s="43" t="s">
        <v>35</v>
      </c>
      <c r="AK131" s="43" t="s">
        <v>35</v>
      </c>
      <c r="AL131" s="43" t="s">
        <v>35</v>
      </c>
      <c r="AV131" s="49"/>
    </row>
    <row r="132" spans="1:48" ht="30">
      <c r="A132" s="43" t="s">
        <v>81</v>
      </c>
      <c r="B132" s="43">
        <v>42922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7683</v>
      </c>
      <c r="I132" s="43">
        <v>8044</v>
      </c>
      <c r="J132" s="43">
        <v>8016</v>
      </c>
      <c r="K132" s="72">
        <v>7326</v>
      </c>
      <c r="L132" s="43">
        <v>6865</v>
      </c>
      <c r="M132" s="43">
        <v>4000</v>
      </c>
      <c r="N132" s="43">
        <v>988</v>
      </c>
      <c r="O132" s="43" t="s">
        <v>35</v>
      </c>
      <c r="P132" s="43" t="s">
        <v>35</v>
      </c>
      <c r="Q132" s="43" t="s">
        <v>35</v>
      </c>
      <c r="R132" s="43" t="s">
        <v>35</v>
      </c>
      <c r="U132" s="43" t="s">
        <v>81</v>
      </c>
      <c r="V132" s="43">
        <v>5003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 t="s">
        <v>35</v>
      </c>
      <c r="AB132" s="43">
        <v>853</v>
      </c>
      <c r="AC132" s="43">
        <v>779</v>
      </c>
      <c r="AD132" s="43">
        <v>825</v>
      </c>
      <c r="AE132" s="72">
        <v>675</v>
      </c>
      <c r="AF132" s="43">
        <v>651</v>
      </c>
      <c r="AG132" s="43">
        <v>297</v>
      </c>
      <c r="AH132" s="43">
        <v>923</v>
      </c>
      <c r="AI132" s="43" t="s">
        <v>35</v>
      </c>
      <c r="AJ132" s="43" t="s">
        <v>35</v>
      </c>
      <c r="AK132" s="43" t="s">
        <v>35</v>
      </c>
      <c r="AL132" s="43" t="s">
        <v>35</v>
      </c>
      <c r="AV132" s="49"/>
    </row>
    <row r="133" spans="1:48" ht="30">
      <c r="A133" s="43" t="s">
        <v>82</v>
      </c>
      <c r="B133" s="43">
        <v>68075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9141</v>
      </c>
      <c r="I133" s="43">
        <v>9294</v>
      </c>
      <c r="J133" s="43">
        <v>8932</v>
      </c>
      <c r="K133" s="72">
        <v>8348</v>
      </c>
      <c r="L133" s="43">
        <v>8260</v>
      </c>
      <c r="M133" s="43" t="s">
        <v>35</v>
      </c>
      <c r="N133" s="43">
        <v>292</v>
      </c>
      <c r="O133" s="43">
        <v>8628</v>
      </c>
      <c r="P133" s="43">
        <v>7954</v>
      </c>
      <c r="Q133" s="43">
        <v>7226</v>
      </c>
      <c r="R133" s="43" t="s">
        <v>35</v>
      </c>
      <c r="U133" s="43" t="s">
        <v>82</v>
      </c>
      <c r="V133" s="43">
        <v>2311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 t="s">
        <v>35</v>
      </c>
      <c r="AB133" s="43">
        <v>334</v>
      </c>
      <c r="AC133" s="43">
        <v>255</v>
      </c>
      <c r="AD133" s="43">
        <v>259</v>
      </c>
      <c r="AE133" s="72">
        <v>213</v>
      </c>
      <c r="AF133" s="43">
        <v>271</v>
      </c>
      <c r="AG133" s="43" t="s">
        <v>35</v>
      </c>
      <c r="AH133" s="43">
        <v>266</v>
      </c>
      <c r="AI133" s="43">
        <v>402</v>
      </c>
      <c r="AJ133" s="43">
        <v>181</v>
      </c>
      <c r="AK133" s="43">
        <v>130</v>
      </c>
      <c r="AL133" s="43" t="s">
        <v>35</v>
      </c>
      <c r="AV133" s="49"/>
    </row>
    <row r="134" spans="1:48" ht="45">
      <c r="A134" s="43" t="s">
        <v>83</v>
      </c>
      <c r="B134" s="43">
        <v>20584</v>
      </c>
      <c r="C134" s="43" t="s">
        <v>35</v>
      </c>
      <c r="D134" s="43">
        <v>149</v>
      </c>
      <c r="E134" s="43">
        <v>172</v>
      </c>
      <c r="F134" s="43">
        <v>185</v>
      </c>
      <c r="G134" s="43">
        <v>177</v>
      </c>
      <c r="H134" s="43">
        <v>2942</v>
      </c>
      <c r="I134" s="43">
        <v>2909</v>
      </c>
      <c r="J134" s="43">
        <v>2819</v>
      </c>
      <c r="K134" s="72">
        <v>2603</v>
      </c>
      <c r="L134" s="43">
        <v>2763</v>
      </c>
      <c r="M134" s="43">
        <v>2636</v>
      </c>
      <c r="N134" s="43">
        <v>282</v>
      </c>
      <c r="O134" s="43" t="s">
        <v>35</v>
      </c>
      <c r="P134" s="43">
        <v>1311</v>
      </c>
      <c r="Q134" s="43">
        <v>933</v>
      </c>
      <c r="R134" s="43">
        <v>703</v>
      </c>
      <c r="U134" s="43" t="s">
        <v>83</v>
      </c>
      <c r="V134" s="43">
        <v>969</v>
      </c>
      <c r="W134" s="43" t="s">
        <v>35</v>
      </c>
      <c r="X134" s="43" t="s">
        <v>35</v>
      </c>
      <c r="Y134" s="43">
        <v>2</v>
      </c>
      <c r="Z134" s="43">
        <v>1</v>
      </c>
      <c r="AA134" s="43">
        <v>1</v>
      </c>
      <c r="AB134" s="43">
        <v>124</v>
      </c>
      <c r="AC134" s="43">
        <v>110</v>
      </c>
      <c r="AD134" s="43">
        <v>97</v>
      </c>
      <c r="AE134" s="72">
        <v>114</v>
      </c>
      <c r="AF134" s="43">
        <v>105</v>
      </c>
      <c r="AG134" s="43">
        <v>99</v>
      </c>
      <c r="AH134" s="43">
        <v>264</v>
      </c>
      <c r="AI134" s="43" t="s">
        <v>35</v>
      </c>
      <c r="AJ134" s="43">
        <v>29</v>
      </c>
      <c r="AK134" s="43">
        <v>14</v>
      </c>
      <c r="AL134" s="43">
        <v>9</v>
      </c>
      <c r="AV134" s="49"/>
    </row>
    <row r="135" spans="1:48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U135" s="43" t="s">
        <v>84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43" t="s">
        <v>35</v>
      </c>
      <c r="AE135" s="72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L135" s="43" t="s">
        <v>35</v>
      </c>
      <c r="AV135" s="49"/>
    </row>
    <row r="136" spans="1:48" ht="45">
      <c r="A136" s="43" t="s">
        <v>85</v>
      </c>
      <c r="B136" s="43">
        <v>1308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151</v>
      </c>
      <c r="I136" s="43">
        <v>209</v>
      </c>
      <c r="J136" s="43">
        <v>221</v>
      </c>
      <c r="K136" s="72">
        <v>245</v>
      </c>
      <c r="L136" s="43">
        <v>249</v>
      </c>
      <c r="M136" s="43">
        <v>187</v>
      </c>
      <c r="N136" s="43">
        <v>46</v>
      </c>
      <c r="O136" s="43" t="s">
        <v>35</v>
      </c>
      <c r="P136" s="43" t="s">
        <v>35</v>
      </c>
      <c r="Q136" s="43" t="s">
        <v>35</v>
      </c>
      <c r="R136" s="43" t="s">
        <v>35</v>
      </c>
      <c r="U136" s="43" t="s">
        <v>85</v>
      </c>
      <c r="V136" s="43">
        <v>185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 t="s">
        <v>35</v>
      </c>
      <c r="AB136" s="43">
        <v>21</v>
      </c>
      <c r="AC136" s="43">
        <v>23</v>
      </c>
      <c r="AD136" s="43">
        <v>18</v>
      </c>
      <c r="AE136" s="72">
        <v>29</v>
      </c>
      <c r="AF136" s="43">
        <v>32</v>
      </c>
      <c r="AG136" s="43">
        <v>16</v>
      </c>
      <c r="AH136" s="43">
        <v>46</v>
      </c>
      <c r="AI136" s="43" t="s">
        <v>35</v>
      </c>
      <c r="AJ136" s="43" t="s">
        <v>35</v>
      </c>
      <c r="AK136" s="43" t="s">
        <v>35</v>
      </c>
      <c r="AL136" s="43" t="s">
        <v>35</v>
      </c>
      <c r="AV136" s="49"/>
    </row>
    <row r="137" spans="1:48" ht="45">
      <c r="A137" s="43" t="s">
        <v>86</v>
      </c>
      <c r="B137" s="43">
        <v>3095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484</v>
      </c>
      <c r="I137" s="43">
        <v>472</v>
      </c>
      <c r="J137" s="43">
        <v>497</v>
      </c>
      <c r="K137" s="72">
        <v>504</v>
      </c>
      <c r="L137" s="43">
        <v>559</v>
      </c>
      <c r="M137" s="43">
        <v>550</v>
      </c>
      <c r="N137" s="43">
        <v>29</v>
      </c>
      <c r="O137" s="43" t="s">
        <v>35</v>
      </c>
      <c r="P137" s="43" t="s">
        <v>35</v>
      </c>
      <c r="Q137" s="43" t="s">
        <v>35</v>
      </c>
      <c r="R137" s="43" t="s">
        <v>35</v>
      </c>
      <c r="U137" s="43" t="s">
        <v>86</v>
      </c>
      <c r="V137" s="43">
        <v>190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 t="s">
        <v>35</v>
      </c>
      <c r="AB137" s="43">
        <v>29</v>
      </c>
      <c r="AC137" s="43">
        <v>23</v>
      </c>
      <c r="AD137" s="43">
        <v>25</v>
      </c>
      <c r="AE137" s="72">
        <v>21</v>
      </c>
      <c r="AF137" s="43">
        <v>26</v>
      </c>
      <c r="AG137" s="43">
        <v>37</v>
      </c>
      <c r="AH137" s="43">
        <v>29</v>
      </c>
      <c r="AI137" s="43" t="s">
        <v>35</v>
      </c>
      <c r="AJ137" s="43" t="s">
        <v>35</v>
      </c>
      <c r="AK137" s="43" t="s">
        <v>35</v>
      </c>
      <c r="AL137" s="43" t="s">
        <v>35</v>
      </c>
      <c r="AV137" s="49"/>
    </row>
    <row r="138" spans="1:48" ht="60">
      <c r="A138" s="43" t="s">
        <v>87</v>
      </c>
      <c r="B138" s="43">
        <v>3075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355</v>
      </c>
      <c r="I138" s="43">
        <v>423</v>
      </c>
      <c r="J138" s="43">
        <v>403</v>
      </c>
      <c r="K138" s="72">
        <v>380</v>
      </c>
      <c r="L138" s="43">
        <v>393</v>
      </c>
      <c r="M138" s="43" t="s">
        <v>35</v>
      </c>
      <c r="N138" s="43">
        <v>24</v>
      </c>
      <c r="O138" s="43">
        <v>369</v>
      </c>
      <c r="P138" s="43">
        <v>374</v>
      </c>
      <c r="Q138" s="43">
        <v>354</v>
      </c>
      <c r="R138" s="43" t="s">
        <v>35</v>
      </c>
      <c r="U138" s="43" t="s">
        <v>87</v>
      </c>
      <c r="V138" s="43">
        <v>103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 t="s">
        <v>35</v>
      </c>
      <c r="AB138" s="43">
        <v>12</v>
      </c>
      <c r="AC138" s="43">
        <v>17</v>
      </c>
      <c r="AD138" s="43">
        <v>7</v>
      </c>
      <c r="AE138" s="72">
        <v>12</v>
      </c>
      <c r="AF138" s="43">
        <v>9</v>
      </c>
      <c r="AG138" s="43" t="s">
        <v>35</v>
      </c>
      <c r="AH138" s="43">
        <v>24</v>
      </c>
      <c r="AI138" s="43">
        <v>14</v>
      </c>
      <c r="AJ138" s="43">
        <v>3</v>
      </c>
      <c r="AK138" s="43">
        <v>5</v>
      </c>
      <c r="AL138" s="43" t="s">
        <v>35</v>
      </c>
      <c r="AV138" s="49"/>
    </row>
    <row r="139" spans="1:48" ht="75">
      <c r="A139" s="43" t="s">
        <v>88</v>
      </c>
      <c r="B139" s="43">
        <v>1443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138</v>
      </c>
      <c r="I139" s="43">
        <v>173</v>
      </c>
      <c r="J139" s="43">
        <v>178</v>
      </c>
      <c r="K139" s="72">
        <v>196</v>
      </c>
      <c r="L139" s="43">
        <v>186</v>
      </c>
      <c r="M139" s="43">
        <v>158</v>
      </c>
      <c r="N139" s="43" t="s">
        <v>35</v>
      </c>
      <c r="O139" s="43" t="s">
        <v>35</v>
      </c>
      <c r="P139" s="43">
        <v>150</v>
      </c>
      <c r="Q139" s="43">
        <v>138</v>
      </c>
      <c r="R139" s="43">
        <v>126</v>
      </c>
      <c r="U139" s="43" t="s">
        <v>88</v>
      </c>
      <c r="V139" s="43">
        <v>69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 t="s">
        <v>35</v>
      </c>
      <c r="AB139" s="43">
        <v>9</v>
      </c>
      <c r="AC139" s="43">
        <v>4</v>
      </c>
      <c r="AD139" s="43">
        <v>4</v>
      </c>
      <c r="AE139" s="72">
        <v>3</v>
      </c>
      <c r="AF139" s="43">
        <v>14</v>
      </c>
      <c r="AG139" s="43">
        <v>15</v>
      </c>
      <c r="AH139" s="43" t="s">
        <v>35</v>
      </c>
      <c r="AI139" s="43" t="s">
        <v>35</v>
      </c>
      <c r="AJ139" s="43">
        <v>11</v>
      </c>
      <c r="AK139" s="43">
        <v>4</v>
      </c>
      <c r="AL139" s="43">
        <v>5</v>
      </c>
      <c r="AV139" s="49"/>
    </row>
    <row r="140" spans="1:48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U140" s="43" t="s">
        <v>89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43" t="s">
        <v>35</v>
      </c>
      <c r="AE140" s="72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L140" s="43" t="s">
        <v>35</v>
      </c>
      <c r="AV140" s="49"/>
    </row>
    <row r="141" spans="1:48" ht="45">
      <c r="A141" s="43" t="s">
        <v>90</v>
      </c>
      <c r="B141" s="43">
        <v>3312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516</v>
      </c>
      <c r="I141" s="43">
        <v>511</v>
      </c>
      <c r="J141" s="43">
        <v>471</v>
      </c>
      <c r="K141" s="72">
        <v>623</v>
      </c>
      <c r="L141" s="43">
        <v>785</v>
      </c>
      <c r="M141" s="43">
        <v>406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U141" s="43" t="s">
        <v>90</v>
      </c>
      <c r="V141" s="43">
        <v>297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>
        <v>47</v>
      </c>
      <c r="AC141" s="43">
        <v>56</v>
      </c>
      <c r="AD141" s="43">
        <v>43</v>
      </c>
      <c r="AE141" s="72">
        <v>50</v>
      </c>
      <c r="AF141" s="43">
        <v>68</v>
      </c>
      <c r="AG141" s="43">
        <v>33</v>
      </c>
      <c r="AH141" s="43" t="s">
        <v>35</v>
      </c>
      <c r="AI141" s="43" t="s">
        <v>35</v>
      </c>
      <c r="AJ141" s="43" t="s">
        <v>35</v>
      </c>
      <c r="AK141" s="43" t="s">
        <v>35</v>
      </c>
      <c r="AL141" s="43" t="s">
        <v>35</v>
      </c>
      <c r="AV141" s="49"/>
    </row>
    <row r="142" spans="1:48" ht="60">
      <c r="A142" s="43" t="s">
        <v>91</v>
      </c>
      <c r="B142" s="43">
        <v>2552</v>
      </c>
      <c r="C142" s="43" t="s">
        <v>35</v>
      </c>
      <c r="D142" s="43">
        <v>743</v>
      </c>
      <c r="E142" s="43" t="s">
        <v>35</v>
      </c>
      <c r="F142" s="43" t="s">
        <v>35</v>
      </c>
      <c r="G142" s="43" t="s">
        <v>35</v>
      </c>
      <c r="H142" s="43">
        <v>1089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720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U142" s="43" t="s">
        <v>91</v>
      </c>
      <c r="V142" s="43">
        <v>263</v>
      </c>
      <c r="W142" s="43" t="s">
        <v>35</v>
      </c>
      <c r="X142" s="43">
        <v>89</v>
      </c>
      <c r="Y142" s="43" t="s">
        <v>35</v>
      </c>
      <c r="Z142" s="43" t="s">
        <v>35</v>
      </c>
      <c r="AA142" s="43" t="s">
        <v>35</v>
      </c>
      <c r="AB142" s="43">
        <v>108</v>
      </c>
      <c r="AC142" s="43" t="s">
        <v>35</v>
      </c>
      <c r="AD142" s="43" t="s">
        <v>35</v>
      </c>
      <c r="AE142" s="72" t="s">
        <v>35</v>
      </c>
      <c r="AF142" s="43" t="s">
        <v>35</v>
      </c>
      <c r="AG142" s="43">
        <v>66</v>
      </c>
      <c r="AH142" s="43" t="s">
        <v>35</v>
      </c>
      <c r="AI142" s="43" t="s">
        <v>35</v>
      </c>
      <c r="AJ142" s="43" t="s">
        <v>35</v>
      </c>
      <c r="AK142" s="43" t="s">
        <v>35</v>
      </c>
      <c r="AL142" s="43" t="s">
        <v>35</v>
      </c>
      <c r="AV142" s="49"/>
    </row>
    <row r="143" spans="1:48" ht="60">
      <c r="A143" s="43" t="s">
        <v>92</v>
      </c>
      <c r="B143" s="43">
        <v>3979</v>
      </c>
      <c r="C143" s="43" t="s">
        <v>35</v>
      </c>
      <c r="D143" s="43">
        <v>513</v>
      </c>
      <c r="E143" s="43">
        <v>639</v>
      </c>
      <c r="F143" s="43">
        <v>504</v>
      </c>
      <c r="G143" s="43">
        <v>418</v>
      </c>
      <c r="H143" s="43">
        <v>394</v>
      </c>
      <c r="I143" s="43">
        <v>345</v>
      </c>
      <c r="J143" s="43">
        <v>352</v>
      </c>
      <c r="K143" s="72">
        <v>401</v>
      </c>
      <c r="L143" s="43">
        <v>334</v>
      </c>
      <c r="M143" s="43">
        <v>79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U143" s="43" t="s">
        <v>92</v>
      </c>
      <c r="V143" s="43">
        <v>209</v>
      </c>
      <c r="W143" s="43" t="s">
        <v>35</v>
      </c>
      <c r="X143" s="43">
        <v>47</v>
      </c>
      <c r="Y143" s="43">
        <v>38</v>
      </c>
      <c r="Z143" s="43">
        <v>26</v>
      </c>
      <c r="AA143" s="43">
        <v>30</v>
      </c>
      <c r="AB143" s="43">
        <v>13</v>
      </c>
      <c r="AC143" s="43">
        <v>11</v>
      </c>
      <c r="AD143" s="43">
        <v>12</v>
      </c>
      <c r="AE143" s="72">
        <v>20</v>
      </c>
      <c r="AF143" s="43">
        <v>9</v>
      </c>
      <c r="AG143" s="43">
        <v>3</v>
      </c>
      <c r="AH143" s="43" t="s">
        <v>35</v>
      </c>
      <c r="AI143" s="43" t="s">
        <v>35</v>
      </c>
      <c r="AJ143" s="43" t="s">
        <v>35</v>
      </c>
      <c r="AK143" s="43" t="s">
        <v>35</v>
      </c>
      <c r="AL143" s="43" t="s">
        <v>35</v>
      </c>
      <c r="AV143" s="49"/>
    </row>
    <row r="144" spans="1:48" ht="30">
      <c r="A144" s="43" t="s">
        <v>93</v>
      </c>
      <c r="B144" s="43">
        <v>397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201</v>
      </c>
      <c r="Q144" s="43">
        <v>116</v>
      </c>
      <c r="R144" s="43">
        <v>80</v>
      </c>
      <c r="U144" s="43" t="s">
        <v>93</v>
      </c>
      <c r="V144" s="43">
        <v>29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43" t="s">
        <v>35</v>
      </c>
      <c r="AE144" s="72" t="s">
        <v>35</v>
      </c>
      <c r="AF144" s="43" t="s">
        <v>35</v>
      </c>
      <c r="AG144" s="43" t="s">
        <v>35</v>
      </c>
      <c r="AH144" s="43" t="s">
        <v>35</v>
      </c>
      <c r="AI144" s="43" t="s">
        <v>35</v>
      </c>
      <c r="AJ144" s="43">
        <v>18</v>
      </c>
      <c r="AK144" s="43">
        <v>5</v>
      </c>
      <c r="AL144" s="43">
        <v>6</v>
      </c>
      <c r="AV144" s="49"/>
    </row>
    <row r="145" spans="1:48">
      <c r="A145" s="43" t="s">
        <v>94</v>
      </c>
      <c r="B145" s="43">
        <v>231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108</v>
      </c>
      <c r="Q145" s="43">
        <v>76</v>
      </c>
      <c r="R145" s="43">
        <v>47</v>
      </c>
      <c r="S145" s="44"/>
      <c r="T145" s="44"/>
      <c r="U145" s="43" t="s">
        <v>94</v>
      </c>
      <c r="V145" s="43">
        <v>3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43" t="s">
        <v>35</v>
      </c>
      <c r="AE145" s="72" t="s">
        <v>35</v>
      </c>
      <c r="AF145" s="43" t="s">
        <v>35</v>
      </c>
      <c r="AG145" s="43" t="s">
        <v>35</v>
      </c>
      <c r="AH145" s="43" t="s">
        <v>35</v>
      </c>
      <c r="AI145" s="43" t="s">
        <v>35</v>
      </c>
      <c r="AJ145" s="43">
        <v>3</v>
      </c>
      <c r="AK145" s="43" t="s">
        <v>35</v>
      </c>
      <c r="AL145" s="43" t="s">
        <v>35</v>
      </c>
      <c r="AM145" s="44"/>
      <c r="AN145" s="44"/>
      <c r="AO145" s="44"/>
      <c r="AP145" s="44"/>
      <c r="AQ145" s="44"/>
      <c r="AR145" s="44"/>
      <c r="AS145" s="44"/>
      <c r="AT145" s="44"/>
      <c r="AU145" s="44"/>
      <c r="AV145" s="50"/>
    </row>
    <row r="147" spans="1:48">
      <c r="A147" t="s">
        <v>52</v>
      </c>
      <c r="U147" t="s">
        <v>52</v>
      </c>
    </row>
    <row r="148" spans="1:48">
      <c r="A148" t="s">
        <v>53</v>
      </c>
      <c r="U148" t="s">
        <v>53</v>
      </c>
    </row>
    <row r="149" spans="1:48">
      <c r="A149" t="s">
        <v>95</v>
      </c>
      <c r="U149" t="s">
        <v>95</v>
      </c>
    </row>
    <row r="152" spans="1:48">
      <c r="A152" t="s">
        <v>96</v>
      </c>
      <c r="U152" t="s">
        <v>96</v>
      </c>
    </row>
    <row r="153" spans="1:48">
      <c r="A153" t="s">
        <v>97</v>
      </c>
      <c r="U153" t="s">
        <v>97</v>
      </c>
    </row>
    <row r="154" spans="1:48">
      <c r="A154" t="s">
        <v>98</v>
      </c>
      <c r="U154" t="s">
        <v>98</v>
      </c>
    </row>
    <row r="155" spans="1:48">
      <c r="A155" t="s">
        <v>99</v>
      </c>
      <c r="U155" t="s">
        <v>99</v>
      </c>
    </row>
    <row r="156" spans="1:48">
      <c r="A156" t="s">
        <v>100</v>
      </c>
      <c r="U156" t="s">
        <v>100</v>
      </c>
    </row>
    <row r="157" spans="1:48">
      <c r="A157" t="s">
        <v>101</v>
      </c>
      <c r="U157" t="s">
        <v>101</v>
      </c>
    </row>
    <row r="158" spans="1:48">
      <c r="A158" t="s">
        <v>102</v>
      </c>
      <c r="U158" t="s">
        <v>102</v>
      </c>
    </row>
  </sheetData>
  <hyperlinks>
    <hyperlink ref="A1" r:id="rId1" display="https://www1.nls.niedersachsen.de/Statistik/pool/K300151A/K300151A_000016CE1821DF4329AF2A3B9D2635F85781C95184998454643B.zip"/>
    <hyperlink ref="U1" r:id="rId2" display="https://www1.nls.niedersachsen.de/Statistik/pool/K300151A/K300151A_000016CE18216BBE97DB791195692F53911C0F6F433AB5901019.zip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U158"/>
  <sheetViews>
    <sheetView workbookViewId="0"/>
  </sheetViews>
  <sheetFormatPr baseColWidth="10" defaultRowHeight="15"/>
  <sheetData>
    <row r="1" spans="1:47">
      <c r="A1" s="53" t="s">
        <v>54</v>
      </c>
      <c r="T1" s="53" t="s">
        <v>54</v>
      </c>
    </row>
    <row r="3" spans="1:47">
      <c r="A3" s="54" t="s">
        <v>39</v>
      </c>
      <c r="T3" s="54" t="s">
        <v>39</v>
      </c>
    </row>
    <row r="4" spans="1:47">
      <c r="A4" s="54" t="s">
        <v>55</v>
      </c>
      <c r="T4" s="54" t="s">
        <v>55</v>
      </c>
    </row>
    <row r="6" spans="1:47">
      <c r="A6" s="39" t="s">
        <v>56</v>
      </c>
      <c r="T6" s="39" t="s">
        <v>56</v>
      </c>
    </row>
    <row r="8" spans="1:47">
      <c r="A8" t="s">
        <v>42</v>
      </c>
      <c r="T8" t="s">
        <v>42</v>
      </c>
    </row>
    <row r="9" spans="1:47">
      <c r="A9" t="s">
        <v>57</v>
      </c>
      <c r="T9" t="s">
        <v>57</v>
      </c>
    </row>
    <row r="10" spans="1:47">
      <c r="A10" t="s">
        <v>43</v>
      </c>
      <c r="T10" t="s">
        <v>43</v>
      </c>
    </row>
    <row r="12" spans="1:47" ht="15" customHeight="1">
      <c r="A12" t="s">
        <v>58</v>
      </c>
      <c r="T12" t="s">
        <v>58</v>
      </c>
    </row>
    <row r="13" spans="1:47" ht="15" customHeight="1">
      <c r="A13" t="s">
        <v>59</v>
      </c>
      <c r="T13" t="s">
        <v>108</v>
      </c>
    </row>
    <row r="14" spans="1:47">
      <c r="A14" t="s">
        <v>106</v>
      </c>
      <c r="T14" t="s">
        <v>106</v>
      </c>
    </row>
    <row r="16" spans="1:47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>
      <c r="A25" s="38"/>
      <c r="K25" s="70"/>
      <c r="T25" s="38"/>
      <c r="AD25" s="70"/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839681</v>
      </c>
      <c r="C28" s="43">
        <v>2867</v>
      </c>
      <c r="D28" s="43">
        <v>74183</v>
      </c>
      <c r="E28" s="43">
        <v>74052</v>
      </c>
      <c r="F28" s="43">
        <v>71609</v>
      </c>
      <c r="G28" s="43">
        <v>72511</v>
      </c>
      <c r="H28" s="43">
        <v>76206</v>
      </c>
      <c r="I28" s="43">
        <v>76727</v>
      </c>
      <c r="J28" s="43">
        <v>78566</v>
      </c>
      <c r="K28" s="72">
        <v>79976</v>
      </c>
      <c r="L28" s="43">
        <v>79312</v>
      </c>
      <c r="M28" s="43">
        <v>77433</v>
      </c>
      <c r="N28" s="43">
        <v>4114</v>
      </c>
      <c r="O28" s="43">
        <v>1219</v>
      </c>
      <c r="P28" s="43">
        <v>35296</v>
      </c>
      <c r="Q28" s="43">
        <v>31714</v>
      </c>
      <c r="R28" s="43">
        <v>3896</v>
      </c>
      <c r="T28" s="43" t="s">
        <v>40</v>
      </c>
      <c r="U28" s="43">
        <v>76791</v>
      </c>
      <c r="V28" s="43">
        <v>842</v>
      </c>
      <c r="W28" s="43">
        <v>9082</v>
      </c>
      <c r="X28" s="43">
        <v>9120</v>
      </c>
      <c r="Y28" s="43">
        <v>8088</v>
      </c>
      <c r="Z28" s="43">
        <v>7641</v>
      </c>
      <c r="AA28" s="43">
        <v>6323</v>
      </c>
      <c r="AB28" s="43">
        <v>5832</v>
      </c>
      <c r="AC28" s="43">
        <v>5788</v>
      </c>
      <c r="AD28" s="72">
        <v>6127</v>
      </c>
      <c r="AE28" s="43">
        <v>6555</v>
      </c>
      <c r="AF28" s="43">
        <v>5421</v>
      </c>
      <c r="AG28" s="43">
        <v>3691</v>
      </c>
      <c r="AH28" s="43">
        <v>72</v>
      </c>
      <c r="AI28" s="43">
        <v>1172</v>
      </c>
      <c r="AJ28" s="43">
        <v>923</v>
      </c>
      <c r="AK28" s="43">
        <v>114</v>
      </c>
      <c r="AU28" s="49"/>
    </row>
    <row r="29" spans="1:47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>
      <c r="A30" s="43" t="s">
        <v>75</v>
      </c>
      <c r="B30" s="43">
        <v>2787</v>
      </c>
      <c r="C30" s="43">
        <v>2787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824</v>
      </c>
      <c r="V30" s="43">
        <v>824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>
      <c r="A31" s="43" t="s">
        <v>76</v>
      </c>
      <c r="B31" s="43">
        <v>282049</v>
      </c>
      <c r="C31" s="43" t="s">
        <v>35</v>
      </c>
      <c r="D31" s="43">
        <v>69692</v>
      </c>
      <c r="E31" s="43">
        <v>71605</v>
      </c>
      <c r="F31" s="43">
        <v>69575</v>
      </c>
      <c r="G31" s="43">
        <v>70472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705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33633</v>
      </c>
      <c r="V31" s="43" t="s">
        <v>35</v>
      </c>
      <c r="W31" s="43">
        <v>8588</v>
      </c>
      <c r="X31" s="43">
        <v>8911</v>
      </c>
      <c r="Y31" s="43">
        <v>7958</v>
      </c>
      <c r="Z31" s="43">
        <v>7513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663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>
      <c r="A33" s="43" t="s">
        <v>78</v>
      </c>
      <c r="B33" s="43">
        <v>22865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2126</v>
      </c>
      <c r="I33" s="43">
        <v>2633</v>
      </c>
      <c r="J33" s="43">
        <v>3555</v>
      </c>
      <c r="K33" s="72">
        <v>4183</v>
      </c>
      <c r="L33" s="43">
        <v>5560</v>
      </c>
      <c r="M33" s="43">
        <v>4201</v>
      </c>
      <c r="N33" s="43">
        <v>607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5407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465</v>
      </c>
      <c r="AB33" s="43">
        <v>596</v>
      </c>
      <c r="AC33" s="43">
        <v>856</v>
      </c>
      <c r="AD33" s="72">
        <v>954</v>
      </c>
      <c r="AE33" s="43">
        <v>1324</v>
      </c>
      <c r="AF33" s="43">
        <v>646</v>
      </c>
      <c r="AG33" s="43">
        <v>566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>
      <c r="A35" s="43" t="s">
        <v>80</v>
      </c>
      <c r="B35" s="43">
        <v>58817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7547</v>
      </c>
      <c r="I35" s="43">
        <v>8168</v>
      </c>
      <c r="J35" s="43">
        <v>8659</v>
      </c>
      <c r="K35" s="72">
        <v>9828</v>
      </c>
      <c r="L35" s="43">
        <v>11488</v>
      </c>
      <c r="M35" s="43">
        <v>12855</v>
      </c>
      <c r="N35" s="43">
        <v>272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5982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802</v>
      </c>
      <c r="AB35" s="43">
        <v>819</v>
      </c>
      <c r="AC35" s="43">
        <v>864</v>
      </c>
      <c r="AD35" s="72">
        <v>958</v>
      </c>
      <c r="AE35" s="43">
        <v>1191</v>
      </c>
      <c r="AF35" s="43">
        <v>1125</v>
      </c>
      <c r="AG35" s="43">
        <v>223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100018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15631</v>
      </c>
      <c r="I36" s="43">
        <v>16520</v>
      </c>
      <c r="J36" s="43">
        <v>17762</v>
      </c>
      <c r="K36" s="72">
        <v>18175</v>
      </c>
      <c r="L36" s="43">
        <v>16766</v>
      </c>
      <c r="M36" s="43">
        <v>14070</v>
      </c>
      <c r="N36" s="43">
        <v>1094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11444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1922</v>
      </c>
      <c r="AB36" s="43">
        <v>1907</v>
      </c>
      <c r="AC36" s="43">
        <v>1826</v>
      </c>
      <c r="AD36" s="72">
        <v>1958</v>
      </c>
      <c r="AE36" s="43">
        <v>1774</v>
      </c>
      <c r="AF36" s="43">
        <v>1029</v>
      </c>
      <c r="AG36" s="43">
        <v>1028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218110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29107</v>
      </c>
      <c r="I37" s="43">
        <v>29317</v>
      </c>
      <c r="J37" s="43">
        <v>28463</v>
      </c>
      <c r="K37" s="72">
        <v>27529</v>
      </c>
      <c r="L37" s="43">
        <v>25856</v>
      </c>
      <c r="M37" s="43">
        <v>26259</v>
      </c>
      <c r="N37" s="43">
        <v>543</v>
      </c>
      <c r="O37" s="43">
        <v>824</v>
      </c>
      <c r="P37" s="43">
        <v>26093</v>
      </c>
      <c r="Q37" s="43">
        <v>24119</v>
      </c>
      <c r="R37" s="43" t="s">
        <v>35</v>
      </c>
      <c r="T37" s="43" t="s">
        <v>82</v>
      </c>
      <c r="U37" s="43">
        <v>8843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1422</v>
      </c>
      <c r="AB37" s="43">
        <v>1158</v>
      </c>
      <c r="AC37" s="43">
        <v>982</v>
      </c>
      <c r="AD37" s="72">
        <v>1009</v>
      </c>
      <c r="AE37" s="43">
        <v>993</v>
      </c>
      <c r="AF37" s="43">
        <v>1257</v>
      </c>
      <c r="AG37" s="43">
        <v>466</v>
      </c>
      <c r="AH37" s="43">
        <v>61</v>
      </c>
      <c r="AI37" s="43">
        <v>792</v>
      </c>
      <c r="AJ37" s="43">
        <v>703</v>
      </c>
      <c r="AK37" s="43" t="s">
        <v>35</v>
      </c>
      <c r="AU37" s="49"/>
    </row>
    <row r="38" spans="1:47" ht="45">
      <c r="A38" s="43" t="s">
        <v>83</v>
      </c>
      <c r="B38" s="43">
        <v>87881</v>
      </c>
      <c r="C38" s="43">
        <v>17</v>
      </c>
      <c r="D38" s="43">
        <v>832</v>
      </c>
      <c r="E38" s="43">
        <v>801</v>
      </c>
      <c r="F38" s="43">
        <v>859</v>
      </c>
      <c r="G38" s="43">
        <v>873</v>
      </c>
      <c r="H38" s="43">
        <v>12197</v>
      </c>
      <c r="I38" s="43">
        <v>12383</v>
      </c>
      <c r="J38" s="43">
        <v>12276</v>
      </c>
      <c r="K38" s="72">
        <v>12043</v>
      </c>
      <c r="L38" s="43">
        <v>10806</v>
      </c>
      <c r="M38" s="43">
        <v>10272</v>
      </c>
      <c r="N38" s="43">
        <v>621</v>
      </c>
      <c r="O38" s="43" t="s">
        <v>35</v>
      </c>
      <c r="P38" s="43">
        <v>5930</v>
      </c>
      <c r="Q38" s="43">
        <v>4841</v>
      </c>
      <c r="R38" s="43">
        <v>3130</v>
      </c>
      <c r="T38" s="43" t="s">
        <v>83</v>
      </c>
      <c r="U38" s="43">
        <v>6083</v>
      </c>
      <c r="V38" s="43">
        <v>14</v>
      </c>
      <c r="W38" s="43">
        <v>63</v>
      </c>
      <c r="X38" s="43">
        <v>66</v>
      </c>
      <c r="Y38" s="43">
        <v>52</v>
      </c>
      <c r="Z38" s="43">
        <v>56</v>
      </c>
      <c r="AA38" s="43">
        <v>999</v>
      </c>
      <c r="AB38" s="43">
        <v>878</v>
      </c>
      <c r="AC38" s="43">
        <v>788</v>
      </c>
      <c r="AD38" s="72">
        <v>756</v>
      </c>
      <c r="AE38" s="43">
        <v>718</v>
      </c>
      <c r="AF38" s="43">
        <v>696</v>
      </c>
      <c r="AG38" s="43">
        <v>499</v>
      </c>
      <c r="AH38" s="43" t="s">
        <v>35</v>
      </c>
      <c r="AI38" s="43">
        <v>244</v>
      </c>
      <c r="AJ38" s="43">
        <v>160</v>
      </c>
      <c r="AK38" s="43">
        <v>94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>
      <c r="A40" s="43" t="s">
        <v>85</v>
      </c>
      <c r="B40" s="43">
        <v>5685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738</v>
      </c>
      <c r="I40" s="43">
        <v>749</v>
      </c>
      <c r="J40" s="43">
        <v>960</v>
      </c>
      <c r="K40" s="72">
        <v>1019</v>
      </c>
      <c r="L40" s="43">
        <v>1205</v>
      </c>
      <c r="M40" s="43">
        <v>778</v>
      </c>
      <c r="N40" s="43">
        <v>236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876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96</v>
      </c>
      <c r="AB40" s="43">
        <v>95</v>
      </c>
      <c r="AC40" s="43">
        <v>112</v>
      </c>
      <c r="AD40" s="72">
        <v>117</v>
      </c>
      <c r="AE40" s="43">
        <v>163</v>
      </c>
      <c r="AF40" s="43">
        <v>77</v>
      </c>
      <c r="AG40" s="43">
        <v>216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15436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2352</v>
      </c>
      <c r="I41" s="43">
        <v>2333</v>
      </c>
      <c r="J41" s="43">
        <v>2488</v>
      </c>
      <c r="K41" s="72">
        <v>2617</v>
      </c>
      <c r="L41" s="43">
        <v>2776</v>
      </c>
      <c r="M41" s="43">
        <v>2855</v>
      </c>
      <c r="N41" s="43">
        <v>15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862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155</v>
      </c>
      <c r="AB41" s="43">
        <v>133</v>
      </c>
      <c r="AC41" s="43">
        <v>130</v>
      </c>
      <c r="AD41" s="72">
        <v>133</v>
      </c>
      <c r="AE41" s="43">
        <v>148</v>
      </c>
      <c r="AF41" s="43">
        <v>154</v>
      </c>
      <c r="AG41" s="43">
        <v>9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15922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1849</v>
      </c>
      <c r="I42" s="43">
        <v>1956</v>
      </c>
      <c r="J42" s="43">
        <v>2046</v>
      </c>
      <c r="K42" s="72">
        <v>2019</v>
      </c>
      <c r="L42" s="43">
        <v>1916</v>
      </c>
      <c r="M42" s="43">
        <v>1916</v>
      </c>
      <c r="N42" s="43" t="s">
        <v>35</v>
      </c>
      <c r="O42" s="43">
        <v>395</v>
      </c>
      <c r="P42" s="43">
        <v>2087</v>
      </c>
      <c r="Q42" s="43">
        <v>1738</v>
      </c>
      <c r="R42" s="43" t="s">
        <v>35</v>
      </c>
      <c r="T42" s="43" t="s">
        <v>87</v>
      </c>
      <c r="U42" s="43">
        <v>479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62</v>
      </c>
      <c r="AB42" s="43">
        <v>68</v>
      </c>
      <c r="AC42" s="43">
        <v>70</v>
      </c>
      <c r="AD42" s="72">
        <v>50</v>
      </c>
      <c r="AE42" s="43">
        <v>54</v>
      </c>
      <c r="AF42" s="43">
        <v>72</v>
      </c>
      <c r="AG42" s="43" t="s">
        <v>35</v>
      </c>
      <c r="AH42" s="43">
        <v>11</v>
      </c>
      <c r="AI42" s="43">
        <v>58</v>
      </c>
      <c r="AJ42" s="43">
        <v>34</v>
      </c>
      <c r="AK42" s="43" t="s">
        <v>35</v>
      </c>
      <c r="AU42" s="49"/>
    </row>
    <row r="43" spans="1:47" ht="75">
      <c r="A43" s="43" t="s">
        <v>88</v>
      </c>
      <c r="B43" s="43">
        <v>4126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365</v>
      </c>
      <c r="I43" s="43">
        <v>419</v>
      </c>
      <c r="J43" s="43">
        <v>406</v>
      </c>
      <c r="K43" s="72">
        <v>443</v>
      </c>
      <c r="L43" s="43">
        <v>545</v>
      </c>
      <c r="M43" s="43">
        <v>548</v>
      </c>
      <c r="N43" s="43">
        <v>21</v>
      </c>
      <c r="O43" s="43" t="s">
        <v>35</v>
      </c>
      <c r="P43" s="43">
        <v>479</v>
      </c>
      <c r="Q43" s="43">
        <v>475</v>
      </c>
      <c r="R43" s="43">
        <v>425</v>
      </c>
      <c r="T43" s="43" t="s">
        <v>88</v>
      </c>
      <c r="U43" s="43">
        <v>146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19</v>
      </c>
      <c r="AB43" s="43">
        <v>20</v>
      </c>
      <c r="AC43" s="43">
        <v>11</v>
      </c>
      <c r="AD43" s="72">
        <v>14</v>
      </c>
      <c r="AE43" s="43">
        <v>10</v>
      </c>
      <c r="AF43" s="43">
        <v>24</v>
      </c>
      <c r="AG43" s="43">
        <v>21</v>
      </c>
      <c r="AH43" s="43" t="s">
        <v>35</v>
      </c>
      <c r="AI43" s="43">
        <v>19</v>
      </c>
      <c r="AJ43" s="43">
        <v>4</v>
      </c>
      <c r="AK43" s="43">
        <v>4</v>
      </c>
      <c r="AU43" s="49"/>
    </row>
    <row r="44" spans="1:47" ht="45">
      <c r="A44" s="43" t="s">
        <v>89</v>
      </c>
      <c r="B44" s="43">
        <v>63</v>
      </c>
      <c r="C44" s="43">
        <v>63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4</v>
      </c>
      <c r="V44" s="43">
        <v>4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>
      <c r="A45" s="43" t="s">
        <v>90</v>
      </c>
      <c r="B45" s="43">
        <v>6050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 t="s">
        <v>35</v>
      </c>
      <c r="I45" s="43">
        <v>1309</v>
      </c>
      <c r="J45" s="43">
        <v>1124</v>
      </c>
      <c r="K45" s="72">
        <v>1195</v>
      </c>
      <c r="L45" s="43">
        <v>1437</v>
      </c>
      <c r="M45" s="43">
        <v>985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551</v>
      </c>
      <c r="V45" s="43" t="s">
        <v>35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>
        <v>118</v>
      </c>
      <c r="AC45" s="43">
        <v>103</v>
      </c>
      <c r="AD45" s="72">
        <v>130</v>
      </c>
      <c r="AE45" s="43">
        <v>129</v>
      </c>
      <c r="AF45" s="43">
        <v>71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7962</v>
      </c>
      <c r="C46" s="43" t="s">
        <v>35</v>
      </c>
      <c r="D46" s="43">
        <v>2293</v>
      </c>
      <c r="E46" s="43" t="s">
        <v>35</v>
      </c>
      <c r="F46" s="43" t="s">
        <v>35</v>
      </c>
      <c r="G46" s="43" t="s">
        <v>35</v>
      </c>
      <c r="H46" s="43">
        <v>3422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2247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863</v>
      </c>
      <c r="V46" s="43" t="s">
        <v>35</v>
      </c>
      <c r="W46" s="43">
        <v>291</v>
      </c>
      <c r="X46" s="43" t="s">
        <v>35</v>
      </c>
      <c r="Y46" s="43" t="s">
        <v>35</v>
      </c>
      <c r="Z46" s="43" t="s">
        <v>35</v>
      </c>
      <c r="AA46" s="43">
        <v>342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230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10321</v>
      </c>
      <c r="C47" s="43" t="s">
        <v>35</v>
      </c>
      <c r="D47" s="43">
        <v>1366</v>
      </c>
      <c r="E47" s="43">
        <v>1646</v>
      </c>
      <c r="F47" s="43">
        <v>1175</v>
      </c>
      <c r="G47" s="43">
        <v>1166</v>
      </c>
      <c r="H47" s="43">
        <v>872</v>
      </c>
      <c r="I47" s="43">
        <v>940</v>
      </c>
      <c r="J47" s="43">
        <v>827</v>
      </c>
      <c r="K47" s="72">
        <v>925</v>
      </c>
      <c r="L47" s="43">
        <v>957</v>
      </c>
      <c r="M47" s="43">
        <v>447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697</v>
      </c>
      <c r="V47" s="43" t="s">
        <v>35</v>
      </c>
      <c r="W47" s="43">
        <v>140</v>
      </c>
      <c r="X47" s="43">
        <v>143</v>
      </c>
      <c r="Y47" s="43">
        <v>78</v>
      </c>
      <c r="Z47" s="43">
        <v>72</v>
      </c>
      <c r="AA47" s="43">
        <v>39</v>
      </c>
      <c r="AB47" s="43">
        <v>40</v>
      </c>
      <c r="AC47" s="43">
        <v>46</v>
      </c>
      <c r="AD47" s="72">
        <v>48</v>
      </c>
      <c r="AE47" s="43">
        <v>51</v>
      </c>
      <c r="AF47" s="43">
        <v>40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>
      <c r="A48" s="43" t="s">
        <v>93</v>
      </c>
      <c r="B48" s="43">
        <v>740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345</v>
      </c>
      <c r="Q48" s="43">
        <v>255</v>
      </c>
      <c r="R48" s="43">
        <v>140</v>
      </c>
      <c r="T48" s="43" t="s">
        <v>93</v>
      </c>
      <c r="U48" s="43">
        <v>45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28</v>
      </c>
      <c r="AJ48" s="43">
        <v>13</v>
      </c>
      <c r="AK48" s="43">
        <v>4</v>
      </c>
      <c r="AU48" s="49"/>
    </row>
    <row r="49" spans="1:47">
      <c r="A49" s="43" t="s">
        <v>94</v>
      </c>
      <c r="B49" s="43">
        <v>849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362</v>
      </c>
      <c r="Q49" s="43">
        <v>286</v>
      </c>
      <c r="R49" s="43">
        <v>201</v>
      </c>
      <c r="T49" s="43" t="s">
        <v>94</v>
      </c>
      <c r="U49" s="43">
        <v>52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31</v>
      </c>
      <c r="AJ49" s="43">
        <v>9</v>
      </c>
      <c r="AK49" s="43">
        <v>12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159423</v>
      </c>
      <c r="C52" s="43">
        <v>556</v>
      </c>
      <c r="D52" s="43">
        <v>13813</v>
      </c>
      <c r="E52" s="43">
        <v>13820</v>
      </c>
      <c r="F52" s="43">
        <v>13239</v>
      </c>
      <c r="G52" s="43">
        <v>13813</v>
      </c>
      <c r="H52" s="43">
        <v>14393</v>
      </c>
      <c r="I52" s="43">
        <v>14462</v>
      </c>
      <c r="J52" s="43">
        <v>14483</v>
      </c>
      <c r="K52" s="72">
        <v>14776</v>
      </c>
      <c r="L52" s="43">
        <v>14860</v>
      </c>
      <c r="M52" s="43">
        <v>14722</v>
      </c>
      <c r="N52" s="43">
        <v>652</v>
      </c>
      <c r="O52" s="43">
        <v>193</v>
      </c>
      <c r="P52" s="43">
        <v>7626</v>
      </c>
      <c r="Q52" s="43">
        <v>6891</v>
      </c>
      <c r="R52" s="43">
        <v>1124</v>
      </c>
      <c r="T52" s="43" t="s">
        <v>40</v>
      </c>
      <c r="U52" s="43">
        <v>14543</v>
      </c>
      <c r="V52" s="43">
        <v>165</v>
      </c>
      <c r="W52" s="43">
        <v>1793</v>
      </c>
      <c r="X52" s="43">
        <v>1692</v>
      </c>
      <c r="Y52" s="43">
        <v>1513</v>
      </c>
      <c r="Z52" s="43">
        <v>1429</v>
      </c>
      <c r="AA52" s="43">
        <v>1143</v>
      </c>
      <c r="AB52" s="43">
        <v>1072</v>
      </c>
      <c r="AC52" s="43">
        <v>1004</v>
      </c>
      <c r="AD52" s="72">
        <v>1168</v>
      </c>
      <c r="AE52" s="43">
        <v>1308</v>
      </c>
      <c r="AF52" s="43">
        <v>1110</v>
      </c>
      <c r="AG52" s="43">
        <v>558</v>
      </c>
      <c r="AH52" s="43">
        <v>22</v>
      </c>
      <c r="AI52" s="43">
        <v>315</v>
      </c>
      <c r="AJ52" s="43">
        <v>226</v>
      </c>
      <c r="AK52" s="43">
        <v>25</v>
      </c>
      <c r="AU52" s="49"/>
    </row>
    <row r="53" spans="1:47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>
      <c r="A54" s="43" t="s">
        <v>75</v>
      </c>
      <c r="B54" s="43">
        <v>539</v>
      </c>
      <c r="C54" s="43">
        <v>539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151</v>
      </c>
      <c r="V54" s="43">
        <v>151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>
      <c r="A55" s="43" t="s">
        <v>76</v>
      </c>
      <c r="B55" s="43">
        <v>52749</v>
      </c>
      <c r="C55" s="43" t="s">
        <v>35</v>
      </c>
      <c r="D55" s="43">
        <v>13020</v>
      </c>
      <c r="E55" s="43">
        <v>13402</v>
      </c>
      <c r="F55" s="43">
        <v>12838</v>
      </c>
      <c r="G55" s="43">
        <v>13401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88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6289</v>
      </c>
      <c r="V55" s="43" t="s">
        <v>35</v>
      </c>
      <c r="W55" s="43">
        <v>1674</v>
      </c>
      <c r="X55" s="43">
        <v>1658</v>
      </c>
      <c r="Y55" s="43">
        <v>1478</v>
      </c>
      <c r="Z55" s="43">
        <v>1392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87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>
      <c r="A57" s="43" t="s">
        <v>78</v>
      </c>
      <c r="B57" s="43">
        <v>6544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663</v>
      </c>
      <c r="I57" s="43">
        <v>812</v>
      </c>
      <c r="J57" s="43">
        <v>1038</v>
      </c>
      <c r="K57" s="72">
        <v>1231</v>
      </c>
      <c r="L57" s="43">
        <v>1531</v>
      </c>
      <c r="M57" s="43">
        <v>1113</v>
      </c>
      <c r="N57" s="43">
        <v>156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1638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152</v>
      </c>
      <c r="AB57" s="43">
        <v>188</v>
      </c>
      <c r="AC57" s="43">
        <v>245</v>
      </c>
      <c r="AD57" s="72">
        <v>289</v>
      </c>
      <c r="AE57" s="43">
        <v>420</v>
      </c>
      <c r="AF57" s="43">
        <v>203</v>
      </c>
      <c r="AG57" s="43">
        <v>141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>
      <c r="A59" s="43" t="s">
        <v>80</v>
      </c>
      <c r="B59" s="43">
        <v>15165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2151</v>
      </c>
      <c r="I59" s="43">
        <v>2356</v>
      </c>
      <c r="J59" s="43">
        <v>2366</v>
      </c>
      <c r="K59" s="72">
        <v>2503</v>
      </c>
      <c r="L59" s="43">
        <v>2721</v>
      </c>
      <c r="M59" s="43">
        <v>2987</v>
      </c>
      <c r="N59" s="43">
        <v>81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1535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203</v>
      </c>
      <c r="AB59" s="43">
        <v>234</v>
      </c>
      <c r="AC59" s="43">
        <v>207</v>
      </c>
      <c r="AD59" s="72">
        <v>253</v>
      </c>
      <c r="AE59" s="43">
        <v>293</v>
      </c>
      <c r="AF59" s="43">
        <v>288</v>
      </c>
      <c r="AG59" s="43">
        <v>57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8870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1315</v>
      </c>
      <c r="I60" s="43">
        <v>1409</v>
      </c>
      <c r="J60" s="43">
        <v>1476</v>
      </c>
      <c r="K60" s="72">
        <v>1710</v>
      </c>
      <c r="L60" s="43">
        <v>1531</v>
      </c>
      <c r="M60" s="43">
        <v>1391</v>
      </c>
      <c r="N60" s="43">
        <v>38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915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135</v>
      </c>
      <c r="AB60" s="43">
        <v>163</v>
      </c>
      <c r="AC60" s="43">
        <v>150</v>
      </c>
      <c r="AD60" s="72">
        <v>170</v>
      </c>
      <c r="AE60" s="43">
        <v>165</v>
      </c>
      <c r="AF60" s="43">
        <v>96</v>
      </c>
      <c r="AG60" s="43">
        <v>36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44596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5932</v>
      </c>
      <c r="I61" s="43">
        <v>5862</v>
      </c>
      <c r="J61" s="43">
        <v>5767</v>
      </c>
      <c r="K61" s="72">
        <v>5464</v>
      </c>
      <c r="L61" s="43">
        <v>5231</v>
      </c>
      <c r="M61" s="43">
        <v>5339</v>
      </c>
      <c r="N61" s="43">
        <v>119</v>
      </c>
      <c r="O61" s="43">
        <v>193</v>
      </c>
      <c r="P61" s="43">
        <v>5531</v>
      </c>
      <c r="Q61" s="43">
        <v>5158</v>
      </c>
      <c r="R61" s="43" t="s">
        <v>35</v>
      </c>
      <c r="T61" s="43" t="s">
        <v>82</v>
      </c>
      <c r="U61" s="43">
        <v>2145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329</v>
      </c>
      <c r="AB61" s="43">
        <v>265</v>
      </c>
      <c r="AC61" s="43">
        <v>217</v>
      </c>
      <c r="AD61" s="72">
        <v>246</v>
      </c>
      <c r="AE61" s="43">
        <v>242</v>
      </c>
      <c r="AF61" s="43">
        <v>298</v>
      </c>
      <c r="AG61" s="43">
        <v>115</v>
      </c>
      <c r="AH61" s="43">
        <v>22</v>
      </c>
      <c r="AI61" s="43">
        <v>237</v>
      </c>
      <c r="AJ61" s="43">
        <v>174</v>
      </c>
      <c r="AK61" s="43" t="s">
        <v>35</v>
      </c>
      <c r="AU61" s="49"/>
    </row>
    <row r="62" spans="1:47" ht="45">
      <c r="A62" s="43" t="s">
        <v>83</v>
      </c>
      <c r="B62" s="43">
        <v>21937</v>
      </c>
      <c r="C62" s="43">
        <v>17</v>
      </c>
      <c r="D62" s="43">
        <v>136</v>
      </c>
      <c r="E62" s="43">
        <v>140</v>
      </c>
      <c r="F62" s="43">
        <v>140</v>
      </c>
      <c r="G62" s="43">
        <v>146</v>
      </c>
      <c r="H62" s="43">
        <v>3077</v>
      </c>
      <c r="I62" s="43">
        <v>3165</v>
      </c>
      <c r="J62" s="43">
        <v>3074</v>
      </c>
      <c r="K62" s="72">
        <v>3023</v>
      </c>
      <c r="L62" s="43">
        <v>2711</v>
      </c>
      <c r="M62" s="43">
        <v>2634</v>
      </c>
      <c r="N62" s="43">
        <v>138</v>
      </c>
      <c r="O62" s="43" t="s">
        <v>35</v>
      </c>
      <c r="P62" s="43">
        <v>1500</v>
      </c>
      <c r="Q62" s="43">
        <v>1260</v>
      </c>
      <c r="R62" s="43">
        <v>776</v>
      </c>
      <c r="T62" s="43" t="s">
        <v>83</v>
      </c>
      <c r="U62" s="43">
        <v>1274</v>
      </c>
      <c r="V62" s="43">
        <v>14</v>
      </c>
      <c r="W62" s="43">
        <v>26</v>
      </c>
      <c r="X62" s="43">
        <v>21</v>
      </c>
      <c r="Y62" s="43">
        <v>15</v>
      </c>
      <c r="Z62" s="43">
        <v>21</v>
      </c>
      <c r="AA62" s="43">
        <v>211</v>
      </c>
      <c r="AB62" s="43">
        <v>177</v>
      </c>
      <c r="AC62" s="43">
        <v>155</v>
      </c>
      <c r="AD62" s="72">
        <v>157</v>
      </c>
      <c r="AE62" s="43">
        <v>132</v>
      </c>
      <c r="AF62" s="43">
        <v>146</v>
      </c>
      <c r="AG62" s="43">
        <v>90</v>
      </c>
      <c r="AH62" s="43" t="s">
        <v>35</v>
      </c>
      <c r="AI62" s="43">
        <v>48</v>
      </c>
      <c r="AJ62" s="43">
        <v>41</v>
      </c>
      <c r="AK62" s="43">
        <v>20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>
      <c r="A64" s="43" t="s">
        <v>85</v>
      </c>
      <c r="B64" s="43">
        <v>516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94</v>
      </c>
      <c r="I64" s="43">
        <v>78</v>
      </c>
      <c r="J64" s="43">
        <v>77</v>
      </c>
      <c r="K64" s="72">
        <v>67</v>
      </c>
      <c r="L64" s="43">
        <v>110</v>
      </c>
      <c r="M64" s="43">
        <v>79</v>
      </c>
      <c r="N64" s="43">
        <v>11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33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5</v>
      </c>
      <c r="AB64" s="43">
        <v>2</v>
      </c>
      <c r="AC64" s="43">
        <v>1</v>
      </c>
      <c r="AD64" s="72">
        <v>6</v>
      </c>
      <c r="AE64" s="43">
        <v>8</v>
      </c>
      <c r="AF64" s="43" t="s">
        <v>35</v>
      </c>
      <c r="AG64" s="43">
        <v>11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1390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200</v>
      </c>
      <c r="I65" s="43">
        <v>184</v>
      </c>
      <c r="J65" s="43">
        <v>211</v>
      </c>
      <c r="K65" s="72">
        <v>241</v>
      </c>
      <c r="L65" s="43">
        <v>300</v>
      </c>
      <c r="M65" s="43">
        <v>254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26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6</v>
      </c>
      <c r="AB65" s="43">
        <v>4</v>
      </c>
      <c r="AC65" s="43">
        <v>1</v>
      </c>
      <c r="AD65" s="72">
        <v>4</v>
      </c>
      <c r="AE65" s="43">
        <v>9</v>
      </c>
      <c r="AF65" s="43">
        <v>2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595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78</v>
      </c>
      <c r="I66" s="43">
        <v>101</v>
      </c>
      <c r="J66" s="43">
        <v>89</v>
      </c>
      <c r="K66" s="72">
        <v>97</v>
      </c>
      <c r="L66" s="43">
        <v>78</v>
      </c>
      <c r="M66" s="43">
        <v>75</v>
      </c>
      <c r="N66" s="43" t="s">
        <v>35</v>
      </c>
      <c r="O66" s="43" t="s">
        <v>35</v>
      </c>
      <c r="P66" s="43">
        <v>56</v>
      </c>
      <c r="Q66" s="43">
        <v>21</v>
      </c>
      <c r="R66" s="43" t="s">
        <v>35</v>
      </c>
      <c r="T66" s="43" t="s">
        <v>87</v>
      </c>
      <c r="U66" s="43">
        <v>12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>
        <v>1</v>
      </c>
      <c r="AB66" s="43">
        <v>3</v>
      </c>
      <c r="AC66" s="43" t="s">
        <v>35</v>
      </c>
      <c r="AD66" s="72">
        <v>3</v>
      </c>
      <c r="AE66" s="43" t="s">
        <v>35</v>
      </c>
      <c r="AF66" s="43">
        <v>4</v>
      </c>
      <c r="AG66" s="43" t="s">
        <v>35</v>
      </c>
      <c r="AH66" s="43" t="s">
        <v>35</v>
      </c>
      <c r="AI66" s="43" t="s">
        <v>35</v>
      </c>
      <c r="AJ66" s="43">
        <v>1</v>
      </c>
      <c r="AK66" s="43" t="s">
        <v>35</v>
      </c>
      <c r="AU66" s="49"/>
    </row>
    <row r="67" spans="1:47" ht="75">
      <c r="A67" s="43" t="s">
        <v>88</v>
      </c>
      <c r="B67" s="43">
        <v>1450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79</v>
      </c>
      <c r="I67" s="43">
        <v>90</v>
      </c>
      <c r="J67" s="43">
        <v>84</v>
      </c>
      <c r="K67" s="72">
        <v>83</v>
      </c>
      <c r="L67" s="43">
        <v>178</v>
      </c>
      <c r="M67" s="43">
        <v>188</v>
      </c>
      <c r="N67" s="43">
        <v>21</v>
      </c>
      <c r="O67" s="43" t="s">
        <v>35</v>
      </c>
      <c r="P67" s="43">
        <v>259</v>
      </c>
      <c r="Q67" s="43">
        <v>243</v>
      </c>
      <c r="R67" s="43">
        <v>225</v>
      </c>
      <c r="T67" s="43" t="s">
        <v>88</v>
      </c>
      <c r="U67" s="43">
        <v>31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2</v>
      </c>
      <c r="AB67" s="43">
        <v>2</v>
      </c>
      <c r="AC67" s="43">
        <v>2</v>
      </c>
      <c r="AD67" s="72">
        <v>1</v>
      </c>
      <c r="AE67" s="43">
        <v>1</v>
      </c>
      <c r="AF67" s="43">
        <v>1</v>
      </c>
      <c r="AG67" s="43">
        <v>21</v>
      </c>
      <c r="AH67" s="43" t="s">
        <v>35</v>
      </c>
      <c r="AI67" s="43">
        <v>1</v>
      </c>
      <c r="AJ67" s="43" t="s">
        <v>35</v>
      </c>
      <c r="AK67" s="43" t="s">
        <v>35</v>
      </c>
      <c r="AU67" s="49"/>
    </row>
    <row r="68" spans="1:47" ht="4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>
      <c r="A69" s="43" t="s">
        <v>90</v>
      </c>
      <c r="B69" s="43">
        <v>1070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 t="s">
        <v>35</v>
      </c>
      <c r="I69" s="43">
        <v>254</v>
      </c>
      <c r="J69" s="43">
        <v>171</v>
      </c>
      <c r="K69" s="72">
        <v>203</v>
      </c>
      <c r="L69" s="43">
        <v>254</v>
      </c>
      <c r="M69" s="43">
        <v>188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118</v>
      </c>
      <c r="V69" s="43" t="s">
        <v>35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>
        <v>28</v>
      </c>
      <c r="AC69" s="43">
        <v>18</v>
      </c>
      <c r="AD69" s="72">
        <v>33</v>
      </c>
      <c r="AE69" s="43">
        <v>27</v>
      </c>
      <c r="AF69" s="43">
        <v>12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1468</v>
      </c>
      <c r="C70" s="43" t="s">
        <v>35</v>
      </c>
      <c r="D70" s="43">
        <v>402</v>
      </c>
      <c r="E70" s="43" t="s">
        <v>35</v>
      </c>
      <c r="F70" s="43" t="s">
        <v>35</v>
      </c>
      <c r="G70" s="43" t="s">
        <v>35</v>
      </c>
      <c r="H70" s="43">
        <v>659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211</v>
      </c>
      <c r="V70" s="43" t="s">
        <v>35</v>
      </c>
      <c r="W70" s="43">
        <v>67</v>
      </c>
      <c r="X70" s="43" t="s">
        <v>35</v>
      </c>
      <c r="Y70" s="43" t="s">
        <v>35</v>
      </c>
      <c r="Z70" s="43" t="s">
        <v>35</v>
      </c>
      <c r="AA70" s="43">
        <v>89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55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1922</v>
      </c>
      <c r="C71" s="43" t="s">
        <v>35</v>
      </c>
      <c r="D71" s="43">
        <v>255</v>
      </c>
      <c r="E71" s="43">
        <v>278</v>
      </c>
      <c r="F71" s="43">
        <v>261</v>
      </c>
      <c r="G71" s="43">
        <v>266</v>
      </c>
      <c r="H71" s="43">
        <v>145</v>
      </c>
      <c r="I71" s="43">
        <v>151</v>
      </c>
      <c r="J71" s="43">
        <v>130</v>
      </c>
      <c r="K71" s="72">
        <v>154</v>
      </c>
      <c r="L71" s="43">
        <v>215</v>
      </c>
      <c r="M71" s="43">
        <v>67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121</v>
      </c>
      <c r="V71" s="43" t="s">
        <v>35</v>
      </c>
      <c r="W71" s="43">
        <v>26</v>
      </c>
      <c r="X71" s="43">
        <v>13</v>
      </c>
      <c r="Y71" s="43">
        <v>20</v>
      </c>
      <c r="Z71" s="43">
        <v>16</v>
      </c>
      <c r="AA71" s="43">
        <v>10</v>
      </c>
      <c r="AB71" s="43">
        <v>6</v>
      </c>
      <c r="AC71" s="43">
        <v>8</v>
      </c>
      <c r="AD71" s="72">
        <v>6</v>
      </c>
      <c r="AE71" s="43">
        <v>11</v>
      </c>
      <c r="AF71" s="43">
        <v>5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>
      <c r="A72" s="43" t="s">
        <v>93</v>
      </c>
      <c r="B72" s="43">
        <v>247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109</v>
      </c>
      <c r="Q72" s="43">
        <v>89</v>
      </c>
      <c r="R72" s="43">
        <v>49</v>
      </c>
      <c r="T72" s="43" t="s">
        <v>93</v>
      </c>
      <c r="U72" s="43">
        <v>11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7</v>
      </c>
      <c r="AJ72" s="43">
        <v>3</v>
      </c>
      <c r="AK72" s="43">
        <v>1</v>
      </c>
      <c r="AU72" s="49"/>
    </row>
    <row r="73" spans="1:47">
      <c r="A73" s="43" t="s">
        <v>94</v>
      </c>
      <c r="B73" s="43">
        <v>365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171</v>
      </c>
      <c r="Q73" s="43">
        <v>120</v>
      </c>
      <c r="R73" s="43">
        <v>74</v>
      </c>
      <c r="T73" s="43" t="s">
        <v>94</v>
      </c>
      <c r="U73" s="43">
        <v>33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22</v>
      </c>
      <c r="AJ73" s="43">
        <v>7</v>
      </c>
      <c r="AK73" s="43">
        <v>4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223172</v>
      </c>
      <c r="C76" s="43">
        <v>697</v>
      </c>
      <c r="D76" s="43">
        <v>20080</v>
      </c>
      <c r="E76" s="43">
        <v>19578</v>
      </c>
      <c r="F76" s="43">
        <v>18924</v>
      </c>
      <c r="G76" s="43">
        <v>19302</v>
      </c>
      <c r="H76" s="43">
        <v>19950</v>
      </c>
      <c r="I76" s="43">
        <v>20031</v>
      </c>
      <c r="J76" s="43">
        <v>20374</v>
      </c>
      <c r="K76" s="72">
        <v>20573</v>
      </c>
      <c r="L76" s="43">
        <v>20528</v>
      </c>
      <c r="M76" s="43">
        <v>20220</v>
      </c>
      <c r="N76" s="43">
        <v>1223</v>
      </c>
      <c r="O76" s="43">
        <v>428</v>
      </c>
      <c r="P76" s="43">
        <v>10379</v>
      </c>
      <c r="Q76" s="43">
        <v>9363</v>
      </c>
      <c r="R76" s="43">
        <v>1522</v>
      </c>
      <c r="T76" s="43" t="s">
        <v>40</v>
      </c>
      <c r="U76" s="43">
        <v>24079</v>
      </c>
      <c r="V76" s="43">
        <v>239</v>
      </c>
      <c r="W76" s="43">
        <v>2724</v>
      </c>
      <c r="X76" s="43">
        <v>2730</v>
      </c>
      <c r="Y76" s="43">
        <v>2487</v>
      </c>
      <c r="Z76" s="43">
        <v>2399</v>
      </c>
      <c r="AA76" s="43">
        <v>1897</v>
      </c>
      <c r="AB76" s="43">
        <v>1790</v>
      </c>
      <c r="AC76" s="43">
        <v>1881</v>
      </c>
      <c r="AD76" s="72">
        <v>1947</v>
      </c>
      <c r="AE76" s="43">
        <v>2093</v>
      </c>
      <c r="AF76" s="43">
        <v>1872</v>
      </c>
      <c r="AG76" s="43">
        <v>1058</v>
      </c>
      <c r="AH76" s="43">
        <v>29</v>
      </c>
      <c r="AI76" s="43">
        <v>441</v>
      </c>
      <c r="AJ76" s="43">
        <v>428</v>
      </c>
      <c r="AK76" s="43">
        <v>64</v>
      </c>
      <c r="AU76" s="49"/>
    </row>
    <row r="77" spans="1:47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>
      <c r="A78" s="43" t="s">
        <v>75</v>
      </c>
      <c r="B78" s="43">
        <v>634</v>
      </c>
      <c r="C78" s="43">
        <v>634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235</v>
      </c>
      <c r="V78" s="43">
        <v>235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>
      <c r="A79" s="43" t="s">
        <v>76</v>
      </c>
      <c r="B79" s="43">
        <v>74719</v>
      </c>
      <c r="C79" s="43" t="s">
        <v>35</v>
      </c>
      <c r="D79" s="43">
        <v>18789</v>
      </c>
      <c r="E79" s="43">
        <v>18861</v>
      </c>
      <c r="F79" s="43">
        <v>18321</v>
      </c>
      <c r="G79" s="43">
        <v>18665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83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10061</v>
      </c>
      <c r="V79" s="43" t="s">
        <v>35</v>
      </c>
      <c r="W79" s="43">
        <v>2574</v>
      </c>
      <c r="X79" s="43">
        <v>2636</v>
      </c>
      <c r="Y79" s="43">
        <v>2427</v>
      </c>
      <c r="Z79" s="43">
        <v>2342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82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>
      <c r="A81" s="43" t="s">
        <v>78</v>
      </c>
      <c r="B81" s="43">
        <v>4536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321</v>
      </c>
      <c r="I81" s="43">
        <v>433</v>
      </c>
      <c r="J81" s="43">
        <v>714</v>
      </c>
      <c r="K81" s="72">
        <v>840</v>
      </c>
      <c r="L81" s="43">
        <v>1171</v>
      </c>
      <c r="M81" s="43">
        <v>913</v>
      </c>
      <c r="N81" s="43">
        <v>144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1473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94</v>
      </c>
      <c r="AB81" s="43">
        <v>138</v>
      </c>
      <c r="AC81" s="43">
        <v>253</v>
      </c>
      <c r="AD81" s="72">
        <v>281</v>
      </c>
      <c r="AE81" s="43">
        <v>371</v>
      </c>
      <c r="AF81" s="43">
        <v>194</v>
      </c>
      <c r="AG81" s="43">
        <v>142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>
      <c r="A83" s="43" t="s">
        <v>80</v>
      </c>
      <c r="B83" s="43">
        <v>14441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1658</v>
      </c>
      <c r="I83" s="43">
        <v>1918</v>
      </c>
      <c r="J83" s="43">
        <v>2164</v>
      </c>
      <c r="K83" s="72">
        <v>2495</v>
      </c>
      <c r="L83" s="43">
        <v>2977</v>
      </c>
      <c r="M83" s="43">
        <v>3184</v>
      </c>
      <c r="N83" s="43">
        <v>45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2056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255</v>
      </c>
      <c r="AB83" s="43">
        <v>272</v>
      </c>
      <c r="AC83" s="43">
        <v>329</v>
      </c>
      <c r="AD83" s="72">
        <v>346</v>
      </c>
      <c r="AE83" s="43">
        <v>426</v>
      </c>
      <c r="AF83" s="43">
        <v>385</v>
      </c>
      <c r="AG83" s="43">
        <v>43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15240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2485</v>
      </c>
      <c r="I84" s="43">
        <v>2516</v>
      </c>
      <c r="J84" s="43">
        <v>2715</v>
      </c>
      <c r="K84" s="72">
        <v>2636</v>
      </c>
      <c r="L84" s="43">
        <v>2517</v>
      </c>
      <c r="M84" s="43">
        <v>2203</v>
      </c>
      <c r="N84" s="43">
        <v>168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2214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365</v>
      </c>
      <c r="AB84" s="43">
        <v>379</v>
      </c>
      <c r="AC84" s="43">
        <v>362</v>
      </c>
      <c r="AD84" s="72">
        <v>379</v>
      </c>
      <c r="AE84" s="43">
        <v>342</v>
      </c>
      <c r="AF84" s="43">
        <v>239</v>
      </c>
      <c r="AG84" s="43">
        <v>148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58261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7901</v>
      </c>
      <c r="I85" s="43">
        <v>8054</v>
      </c>
      <c r="J85" s="43">
        <v>7529</v>
      </c>
      <c r="K85" s="72">
        <v>7217</v>
      </c>
      <c r="L85" s="43">
        <v>6848</v>
      </c>
      <c r="M85" s="43">
        <v>6878</v>
      </c>
      <c r="N85" s="43">
        <v>240</v>
      </c>
      <c r="O85" s="43">
        <v>205</v>
      </c>
      <c r="P85" s="43">
        <v>6966</v>
      </c>
      <c r="Q85" s="43">
        <v>6423</v>
      </c>
      <c r="R85" s="43" t="s">
        <v>35</v>
      </c>
      <c r="T85" s="43" t="s">
        <v>82</v>
      </c>
      <c r="U85" s="43">
        <v>3010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435</v>
      </c>
      <c r="AB85" s="43">
        <v>379</v>
      </c>
      <c r="AC85" s="43">
        <v>339</v>
      </c>
      <c r="AD85" s="72">
        <v>341</v>
      </c>
      <c r="AE85" s="43">
        <v>327</v>
      </c>
      <c r="AF85" s="43">
        <v>412</v>
      </c>
      <c r="AG85" s="43">
        <v>182</v>
      </c>
      <c r="AH85" s="43">
        <v>22</v>
      </c>
      <c r="AI85" s="43">
        <v>267</v>
      </c>
      <c r="AJ85" s="43">
        <v>306</v>
      </c>
      <c r="AK85" s="43" t="s">
        <v>35</v>
      </c>
      <c r="AU85" s="49"/>
    </row>
    <row r="86" spans="1:47" ht="45">
      <c r="A86" s="43" t="s">
        <v>83</v>
      </c>
      <c r="B86" s="43">
        <v>30799</v>
      </c>
      <c r="C86" s="43" t="s">
        <v>35</v>
      </c>
      <c r="D86" s="43">
        <v>303</v>
      </c>
      <c r="E86" s="43">
        <v>273</v>
      </c>
      <c r="F86" s="43">
        <v>301</v>
      </c>
      <c r="G86" s="43">
        <v>295</v>
      </c>
      <c r="H86" s="43">
        <v>4220</v>
      </c>
      <c r="I86" s="43">
        <v>4254</v>
      </c>
      <c r="J86" s="43">
        <v>4219</v>
      </c>
      <c r="K86" s="72">
        <v>4284</v>
      </c>
      <c r="L86" s="43">
        <v>3746</v>
      </c>
      <c r="M86" s="43">
        <v>3433</v>
      </c>
      <c r="N86" s="43">
        <v>327</v>
      </c>
      <c r="O86" s="43" t="s">
        <v>35</v>
      </c>
      <c r="P86" s="43">
        <v>2043</v>
      </c>
      <c r="Q86" s="43">
        <v>1771</v>
      </c>
      <c r="R86" s="43">
        <v>1330</v>
      </c>
      <c r="T86" s="43" t="s">
        <v>83</v>
      </c>
      <c r="U86" s="43">
        <v>3051</v>
      </c>
      <c r="V86" s="43" t="s">
        <v>35</v>
      </c>
      <c r="W86" s="43">
        <v>35</v>
      </c>
      <c r="X86" s="43">
        <v>44</v>
      </c>
      <c r="Y86" s="43">
        <v>36</v>
      </c>
      <c r="Z86" s="43">
        <v>33</v>
      </c>
      <c r="AA86" s="43">
        <v>476</v>
      </c>
      <c r="AB86" s="43">
        <v>434</v>
      </c>
      <c r="AC86" s="43">
        <v>372</v>
      </c>
      <c r="AD86" s="72">
        <v>385</v>
      </c>
      <c r="AE86" s="43">
        <v>361</v>
      </c>
      <c r="AF86" s="43">
        <v>335</v>
      </c>
      <c r="AG86" s="43">
        <v>271</v>
      </c>
      <c r="AH86" s="43" t="s">
        <v>35</v>
      </c>
      <c r="AI86" s="43">
        <v>120</v>
      </c>
      <c r="AJ86" s="43">
        <v>92</v>
      </c>
      <c r="AK86" s="43">
        <v>57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>
      <c r="A88" s="43" t="s">
        <v>85</v>
      </c>
      <c r="B88" s="43">
        <v>2267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233</v>
      </c>
      <c r="I88" s="43">
        <v>279</v>
      </c>
      <c r="J88" s="43">
        <v>384</v>
      </c>
      <c r="K88" s="72">
        <v>384</v>
      </c>
      <c r="L88" s="43">
        <v>461</v>
      </c>
      <c r="M88" s="43">
        <v>325</v>
      </c>
      <c r="N88" s="43">
        <v>201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494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40</v>
      </c>
      <c r="AB88" s="43">
        <v>38</v>
      </c>
      <c r="AC88" s="43">
        <v>56</v>
      </c>
      <c r="AD88" s="72">
        <v>57</v>
      </c>
      <c r="AE88" s="43">
        <v>80</v>
      </c>
      <c r="AF88" s="43">
        <v>42</v>
      </c>
      <c r="AG88" s="43">
        <v>181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6595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1025</v>
      </c>
      <c r="I89" s="43">
        <v>999</v>
      </c>
      <c r="J89" s="43">
        <v>1085</v>
      </c>
      <c r="K89" s="72">
        <v>1109</v>
      </c>
      <c r="L89" s="43">
        <v>1123</v>
      </c>
      <c r="M89" s="43">
        <v>1239</v>
      </c>
      <c r="N89" s="43">
        <v>15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495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90</v>
      </c>
      <c r="AB89" s="43">
        <v>71</v>
      </c>
      <c r="AC89" s="43">
        <v>81</v>
      </c>
      <c r="AD89" s="72">
        <v>72</v>
      </c>
      <c r="AE89" s="43">
        <v>88</v>
      </c>
      <c r="AF89" s="43">
        <v>84</v>
      </c>
      <c r="AG89" s="43">
        <v>9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7817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907</v>
      </c>
      <c r="I90" s="43">
        <v>928</v>
      </c>
      <c r="J90" s="43">
        <v>940</v>
      </c>
      <c r="K90" s="72">
        <v>952</v>
      </c>
      <c r="L90" s="43">
        <v>945</v>
      </c>
      <c r="M90" s="43">
        <v>874</v>
      </c>
      <c r="N90" s="43" t="s">
        <v>35</v>
      </c>
      <c r="O90" s="43">
        <v>223</v>
      </c>
      <c r="P90" s="43">
        <v>1118</v>
      </c>
      <c r="Q90" s="43">
        <v>930</v>
      </c>
      <c r="R90" s="43" t="s">
        <v>35</v>
      </c>
      <c r="T90" s="43" t="s">
        <v>87</v>
      </c>
      <c r="U90" s="43">
        <v>275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29</v>
      </c>
      <c r="AB90" s="43">
        <v>36</v>
      </c>
      <c r="AC90" s="43">
        <v>37</v>
      </c>
      <c r="AD90" s="72">
        <v>34</v>
      </c>
      <c r="AE90" s="43">
        <v>34</v>
      </c>
      <c r="AF90" s="43">
        <v>35</v>
      </c>
      <c r="AG90" s="43" t="s">
        <v>35</v>
      </c>
      <c r="AH90" s="43">
        <v>7</v>
      </c>
      <c r="AI90" s="43">
        <v>38</v>
      </c>
      <c r="AJ90" s="43">
        <v>25</v>
      </c>
      <c r="AK90" s="43" t="s">
        <v>35</v>
      </c>
      <c r="AU90" s="49"/>
    </row>
    <row r="91" spans="1:47" ht="75">
      <c r="A91" s="43" t="s">
        <v>88</v>
      </c>
      <c r="B91" s="43">
        <v>985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103</v>
      </c>
      <c r="I91" s="43">
        <v>116</v>
      </c>
      <c r="J91" s="43">
        <v>103</v>
      </c>
      <c r="K91" s="72">
        <v>134</v>
      </c>
      <c r="L91" s="43">
        <v>121</v>
      </c>
      <c r="M91" s="43">
        <v>122</v>
      </c>
      <c r="N91" s="43" t="s">
        <v>35</v>
      </c>
      <c r="O91" s="43" t="s">
        <v>35</v>
      </c>
      <c r="P91" s="43">
        <v>97</v>
      </c>
      <c r="Q91" s="43">
        <v>95</v>
      </c>
      <c r="R91" s="43">
        <v>94</v>
      </c>
      <c r="T91" s="43" t="s">
        <v>88</v>
      </c>
      <c r="U91" s="43">
        <v>39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7</v>
      </c>
      <c r="AB91" s="43">
        <v>7</v>
      </c>
      <c r="AC91" s="43">
        <v>3</v>
      </c>
      <c r="AD91" s="72">
        <v>6</v>
      </c>
      <c r="AE91" s="43">
        <v>4</v>
      </c>
      <c r="AF91" s="43">
        <v>6</v>
      </c>
      <c r="AG91" s="43" t="s">
        <v>35</v>
      </c>
      <c r="AH91" s="43" t="s">
        <v>35</v>
      </c>
      <c r="AI91" s="43">
        <v>4</v>
      </c>
      <c r="AJ91" s="43">
        <v>1</v>
      </c>
      <c r="AK91" s="43">
        <v>1</v>
      </c>
      <c r="AU91" s="49"/>
    </row>
    <row r="92" spans="1:47" ht="45">
      <c r="A92" s="43" t="s">
        <v>89</v>
      </c>
      <c r="B92" s="43">
        <v>63</v>
      </c>
      <c r="C92" s="43">
        <v>63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>
      <c r="A93" s="43" t="s">
        <v>90</v>
      </c>
      <c r="B93" s="43">
        <v>1333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 t="s">
        <v>35</v>
      </c>
      <c r="I93" s="43">
        <v>254</v>
      </c>
      <c r="J93" s="43">
        <v>258</v>
      </c>
      <c r="K93" s="72">
        <v>259</v>
      </c>
      <c r="L93" s="43">
        <v>327</v>
      </c>
      <c r="M93" s="43">
        <v>235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144</v>
      </c>
      <c r="V93" s="43" t="s">
        <v>35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>
        <v>18</v>
      </c>
      <c r="AC93" s="43">
        <v>27</v>
      </c>
      <c r="AD93" s="72">
        <v>27</v>
      </c>
      <c r="AE93" s="43">
        <v>42</v>
      </c>
      <c r="AF93" s="43">
        <v>30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2036</v>
      </c>
      <c r="C94" s="43" t="s">
        <v>35</v>
      </c>
      <c r="D94" s="43">
        <v>600</v>
      </c>
      <c r="E94" s="43" t="s">
        <v>35</v>
      </c>
      <c r="F94" s="43" t="s">
        <v>35</v>
      </c>
      <c r="G94" s="43" t="s">
        <v>35</v>
      </c>
      <c r="H94" s="43">
        <v>842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594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254</v>
      </c>
      <c r="V94" s="43" t="s">
        <v>35</v>
      </c>
      <c r="W94" s="43">
        <v>73</v>
      </c>
      <c r="X94" s="43" t="s">
        <v>35</v>
      </c>
      <c r="Y94" s="43" t="s">
        <v>35</v>
      </c>
      <c r="Z94" s="43" t="s">
        <v>35</v>
      </c>
      <c r="AA94" s="43">
        <v>93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88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3049</v>
      </c>
      <c r="C95" s="43" t="s">
        <v>35</v>
      </c>
      <c r="D95" s="43">
        <v>388</v>
      </c>
      <c r="E95" s="43">
        <v>444</v>
      </c>
      <c r="F95" s="43">
        <v>302</v>
      </c>
      <c r="G95" s="43">
        <v>342</v>
      </c>
      <c r="H95" s="43">
        <v>255</v>
      </c>
      <c r="I95" s="43">
        <v>280</v>
      </c>
      <c r="J95" s="43">
        <v>263</v>
      </c>
      <c r="K95" s="72">
        <v>263</v>
      </c>
      <c r="L95" s="43">
        <v>292</v>
      </c>
      <c r="M95" s="43">
        <v>220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252</v>
      </c>
      <c r="V95" s="43" t="s">
        <v>35</v>
      </c>
      <c r="W95" s="43">
        <v>42</v>
      </c>
      <c r="X95" s="43">
        <v>50</v>
      </c>
      <c r="Y95" s="43">
        <v>24</v>
      </c>
      <c r="Z95" s="43">
        <v>24</v>
      </c>
      <c r="AA95" s="43">
        <v>13</v>
      </c>
      <c r="AB95" s="43">
        <v>18</v>
      </c>
      <c r="AC95" s="43">
        <v>22</v>
      </c>
      <c r="AD95" s="72">
        <v>19</v>
      </c>
      <c r="AE95" s="43">
        <v>18</v>
      </c>
      <c r="AF95" s="43">
        <v>22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>
      <c r="A96" s="43" t="s">
        <v>93</v>
      </c>
      <c r="B96" s="43">
        <v>144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66</v>
      </c>
      <c r="Q96" s="43">
        <v>50</v>
      </c>
      <c r="R96" s="43">
        <v>28</v>
      </c>
      <c r="T96" s="43" t="s">
        <v>93</v>
      </c>
      <c r="U96" s="43">
        <v>8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5</v>
      </c>
      <c r="AJ96" s="43">
        <v>3</v>
      </c>
      <c r="AK96" s="43" t="s">
        <v>35</v>
      </c>
      <c r="AU96" s="49"/>
    </row>
    <row r="97" spans="1:47">
      <c r="A97" s="43" t="s">
        <v>94</v>
      </c>
      <c r="B97" s="43">
        <v>253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89</v>
      </c>
      <c r="Q97" s="43">
        <v>94</v>
      </c>
      <c r="R97" s="43">
        <v>70</v>
      </c>
      <c r="T97" s="43" t="s">
        <v>94</v>
      </c>
      <c r="U97" s="43">
        <v>14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7</v>
      </c>
      <c r="AJ97" s="43">
        <v>1</v>
      </c>
      <c r="AK97" s="43">
        <v>6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183666</v>
      </c>
      <c r="C100" s="43">
        <v>613</v>
      </c>
      <c r="D100" s="43">
        <v>16116</v>
      </c>
      <c r="E100" s="43">
        <v>16404</v>
      </c>
      <c r="F100" s="43">
        <v>15955</v>
      </c>
      <c r="G100" s="43">
        <v>15781</v>
      </c>
      <c r="H100" s="43">
        <v>16969</v>
      </c>
      <c r="I100" s="43">
        <v>16902</v>
      </c>
      <c r="J100" s="43">
        <v>17515</v>
      </c>
      <c r="K100" s="72">
        <v>17857</v>
      </c>
      <c r="L100" s="43">
        <v>17588</v>
      </c>
      <c r="M100" s="43">
        <v>17156</v>
      </c>
      <c r="N100" s="43">
        <v>744</v>
      </c>
      <c r="O100" s="43">
        <v>280</v>
      </c>
      <c r="P100" s="43">
        <v>7156</v>
      </c>
      <c r="Q100" s="43">
        <v>6371</v>
      </c>
      <c r="R100" s="43">
        <v>259</v>
      </c>
      <c r="T100" s="43" t="s">
        <v>40</v>
      </c>
      <c r="U100" s="43">
        <v>13075</v>
      </c>
      <c r="V100" s="43">
        <v>139</v>
      </c>
      <c r="W100" s="43">
        <v>1578</v>
      </c>
      <c r="X100" s="43">
        <v>1559</v>
      </c>
      <c r="Y100" s="43">
        <v>1441</v>
      </c>
      <c r="Z100" s="43">
        <v>1328</v>
      </c>
      <c r="AA100" s="43">
        <v>1104</v>
      </c>
      <c r="AB100" s="43">
        <v>1011</v>
      </c>
      <c r="AC100" s="43">
        <v>1000</v>
      </c>
      <c r="AD100" s="72">
        <v>1031</v>
      </c>
      <c r="AE100" s="43">
        <v>1125</v>
      </c>
      <c r="AF100" s="43">
        <v>791</v>
      </c>
      <c r="AG100" s="43">
        <v>693</v>
      </c>
      <c r="AH100" s="43">
        <v>6</v>
      </c>
      <c r="AI100" s="43">
        <v>163</v>
      </c>
      <c r="AJ100" s="43">
        <v>100</v>
      </c>
      <c r="AK100" s="43">
        <v>6</v>
      </c>
      <c r="AU100" s="49"/>
    </row>
    <row r="101" spans="1:47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>
      <c r="A102" s="43" t="s">
        <v>75</v>
      </c>
      <c r="B102" s="43">
        <v>613</v>
      </c>
      <c r="C102" s="43">
        <v>613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139</v>
      </c>
      <c r="V102" s="43">
        <v>139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>
      <c r="A103" s="43" t="s">
        <v>76</v>
      </c>
      <c r="B103" s="43">
        <v>62251</v>
      </c>
      <c r="C103" s="43" t="s">
        <v>35</v>
      </c>
      <c r="D103" s="43">
        <v>15226</v>
      </c>
      <c r="E103" s="43">
        <v>15937</v>
      </c>
      <c r="F103" s="43">
        <v>15567</v>
      </c>
      <c r="G103" s="43">
        <v>15413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108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5933</v>
      </c>
      <c r="V103" s="43" t="s">
        <v>35</v>
      </c>
      <c r="W103" s="43">
        <v>1529</v>
      </c>
      <c r="X103" s="43">
        <v>1546</v>
      </c>
      <c r="Y103" s="43">
        <v>1439</v>
      </c>
      <c r="Z103" s="43">
        <v>1324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95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>
      <c r="A105" s="43" t="s">
        <v>78</v>
      </c>
      <c r="B105" s="43">
        <v>3985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444</v>
      </c>
      <c r="I105" s="43">
        <v>522</v>
      </c>
      <c r="J105" s="43">
        <v>662</v>
      </c>
      <c r="K105" s="72">
        <v>693</v>
      </c>
      <c r="L105" s="43">
        <v>930</v>
      </c>
      <c r="M105" s="43">
        <v>652</v>
      </c>
      <c r="N105" s="43">
        <v>82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792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88</v>
      </c>
      <c r="AB105" s="43">
        <v>109</v>
      </c>
      <c r="AC105" s="43">
        <v>125</v>
      </c>
      <c r="AD105" s="72">
        <v>137</v>
      </c>
      <c r="AE105" s="43">
        <v>172</v>
      </c>
      <c r="AF105" s="43">
        <v>80</v>
      </c>
      <c r="AG105" s="43">
        <v>81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>
      <c r="A107" s="43" t="s">
        <v>80</v>
      </c>
      <c r="B107" s="43">
        <v>9931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1403</v>
      </c>
      <c r="I107" s="43">
        <v>1449</v>
      </c>
      <c r="J107" s="43">
        <v>1476</v>
      </c>
      <c r="K107" s="72">
        <v>1563</v>
      </c>
      <c r="L107" s="43">
        <v>1846</v>
      </c>
      <c r="M107" s="43">
        <v>2194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727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128</v>
      </c>
      <c r="AB107" s="43">
        <v>104</v>
      </c>
      <c r="AC107" s="43">
        <v>102</v>
      </c>
      <c r="AD107" s="72">
        <v>111</v>
      </c>
      <c r="AE107" s="43">
        <v>157</v>
      </c>
      <c r="AF107" s="43">
        <v>125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29831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4431</v>
      </c>
      <c r="I108" s="43">
        <v>4656</v>
      </c>
      <c r="J108" s="43">
        <v>5232</v>
      </c>
      <c r="K108" s="72">
        <v>5434</v>
      </c>
      <c r="L108" s="43">
        <v>5277</v>
      </c>
      <c r="M108" s="43">
        <v>4471</v>
      </c>
      <c r="N108" s="43">
        <v>330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2627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398</v>
      </c>
      <c r="AB108" s="43">
        <v>395</v>
      </c>
      <c r="AC108" s="43">
        <v>429</v>
      </c>
      <c r="AD108" s="72">
        <v>453</v>
      </c>
      <c r="AE108" s="43">
        <v>437</v>
      </c>
      <c r="AF108" s="43">
        <v>212</v>
      </c>
      <c r="AG108" s="43">
        <v>303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48252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6465</v>
      </c>
      <c r="I109" s="43">
        <v>6445</v>
      </c>
      <c r="J109" s="43">
        <v>6220</v>
      </c>
      <c r="K109" s="72">
        <v>6245</v>
      </c>
      <c r="L109" s="43">
        <v>5705</v>
      </c>
      <c r="M109" s="43">
        <v>5893</v>
      </c>
      <c r="N109" s="43">
        <v>129</v>
      </c>
      <c r="O109" s="43">
        <v>143</v>
      </c>
      <c r="P109" s="43">
        <v>5702</v>
      </c>
      <c r="Q109" s="43">
        <v>5305</v>
      </c>
      <c r="R109" s="43" t="s">
        <v>35</v>
      </c>
      <c r="T109" s="43" t="s">
        <v>82</v>
      </c>
      <c r="U109" s="43">
        <v>1456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241</v>
      </c>
      <c r="AB109" s="43">
        <v>188</v>
      </c>
      <c r="AC109" s="43">
        <v>150</v>
      </c>
      <c r="AD109" s="72">
        <v>160</v>
      </c>
      <c r="AE109" s="43">
        <v>182</v>
      </c>
      <c r="AF109" s="43">
        <v>205</v>
      </c>
      <c r="AG109" s="43">
        <v>119</v>
      </c>
      <c r="AH109" s="43">
        <v>3</v>
      </c>
      <c r="AI109" s="43">
        <v>124</v>
      </c>
      <c r="AJ109" s="43">
        <v>84</v>
      </c>
      <c r="AK109" s="43" t="s">
        <v>35</v>
      </c>
      <c r="AU109" s="49"/>
    </row>
    <row r="110" spans="1:47" ht="45">
      <c r="A110" s="43" t="s">
        <v>83</v>
      </c>
      <c r="B110" s="43">
        <v>13836</v>
      </c>
      <c r="C110" s="43" t="s">
        <v>35</v>
      </c>
      <c r="D110" s="43">
        <v>234</v>
      </c>
      <c r="E110" s="43">
        <v>232</v>
      </c>
      <c r="F110" s="43">
        <v>249</v>
      </c>
      <c r="G110" s="43">
        <v>251</v>
      </c>
      <c r="H110" s="43">
        <v>1960</v>
      </c>
      <c r="I110" s="43">
        <v>1975</v>
      </c>
      <c r="J110" s="43">
        <v>2002</v>
      </c>
      <c r="K110" s="72">
        <v>1905</v>
      </c>
      <c r="L110" s="43">
        <v>1688</v>
      </c>
      <c r="M110" s="43">
        <v>1520</v>
      </c>
      <c r="N110" s="43">
        <v>82</v>
      </c>
      <c r="O110" s="43" t="s">
        <v>35</v>
      </c>
      <c r="P110" s="43">
        <v>879</v>
      </c>
      <c r="Q110" s="43">
        <v>600</v>
      </c>
      <c r="R110" s="43">
        <v>259</v>
      </c>
      <c r="T110" s="43" t="s">
        <v>83</v>
      </c>
      <c r="U110" s="43">
        <v>716</v>
      </c>
      <c r="V110" s="43" t="s">
        <v>35</v>
      </c>
      <c r="W110" s="43" t="s">
        <v>35</v>
      </c>
      <c r="X110" s="43">
        <v>1</v>
      </c>
      <c r="Y110" s="43" t="s">
        <v>35</v>
      </c>
      <c r="Z110" s="43">
        <v>1</v>
      </c>
      <c r="AA110" s="43">
        <v>137</v>
      </c>
      <c r="AB110" s="43">
        <v>108</v>
      </c>
      <c r="AC110" s="43">
        <v>114</v>
      </c>
      <c r="AD110" s="72">
        <v>89</v>
      </c>
      <c r="AE110" s="43">
        <v>78</v>
      </c>
      <c r="AF110" s="43">
        <v>62</v>
      </c>
      <c r="AG110" s="43">
        <v>82</v>
      </c>
      <c r="AH110" s="43" t="s">
        <v>35</v>
      </c>
      <c r="AI110" s="43">
        <v>27</v>
      </c>
      <c r="AJ110" s="43">
        <v>11</v>
      </c>
      <c r="AK110" s="43">
        <v>6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>
      <c r="A112" s="43" t="s">
        <v>85</v>
      </c>
      <c r="B112" s="43">
        <v>1604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224</v>
      </c>
      <c r="I112" s="43">
        <v>230</v>
      </c>
      <c r="J112" s="43">
        <v>256</v>
      </c>
      <c r="K112" s="72">
        <v>310</v>
      </c>
      <c r="L112" s="43">
        <v>357</v>
      </c>
      <c r="M112" s="43">
        <v>214</v>
      </c>
      <c r="N112" s="43">
        <v>13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179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27</v>
      </c>
      <c r="AB112" s="43">
        <v>33</v>
      </c>
      <c r="AC112" s="43">
        <v>25</v>
      </c>
      <c r="AD112" s="72">
        <v>26</v>
      </c>
      <c r="AE112" s="43">
        <v>36</v>
      </c>
      <c r="AF112" s="43">
        <v>19</v>
      </c>
      <c r="AG112" s="43">
        <v>13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4427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641</v>
      </c>
      <c r="I113" s="43">
        <v>679</v>
      </c>
      <c r="J113" s="43">
        <v>715</v>
      </c>
      <c r="K113" s="72">
        <v>749</v>
      </c>
      <c r="L113" s="43">
        <v>844</v>
      </c>
      <c r="M113" s="43">
        <v>799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177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34</v>
      </c>
      <c r="AB113" s="43">
        <v>32</v>
      </c>
      <c r="AC113" s="43">
        <v>25</v>
      </c>
      <c r="AD113" s="72">
        <v>27</v>
      </c>
      <c r="AE113" s="43">
        <v>29</v>
      </c>
      <c r="AF113" s="43">
        <v>30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4569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516</v>
      </c>
      <c r="I114" s="43">
        <v>576</v>
      </c>
      <c r="J114" s="43">
        <v>603</v>
      </c>
      <c r="K114" s="72">
        <v>589</v>
      </c>
      <c r="L114" s="43">
        <v>525</v>
      </c>
      <c r="M114" s="43">
        <v>582</v>
      </c>
      <c r="N114" s="43" t="s">
        <v>35</v>
      </c>
      <c r="O114" s="43">
        <v>137</v>
      </c>
      <c r="P114" s="43">
        <v>575</v>
      </c>
      <c r="Q114" s="43">
        <v>466</v>
      </c>
      <c r="R114" s="43" t="s">
        <v>35</v>
      </c>
      <c r="T114" s="43" t="s">
        <v>87</v>
      </c>
      <c r="U114" s="43">
        <v>114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18</v>
      </c>
      <c r="AB114" s="43">
        <v>20</v>
      </c>
      <c r="AC114" s="43">
        <v>17</v>
      </c>
      <c r="AD114" s="72">
        <v>7</v>
      </c>
      <c r="AE114" s="43">
        <v>10</v>
      </c>
      <c r="AF114" s="43">
        <v>22</v>
      </c>
      <c r="AG114" s="43" t="s">
        <v>35</v>
      </c>
      <c r="AH114" s="43">
        <v>3</v>
      </c>
      <c r="AI114" s="43">
        <v>12</v>
      </c>
      <c r="AJ114" s="43">
        <v>5</v>
      </c>
      <c r="AK114" s="43" t="s">
        <v>35</v>
      </c>
      <c r="AU114" s="49"/>
    </row>
    <row r="115" spans="1:47" ht="75">
      <c r="A115" s="43" t="s">
        <v>88</v>
      </c>
      <c r="B115" s="43">
        <v>326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43</v>
      </c>
      <c r="I115" s="43">
        <v>62</v>
      </c>
      <c r="J115" s="43">
        <v>45</v>
      </c>
      <c r="K115" s="72">
        <v>60</v>
      </c>
      <c r="L115" s="43">
        <v>56</v>
      </c>
      <c r="M115" s="43">
        <v>60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4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</v>
      </c>
      <c r="AB115" s="43" t="s">
        <v>35</v>
      </c>
      <c r="AC115" s="43" t="s">
        <v>35</v>
      </c>
      <c r="AD115" s="72">
        <v>1</v>
      </c>
      <c r="AE115" s="43">
        <v>1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1056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 t="s">
        <v>35</v>
      </c>
      <c r="I117" s="43">
        <v>222</v>
      </c>
      <c r="J117" s="43">
        <v>182</v>
      </c>
      <c r="K117" s="72">
        <v>202</v>
      </c>
      <c r="L117" s="43">
        <v>261</v>
      </c>
      <c r="M117" s="43">
        <v>189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70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>
        <v>21</v>
      </c>
      <c r="AC117" s="43">
        <v>10</v>
      </c>
      <c r="AD117" s="72">
        <v>12</v>
      </c>
      <c r="AE117" s="43">
        <v>16</v>
      </c>
      <c r="AF117" s="43">
        <v>11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1722</v>
      </c>
      <c r="C118" s="43" t="s">
        <v>35</v>
      </c>
      <c r="D118" s="43">
        <v>466</v>
      </c>
      <c r="E118" s="43" t="s">
        <v>35</v>
      </c>
      <c r="F118" s="43" t="s">
        <v>35</v>
      </c>
      <c r="G118" s="43" t="s">
        <v>35</v>
      </c>
      <c r="H118" s="43">
        <v>732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524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84</v>
      </c>
      <c r="V118" s="43" t="s">
        <v>35</v>
      </c>
      <c r="W118" s="43">
        <v>39</v>
      </c>
      <c r="X118" s="43" t="s">
        <v>35</v>
      </c>
      <c r="Y118" s="43" t="s">
        <v>35</v>
      </c>
      <c r="Z118" s="43" t="s">
        <v>35</v>
      </c>
      <c r="AA118" s="43">
        <v>31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14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1263</v>
      </c>
      <c r="C119" s="43" t="s">
        <v>35</v>
      </c>
      <c r="D119" s="43">
        <v>190</v>
      </c>
      <c r="E119" s="43">
        <v>235</v>
      </c>
      <c r="F119" s="43">
        <v>139</v>
      </c>
      <c r="G119" s="43">
        <v>117</v>
      </c>
      <c r="H119" s="43">
        <v>110</v>
      </c>
      <c r="I119" s="43">
        <v>86</v>
      </c>
      <c r="J119" s="43">
        <v>122</v>
      </c>
      <c r="K119" s="72">
        <v>107</v>
      </c>
      <c r="L119" s="43">
        <v>99</v>
      </c>
      <c r="M119" s="43">
        <v>58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57</v>
      </c>
      <c r="V119" s="43" t="s">
        <v>35</v>
      </c>
      <c r="W119" s="43">
        <v>10</v>
      </c>
      <c r="X119" s="43">
        <v>12</v>
      </c>
      <c r="Y119" s="43">
        <v>2</v>
      </c>
      <c r="Z119" s="43">
        <v>3</v>
      </c>
      <c r="AA119" s="43" t="s">
        <v>35</v>
      </c>
      <c r="AB119" s="43">
        <v>1</v>
      </c>
      <c r="AC119" s="43">
        <v>3</v>
      </c>
      <c r="AD119" s="72">
        <v>8</v>
      </c>
      <c r="AE119" s="43">
        <v>7</v>
      </c>
      <c r="AF119" s="43">
        <v>11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273420</v>
      </c>
      <c r="C124" s="43">
        <v>1001</v>
      </c>
      <c r="D124" s="43">
        <v>24174</v>
      </c>
      <c r="E124" s="43">
        <v>24250</v>
      </c>
      <c r="F124" s="43">
        <v>23491</v>
      </c>
      <c r="G124" s="43">
        <v>23615</v>
      </c>
      <c r="H124" s="43">
        <v>24894</v>
      </c>
      <c r="I124" s="43">
        <v>25332</v>
      </c>
      <c r="J124" s="43">
        <v>26194</v>
      </c>
      <c r="K124" s="72">
        <v>26770</v>
      </c>
      <c r="L124" s="43">
        <v>26336</v>
      </c>
      <c r="M124" s="43">
        <v>25335</v>
      </c>
      <c r="N124" s="43">
        <v>1495</v>
      </c>
      <c r="O124" s="43">
        <v>318</v>
      </c>
      <c r="P124" s="43">
        <v>10135</v>
      </c>
      <c r="Q124" s="43">
        <v>9089</v>
      </c>
      <c r="R124" s="43">
        <v>991</v>
      </c>
      <c r="T124" s="43" t="s">
        <v>40</v>
      </c>
      <c r="U124" s="43">
        <v>25094</v>
      </c>
      <c r="V124" s="43">
        <v>299</v>
      </c>
      <c r="W124" s="43">
        <v>2987</v>
      </c>
      <c r="X124" s="43">
        <v>3139</v>
      </c>
      <c r="Y124" s="43">
        <v>2647</v>
      </c>
      <c r="Z124" s="43">
        <v>2485</v>
      </c>
      <c r="AA124" s="43">
        <v>2179</v>
      </c>
      <c r="AB124" s="43">
        <v>1959</v>
      </c>
      <c r="AC124" s="43">
        <v>1903</v>
      </c>
      <c r="AD124" s="72">
        <v>1981</v>
      </c>
      <c r="AE124" s="43">
        <v>2029</v>
      </c>
      <c r="AF124" s="43">
        <v>1648</v>
      </c>
      <c r="AG124" s="43">
        <v>1382</v>
      </c>
      <c r="AH124" s="43">
        <v>15</v>
      </c>
      <c r="AI124" s="43">
        <v>253</v>
      </c>
      <c r="AJ124" s="43">
        <v>169</v>
      </c>
      <c r="AK124" s="43">
        <v>19</v>
      </c>
      <c r="AU124" s="49"/>
    </row>
    <row r="125" spans="1:47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>
      <c r="A126" s="43" t="s">
        <v>75</v>
      </c>
      <c r="B126" s="43">
        <v>1001</v>
      </c>
      <c r="C126" s="43">
        <v>1001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299</v>
      </c>
      <c r="V126" s="43">
        <v>299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>
      <c r="A127" s="43" t="s">
        <v>76</v>
      </c>
      <c r="B127" s="43">
        <v>92330</v>
      </c>
      <c r="C127" s="43" t="s">
        <v>35</v>
      </c>
      <c r="D127" s="43">
        <v>22657</v>
      </c>
      <c r="E127" s="43">
        <v>23405</v>
      </c>
      <c r="F127" s="43">
        <v>22849</v>
      </c>
      <c r="G127" s="43">
        <v>22993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426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11350</v>
      </c>
      <c r="V127" s="43" t="s">
        <v>35</v>
      </c>
      <c r="W127" s="43">
        <v>2811</v>
      </c>
      <c r="X127" s="43">
        <v>3071</v>
      </c>
      <c r="Y127" s="43">
        <v>2614</v>
      </c>
      <c r="Z127" s="43">
        <v>2455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399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>
      <c r="A129" s="43" t="s">
        <v>78</v>
      </c>
      <c r="B129" s="43">
        <v>7800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698</v>
      </c>
      <c r="I129" s="43">
        <v>866</v>
      </c>
      <c r="J129" s="43">
        <v>1141</v>
      </c>
      <c r="K129" s="72">
        <v>1419</v>
      </c>
      <c r="L129" s="43">
        <v>1928</v>
      </c>
      <c r="M129" s="43">
        <v>1523</v>
      </c>
      <c r="N129" s="43">
        <v>225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1504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131</v>
      </c>
      <c r="AB129" s="43">
        <v>161</v>
      </c>
      <c r="AC129" s="43">
        <v>233</v>
      </c>
      <c r="AD129" s="72">
        <v>247</v>
      </c>
      <c r="AE129" s="43">
        <v>361</v>
      </c>
      <c r="AF129" s="43">
        <v>169</v>
      </c>
      <c r="AG129" s="43">
        <v>202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>
      <c r="A131" s="43" t="s">
        <v>80</v>
      </c>
      <c r="B131" s="43">
        <v>19280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2335</v>
      </c>
      <c r="I131" s="43">
        <v>2445</v>
      </c>
      <c r="J131" s="43">
        <v>2653</v>
      </c>
      <c r="K131" s="72">
        <v>3267</v>
      </c>
      <c r="L131" s="43">
        <v>3944</v>
      </c>
      <c r="M131" s="43">
        <v>4490</v>
      </c>
      <c r="N131" s="43">
        <v>146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1664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216</v>
      </c>
      <c r="AB131" s="43">
        <v>209</v>
      </c>
      <c r="AC131" s="43">
        <v>226</v>
      </c>
      <c r="AD131" s="72">
        <v>248</v>
      </c>
      <c r="AE131" s="43">
        <v>315</v>
      </c>
      <c r="AF131" s="43">
        <v>327</v>
      </c>
      <c r="AG131" s="43">
        <v>123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46077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7400</v>
      </c>
      <c r="I132" s="43">
        <v>7939</v>
      </c>
      <c r="J132" s="43">
        <v>8339</v>
      </c>
      <c r="K132" s="72">
        <v>8395</v>
      </c>
      <c r="L132" s="43">
        <v>7441</v>
      </c>
      <c r="M132" s="43">
        <v>6005</v>
      </c>
      <c r="N132" s="43">
        <v>558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5688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1024</v>
      </c>
      <c r="AB132" s="43">
        <v>970</v>
      </c>
      <c r="AC132" s="43">
        <v>885</v>
      </c>
      <c r="AD132" s="72">
        <v>956</v>
      </c>
      <c r="AE132" s="43">
        <v>830</v>
      </c>
      <c r="AF132" s="43">
        <v>482</v>
      </c>
      <c r="AG132" s="43">
        <v>541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67001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8809</v>
      </c>
      <c r="I133" s="43">
        <v>8956</v>
      </c>
      <c r="J133" s="43">
        <v>8947</v>
      </c>
      <c r="K133" s="72">
        <v>8603</v>
      </c>
      <c r="L133" s="43">
        <v>8072</v>
      </c>
      <c r="M133" s="43">
        <v>8149</v>
      </c>
      <c r="N133" s="43">
        <v>55</v>
      </c>
      <c r="O133" s="43">
        <v>283</v>
      </c>
      <c r="P133" s="43">
        <v>7894</v>
      </c>
      <c r="Q133" s="43">
        <v>7233</v>
      </c>
      <c r="R133" s="43" t="s">
        <v>35</v>
      </c>
      <c r="T133" s="43" t="s">
        <v>82</v>
      </c>
      <c r="U133" s="43">
        <v>2232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417</v>
      </c>
      <c r="AB133" s="43">
        <v>326</v>
      </c>
      <c r="AC133" s="43">
        <v>276</v>
      </c>
      <c r="AD133" s="72">
        <v>262</v>
      </c>
      <c r="AE133" s="43">
        <v>242</v>
      </c>
      <c r="AF133" s="43">
        <v>342</v>
      </c>
      <c r="AG133" s="43">
        <v>50</v>
      </c>
      <c r="AH133" s="43">
        <v>14</v>
      </c>
      <c r="AI133" s="43">
        <v>164</v>
      </c>
      <c r="AJ133" s="43">
        <v>139</v>
      </c>
      <c r="AK133" s="43" t="s">
        <v>35</v>
      </c>
      <c r="AU133" s="49"/>
    </row>
    <row r="134" spans="1:47" ht="45">
      <c r="A134" s="43" t="s">
        <v>83</v>
      </c>
      <c r="B134" s="43">
        <v>21309</v>
      </c>
      <c r="C134" s="43" t="s">
        <v>35</v>
      </c>
      <c r="D134" s="43">
        <v>159</v>
      </c>
      <c r="E134" s="43">
        <v>156</v>
      </c>
      <c r="F134" s="43">
        <v>169</v>
      </c>
      <c r="G134" s="43">
        <v>181</v>
      </c>
      <c r="H134" s="43">
        <v>2940</v>
      </c>
      <c r="I134" s="43">
        <v>2989</v>
      </c>
      <c r="J134" s="43">
        <v>2981</v>
      </c>
      <c r="K134" s="72">
        <v>2831</v>
      </c>
      <c r="L134" s="43">
        <v>2661</v>
      </c>
      <c r="M134" s="43">
        <v>2685</v>
      </c>
      <c r="N134" s="43">
        <v>74</v>
      </c>
      <c r="O134" s="43" t="s">
        <v>35</v>
      </c>
      <c r="P134" s="43">
        <v>1508</v>
      </c>
      <c r="Q134" s="43">
        <v>1210</v>
      </c>
      <c r="R134" s="43">
        <v>765</v>
      </c>
      <c r="T134" s="43" t="s">
        <v>83</v>
      </c>
      <c r="U134" s="43">
        <v>1042</v>
      </c>
      <c r="V134" s="43" t="s">
        <v>35</v>
      </c>
      <c r="W134" s="43">
        <v>2</v>
      </c>
      <c r="X134" s="43" t="s">
        <v>35</v>
      </c>
      <c r="Y134" s="43">
        <v>1</v>
      </c>
      <c r="Z134" s="43">
        <v>1</v>
      </c>
      <c r="AA134" s="43">
        <v>175</v>
      </c>
      <c r="AB134" s="43">
        <v>159</v>
      </c>
      <c r="AC134" s="43">
        <v>147</v>
      </c>
      <c r="AD134" s="72">
        <v>125</v>
      </c>
      <c r="AE134" s="43">
        <v>147</v>
      </c>
      <c r="AF134" s="43">
        <v>153</v>
      </c>
      <c r="AG134" s="43">
        <v>56</v>
      </c>
      <c r="AH134" s="43" t="s">
        <v>35</v>
      </c>
      <c r="AI134" s="43">
        <v>49</v>
      </c>
      <c r="AJ134" s="43">
        <v>16</v>
      </c>
      <c r="AK134" s="43">
        <v>11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>
      <c r="A136" s="43" t="s">
        <v>85</v>
      </c>
      <c r="B136" s="43">
        <v>1298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187</v>
      </c>
      <c r="I136" s="43">
        <v>162</v>
      </c>
      <c r="J136" s="43">
        <v>243</v>
      </c>
      <c r="K136" s="72">
        <v>258</v>
      </c>
      <c r="L136" s="43">
        <v>277</v>
      </c>
      <c r="M136" s="43">
        <v>160</v>
      </c>
      <c r="N136" s="43">
        <v>11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170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24</v>
      </c>
      <c r="AB136" s="43">
        <v>22</v>
      </c>
      <c r="AC136" s="43">
        <v>30</v>
      </c>
      <c r="AD136" s="72">
        <v>28</v>
      </c>
      <c r="AE136" s="43">
        <v>39</v>
      </c>
      <c r="AF136" s="43">
        <v>16</v>
      </c>
      <c r="AG136" s="43">
        <v>11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3024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486</v>
      </c>
      <c r="I137" s="43">
        <v>471</v>
      </c>
      <c r="J137" s="43">
        <v>477</v>
      </c>
      <c r="K137" s="72">
        <v>518</v>
      </c>
      <c r="L137" s="43">
        <v>509</v>
      </c>
      <c r="M137" s="43">
        <v>563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164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25</v>
      </c>
      <c r="AB137" s="43">
        <v>26</v>
      </c>
      <c r="AC137" s="43">
        <v>23</v>
      </c>
      <c r="AD137" s="72">
        <v>30</v>
      </c>
      <c r="AE137" s="43">
        <v>22</v>
      </c>
      <c r="AF137" s="43">
        <v>38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2941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348</v>
      </c>
      <c r="I138" s="43">
        <v>351</v>
      </c>
      <c r="J138" s="43">
        <v>414</v>
      </c>
      <c r="K138" s="72">
        <v>381</v>
      </c>
      <c r="L138" s="43">
        <v>368</v>
      </c>
      <c r="M138" s="43">
        <v>385</v>
      </c>
      <c r="N138" s="43" t="s">
        <v>35</v>
      </c>
      <c r="O138" s="43">
        <v>35</v>
      </c>
      <c r="P138" s="43">
        <v>338</v>
      </c>
      <c r="Q138" s="43">
        <v>321</v>
      </c>
      <c r="R138" s="43" t="s">
        <v>35</v>
      </c>
      <c r="T138" s="43" t="s">
        <v>87</v>
      </c>
      <c r="U138" s="43">
        <v>78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14</v>
      </c>
      <c r="AB138" s="43">
        <v>9</v>
      </c>
      <c r="AC138" s="43">
        <v>16</v>
      </c>
      <c r="AD138" s="72">
        <v>6</v>
      </c>
      <c r="AE138" s="43">
        <v>10</v>
      </c>
      <c r="AF138" s="43">
        <v>11</v>
      </c>
      <c r="AG138" s="43" t="s">
        <v>35</v>
      </c>
      <c r="AH138" s="43">
        <v>1</v>
      </c>
      <c r="AI138" s="43">
        <v>8</v>
      </c>
      <c r="AJ138" s="43">
        <v>3</v>
      </c>
      <c r="AK138" s="43" t="s">
        <v>35</v>
      </c>
      <c r="AU138" s="49"/>
    </row>
    <row r="139" spans="1:47" ht="75">
      <c r="A139" s="43" t="s">
        <v>88</v>
      </c>
      <c r="B139" s="43">
        <v>1365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140</v>
      </c>
      <c r="I139" s="43">
        <v>151</v>
      </c>
      <c r="J139" s="43">
        <v>174</v>
      </c>
      <c r="K139" s="72">
        <v>166</v>
      </c>
      <c r="L139" s="43">
        <v>190</v>
      </c>
      <c r="M139" s="43">
        <v>178</v>
      </c>
      <c r="N139" s="43" t="s">
        <v>35</v>
      </c>
      <c r="O139" s="43" t="s">
        <v>35</v>
      </c>
      <c r="P139" s="43">
        <v>123</v>
      </c>
      <c r="Q139" s="43">
        <v>137</v>
      </c>
      <c r="R139" s="43">
        <v>106</v>
      </c>
      <c r="T139" s="43" t="s">
        <v>88</v>
      </c>
      <c r="U139" s="43">
        <v>72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8</v>
      </c>
      <c r="AB139" s="43">
        <v>11</v>
      </c>
      <c r="AC139" s="43">
        <v>6</v>
      </c>
      <c r="AD139" s="72">
        <v>6</v>
      </c>
      <c r="AE139" s="43">
        <v>4</v>
      </c>
      <c r="AF139" s="43">
        <v>17</v>
      </c>
      <c r="AG139" s="43" t="s">
        <v>35</v>
      </c>
      <c r="AH139" s="43" t="s">
        <v>35</v>
      </c>
      <c r="AI139" s="43">
        <v>14</v>
      </c>
      <c r="AJ139" s="43">
        <v>3</v>
      </c>
      <c r="AK139" s="43">
        <v>3</v>
      </c>
      <c r="AU139" s="49"/>
    </row>
    <row r="140" spans="1:47" ht="4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>
      <c r="A141" s="43" t="s">
        <v>90</v>
      </c>
      <c r="B141" s="43">
        <v>2591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 t="s">
        <v>35</v>
      </c>
      <c r="I141" s="43">
        <v>579</v>
      </c>
      <c r="J141" s="43">
        <v>513</v>
      </c>
      <c r="K141" s="72">
        <v>531</v>
      </c>
      <c r="L141" s="43">
        <v>595</v>
      </c>
      <c r="M141" s="43">
        <v>373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219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>
        <v>51</v>
      </c>
      <c r="AC141" s="43">
        <v>48</v>
      </c>
      <c r="AD141" s="72">
        <v>58</v>
      </c>
      <c r="AE141" s="43">
        <v>44</v>
      </c>
      <c r="AF141" s="43">
        <v>18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2736</v>
      </c>
      <c r="C142" s="43" t="s">
        <v>35</v>
      </c>
      <c r="D142" s="43">
        <v>825</v>
      </c>
      <c r="E142" s="43" t="s">
        <v>35</v>
      </c>
      <c r="F142" s="43" t="s">
        <v>35</v>
      </c>
      <c r="G142" s="43" t="s">
        <v>35</v>
      </c>
      <c r="H142" s="43">
        <v>1189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722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314</v>
      </c>
      <c r="V142" s="43" t="s">
        <v>35</v>
      </c>
      <c r="W142" s="43">
        <v>112</v>
      </c>
      <c r="X142" s="43" t="s">
        <v>35</v>
      </c>
      <c r="Y142" s="43" t="s">
        <v>35</v>
      </c>
      <c r="Z142" s="43" t="s">
        <v>35</v>
      </c>
      <c r="AA142" s="43">
        <v>129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73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4087</v>
      </c>
      <c r="C143" s="43" t="s">
        <v>35</v>
      </c>
      <c r="D143" s="43">
        <v>533</v>
      </c>
      <c r="E143" s="43">
        <v>689</v>
      </c>
      <c r="F143" s="43">
        <v>473</v>
      </c>
      <c r="G143" s="43">
        <v>441</v>
      </c>
      <c r="H143" s="43">
        <v>362</v>
      </c>
      <c r="I143" s="43">
        <v>423</v>
      </c>
      <c r="J143" s="43">
        <v>312</v>
      </c>
      <c r="K143" s="72">
        <v>401</v>
      </c>
      <c r="L143" s="43">
        <v>351</v>
      </c>
      <c r="M143" s="43">
        <v>102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267</v>
      </c>
      <c r="V143" s="43" t="s">
        <v>35</v>
      </c>
      <c r="W143" s="43">
        <v>62</v>
      </c>
      <c r="X143" s="43">
        <v>68</v>
      </c>
      <c r="Y143" s="43">
        <v>32</v>
      </c>
      <c r="Z143" s="43">
        <v>29</v>
      </c>
      <c r="AA143" s="43">
        <v>16</v>
      </c>
      <c r="AB143" s="43">
        <v>15</v>
      </c>
      <c r="AC143" s="43">
        <v>13</v>
      </c>
      <c r="AD143" s="72">
        <v>15</v>
      </c>
      <c r="AE143" s="43">
        <v>15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>
      <c r="A144" s="43" t="s">
        <v>93</v>
      </c>
      <c r="B144" s="43">
        <v>349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170</v>
      </c>
      <c r="Q144" s="43">
        <v>116</v>
      </c>
      <c r="R144" s="43">
        <v>63</v>
      </c>
      <c r="T144" s="43" t="s">
        <v>93</v>
      </c>
      <c r="U144" s="43">
        <v>26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16</v>
      </c>
      <c r="AJ144" s="43">
        <v>7</v>
      </c>
      <c r="AK144" s="43">
        <v>3</v>
      </c>
      <c r="AU144" s="49"/>
    </row>
    <row r="145" spans="1:47">
      <c r="A145" s="43" t="s">
        <v>94</v>
      </c>
      <c r="B145" s="43">
        <v>231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102</v>
      </c>
      <c r="Q145" s="43">
        <v>72</v>
      </c>
      <c r="R145" s="43">
        <v>57</v>
      </c>
      <c r="S145" s="44"/>
      <c r="T145" s="43" t="s">
        <v>94</v>
      </c>
      <c r="U145" s="43">
        <v>5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43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2</v>
      </c>
      <c r="AJ145" s="43">
        <v>1</v>
      </c>
      <c r="AK145" s="43">
        <v>2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>
      <c r="A147" t="s">
        <v>52</v>
      </c>
      <c r="T147" t="s">
        <v>52</v>
      </c>
    </row>
    <row r="148" spans="1:47">
      <c r="A148" t="s">
        <v>53</v>
      </c>
      <c r="T148" t="s">
        <v>53</v>
      </c>
    </row>
    <row r="149" spans="1:47">
      <c r="A149" t="s">
        <v>95</v>
      </c>
      <c r="T149" t="s">
        <v>95</v>
      </c>
    </row>
    <row r="152" spans="1:47">
      <c r="A152" t="s">
        <v>96</v>
      </c>
      <c r="T152" t="s">
        <v>96</v>
      </c>
    </row>
    <row r="153" spans="1:47">
      <c r="A153" t="s">
        <v>97</v>
      </c>
      <c r="T153" t="s">
        <v>97</v>
      </c>
    </row>
    <row r="154" spans="1:47">
      <c r="A154" t="s">
        <v>98</v>
      </c>
      <c r="T154" t="s">
        <v>98</v>
      </c>
    </row>
    <row r="155" spans="1:47">
      <c r="A155" t="s">
        <v>99</v>
      </c>
      <c r="T155" t="s">
        <v>99</v>
      </c>
    </row>
    <row r="156" spans="1:47">
      <c r="A156" t="s">
        <v>100</v>
      </c>
      <c r="T156" t="s">
        <v>100</v>
      </c>
    </row>
    <row r="157" spans="1:47">
      <c r="A157" t="s">
        <v>101</v>
      </c>
      <c r="T157" t="s">
        <v>101</v>
      </c>
    </row>
    <row r="158" spans="1:47">
      <c r="A158" t="s">
        <v>102</v>
      </c>
      <c r="T158" t="s">
        <v>102</v>
      </c>
    </row>
  </sheetData>
  <hyperlinks>
    <hyperlink ref="A1" r:id="rId1" display="https://www1.nls.niedersachsen.de/Statistik/pool/K300151A/K300151A_000016CE1821B631A59C0DCF92C40E8568E8BBAD9E01C436EEEC.zip"/>
    <hyperlink ref="T1" r:id="rId2" display="https://www1.nls.niedersachsen.de/Statistik/pool/K300151A/K300151A_000016CE1821943CF081BC03A7A89800C567FD75C5462D5F1DBA.zip"/>
  </hyperlink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U290"/>
  <sheetViews>
    <sheetView workbookViewId="0"/>
  </sheetViews>
  <sheetFormatPr baseColWidth="10" defaultRowHeight="15"/>
  <sheetData>
    <row r="1" spans="1:20">
      <c r="A1" s="53" t="s">
        <v>54</v>
      </c>
    </row>
    <row r="2" spans="1:20">
      <c r="T2" s="53" t="s">
        <v>54</v>
      </c>
    </row>
    <row r="3" spans="1:20">
      <c r="A3" s="54" t="s">
        <v>39</v>
      </c>
    </row>
    <row r="4" spans="1:20">
      <c r="A4" s="54" t="s">
        <v>55</v>
      </c>
      <c r="T4" s="54" t="s">
        <v>39</v>
      </c>
    </row>
    <row r="5" spans="1:20">
      <c r="T5" s="54" t="s">
        <v>55</v>
      </c>
    </row>
    <row r="6" spans="1:20">
      <c r="A6" s="39" t="s">
        <v>56</v>
      </c>
    </row>
    <row r="7" spans="1:20">
      <c r="T7" s="39" t="s">
        <v>56</v>
      </c>
    </row>
    <row r="8" spans="1:20">
      <c r="A8" t="s">
        <v>42</v>
      </c>
    </row>
    <row r="9" spans="1:20">
      <c r="A9" t="s">
        <v>57</v>
      </c>
      <c r="T9" t="s">
        <v>42</v>
      </c>
    </row>
    <row r="10" spans="1:20">
      <c r="A10" t="s">
        <v>43</v>
      </c>
      <c r="T10" t="s">
        <v>57</v>
      </c>
    </row>
    <row r="11" spans="1:20">
      <c r="T11" t="s">
        <v>43</v>
      </c>
    </row>
    <row r="12" spans="1:20" ht="15" customHeight="1">
      <c r="A12" t="s">
        <v>58</v>
      </c>
    </row>
    <row r="13" spans="1:20" ht="15" customHeight="1">
      <c r="A13" t="s">
        <v>59</v>
      </c>
      <c r="T13" t="s">
        <v>58</v>
      </c>
    </row>
    <row r="14" spans="1:20">
      <c r="A14" t="s">
        <v>107</v>
      </c>
      <c r="T14" t="s">
        <v>108</v>
      </c>
    </row>
    <row r="15" spans="1:20">
      <c r="T15" t="s">
        <v>107</v>
      </c>
    </row>
    <row r="16" spans="1:20" ht="30" customHeight="1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</row>
    <row r="17" spans="1:47" ht="30" customHeight="1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5" t="s">
        <v>34</v>
      </c>
      <c r="U17" s="56" t="s">
        <v>109</v>
      </c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8"/>
      <c r="AL17" s="46"/>
      <c r="AM17" s="46"/>
      <c r="AN17" s="46"/>
      <c r="AO17" s="46"/>
      <c r="AP17" s="46"/>
      <c r="AQ17" s="46"/>
      <c r="AR17" s="46"/>
      <c r="AS17" s="46"/>
      <c r="AT17" s="46"/>
      <c r="AU17" s="40"/>
    </row>
    <row r="18" spans="1:47" ht="30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44</v>
      </c>
      <c r="U18" s="59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1"/>
      <c r="AU18" s="49"/>
    </row>
    <row r="19" spans="1:47" ht="4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45</v>
      </c>
      <c r="U19" s="62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4"/>
      <c r="AU19" s="49"/>
    </row>
    <row r="20" spans="1:47" ht="15" customHeight="1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61</v>
      </c>
      <c r="U20" s="55"/>
      <c r="V20" s="56" t="s">
        <v>66</v>
      </c>
      <c r="W20" s="57"/>
      <c r="X20" s="57"/>
      <c r="Y20" s="57"/>
      <c r="Z20" s="57"/>
      <c r="AA20" s="57"/>
      <c r="AB20" s="57"/>
      <c r="AC20" s="57"/>
      <c r="AD20" s="57"/>
      <c r="AE20" s="57"/>
      <c r="AF20" s="58"/>
      <c r="AG20" s="45" t="s">
        <v>68</v>
      </c>
      <c r="AH20" s="56" t="s">
        <v>72</v>
      </c>
      <c r="AI20" s="57"/>
      <c r="AJ20" s="57"/>
      <c r="AK20" s="58"/>
      <c r="AU20" s="49"/>
    </row>
    <row r="21" spans="1:47" ht="30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46</v>
      </c>
      <c r="U21" s="42" t="s">
        <v>64</v>
      </c>
      <c r="V21" s="59" t="s">
        <v>67</v>
      </c>
      <c r="W21" s="60"/>
      <c r="X21" s="60"/>
      <c r="Y21" s="60"/>
      <c r="Z21" s="60"/>
      <c r="AA21" s="60"/>
      <c r="AB21" s="60"/>
      <c r="AC21" s="60"/>
      <c r="AD21" s="60"/>
      <c r="AE21" s="60"/>
      <c r="AF21" s="61"/>
      <c r="AG21" s="42" t="s">
        <v>69</v>
      </c>
      <c r="AH21" s="59" t="s">
        <v>67</v>
      </c>
      <c r="AI21" s="60"/>
      <c r="AJ21" s="60"/>
      <c r="AK21" s="61"/>
      <c r="AU21" s="49"/>
    </row>
    <row r="22" spans="1:47" ht="30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 t="s">
        <v>62</v>
      </c>
      <c r="U22" s="42" t="s">
        <v>65</v>
      </c>
      <c r="V22" s="62"/>
      <c r="W22" s="63"/>
      <c r="X22" s="63"/>
      <c r="Y22" s="63"/>
      <c r="Z22" s="63"/>
      <c r="AA22" s="63"/>
      <c r="AB22" s="63"/>
      <c r="AC22" s="63"/>
      <c r="AD22" s="63"/>
      <c r="AE22" s="63"/>
      <c r="AF22" s="64"/>
      <c r="AG22" s="42" t="s">
        <v>70</v>
      </c>
      <c r="AH22" s="62"/>
      <c r="AI22" s="63"/>
      <c r="AJ22" s="63"/>
      <c r="AK22" s="64"/>
      <c r="AU22" s="49"/>
    </row>
    <row r="23" spans="1:47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2"/>
      <c r="V23" s="65">
        <v>0</v>
      </c>
      <c r="W23" s="65">
        <v>1</v>
      </c>
      <c r="X23" s="65">
        <v>2</v>
      </c>
      <c r="Y23" s="65">
        <v>3</v>
      </c>
      <c r="Z23" s="65">
        <v>4</v>
      </c>
      <c r="AA23" s="65">
        <v>5</v>
      </c>
      <c r="AB23" s="65">
        <v>6</v>
      </c>
      <c r="AC23" s="65">
        <v>7</v>
      </c>
      <c r="AD23" s="67">
        <v>8</v>
      </c>
      <c r="AE23" s="65">
        <v>9</v>
      </c>
      <c r="AF23" s="65">
        <v>10</v>
      </c>
      <c r="AG23" s="42" t="s">
        <v>71</v>
      </c>
      <c r="AH23" s="45" t="s">
        <v>73</v>
      </c>
      <c r="AI23" s="65">
        <v>11</v>
      </c>
      <c r="AJ23" s="65">
        <v>12</v>
      </c>
      <c r="AK23" s="65">
        <v>13</v>
      </c>
      <c r="AU23" s="49"/>
    </row>
    <row r="24" spans="1:47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2"/>
      <c r="U24" s="48"/>
      <c r="V24" s="66"/>
      <c r="W24" s="66"/>
      <c r="X24" s="66"/>
      <c r="Y24" s="66"/>
      <c r="Z24" s="66"/>
      <c r="AA24" s="66"/>
      <c r="AB24" s="66"/>
      <c r="AC24" s="66"/>
      <c r="AD24" s="68"/>
      <c r="AE24" s="66"/>
      <c r="AF24" s="66"/>
      <c r="AG24" s="48"/>
      <c r="AH24" s="48" t="s">
        <v>74</v>
      </c>
      <c r="AI24" s="66"/>
      <c r="AJ24" s="66"/>
      <c r="AK24" s="66"/>
      <c r="AU24" s="49"/>
    </row>
    <row r="25" spans="1:47">
      <c r="A25" s="38"/>
      <c r="K25" s="70"/>
      <c r="T25" s="48"/>
      <c r="U25" s="47">
        <v>1</v>
      </c>
      <c r="V25" s="47">
        <v>2</v>
      </c>
      <c r="W25" s="47">
        <v>3</v>
      </c>
      <c r="X25" s="47">
        <v>4</v>
      </c>
      <c r="Y25" s="47">
        <v>5</v>
      </c>
      <c r="Z25" s="47">
        <v>6</v>
      </c>
      <c r="AA25" s="47">
        <v>7</v>
      </c>
      <c r="AB25" s="47">
        <v>8</v>
      </c>
      <c r="AC25" s="47">
        <v>9</v>
      </c>
      <c r="AD25" s="69">
        <v>10</v>
      </c>
      <c r="AE25" s="47">
        <v>11</v>
      </c>
      <c r="AF25" s="47">
        <v>12</v>
      </c>
      <c r="AG25" s="47">
        <v>13</v>
      </c>
      <c r="AH25" s="47">
        <v>14</v>
      </c>
      <c r="AI25" s="47">
        <v>15</v>
      </c>
      <c r="AJ25" s="47">
        <v>16</v>
      </c>
      <c r="AK25" s="47">
        <v>17</v>
      </c>
      <c r="AU25" s="49"/>
    </row>
    <row r="26" spans="1:47" ht="15" customHeight="1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38"/>
      <c r="AD26" s="70"/>
      <c r="AU26" s="49"/>
    </row>
    <row r="27" spans="1:47" ht="15" customHeight="1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 t="s">
        <v>47</v>
      </c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>
      <c r="A28" s="43" t="s">
        <v>40</v>
      </c>
      <c r="B28" s="43">
        <v>830561</v>
      </c>
      <c r="C28" s="43">
        <v>2818</v>
      </c>
      <c r="D28" s="43">
        <v>71934</v>
      </c>
      <c r="E28" s="43">
        <v>74412</v>
      </c>
      <c r="F28" s="43">
        <v>72029</v>
      </c>
      <c r="G28" s="43">
        <v>71578</v>
      </c>
      <c r="H28" s="43">
        <v>77187</v>
      </c>
      <c r="I28" s="43">
        <v>74325</v>
      </c>
      <c r="J28" s="43">
        <v>77942</v>
      </c>
      <c r="K28" s="72">
        <v>79642</v>
      </c>
      <c r="L28" s="43">
        <v>80122</v>
      </c>
      <c r="M28" s="43">
        <v>74660</v>
      </c>
      <c r="N28" s="43">
        <v>1865</v>
      </c>
      <c r="O28" s="43">
        <v>1240</v>
      </c>
      <c r="P28" s="43">
        <v>33747</v>
      </c>
      <c r="Q28" s="43">
        <v>32428</v>
      </c>
      <c r="R28" s="43">
        <v>4632</v>
      </c>
      <c r="T28" s="41"/>
      <c r="U28" s="51"/>
      <c r="V28" s="51"/>
      <c r="W28" s="51"/>
      <c r="X28" s="51"/>
      <c r="Y28" s="51"/>
      <c r="Z28" s="51"/>
      <c r="AA28" s="51"/>
      <c r="AB28" s="51"/>
      <c r="AC28" s="51"/>
      <c r="AD28" s="7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2"/>
    </row>
    <row r="29" spans="1:47" ht="30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3" t="s">
        <v>40</v>
      </c>
      <c r="U29" s="43">
        <v>81574</v>
      </c>
      <c r="V29" s="43">
        <v>858</v>
      </c>
      <c r="W29" s="43">
        <v>9655</v>
      </c>
      <c r="X29" s="43">
        <v>9562</v>
      </c>
      <c r="Y29" s="43">
        <v>9189</v>
      </c>
      <c r="Z29" s="43">
        <v>8660</v>
      </c>
      <c r="AA29" s="43">
        <v>6955</v>
      </c>
      <c r="AB29" s="43">
        <v>6759</v>
      </c>
      <c r="AC29" s="43">
        <v>6736</v>
      </c>
      <c r="AD29" s="72">
        <v>6717</v>
      </c>
      <c r="AE29" s="43">
        <v>6921</v>
      </c>
      <c r="AF29" s="43">
        <v>5429</v>
      </c>
      <c r="AG29" s="43">
        <v>1670</v>
      </c>
      <c r="AH29" s="43">
        <v>68</v>
      </c>
      <c r="AI29" s="43">
        <v>1361</v>
      </c>
      <c r="AJ29" s="43">
        <v>945</v>
      </c>
      <c r="AK29" s="43">
        <v>89</v>
      </c>
      <c r="AU29" s="49"/>
    </row>
    <row r="30" spans="1:47" ht="45">
      <c r="A30" s="43" t="s">
        <v>75</v>
      </c>
      <c r="B30" s="43">
        <v>2752</v>
      </c>
      <c r="C30" s="43">
        <v>2752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1"/>
      <c r="U30" s="51"/>
      <c r="V30" s="51"/>
      <c r="W30" s="51"/>
      <c r="X30" s="51"/>
      <c r="Y30" s="51"/>
      <c r="Z30" s="51"/>
      <c r="AA30" s="51"/>
      <c r="AB30" s="51"/>
      <c r="AC30" s="51"/>
      <c r="AD30" s="7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2"/>
    </row>
    <row r="31" spans="1:47" ht="45">
      <c r="A31" s="43" t="s">
        <v>76</v>
      </c>
      <c r="B31" s="43">
        <v>278984</v>
      </c>
      <c r="C31" s="43" t="s">
        <v>35</v>
      </c>
      <c r="D31" s="43">
        <v>67468</v>
      </c>
      <c r="E31" s="43">
        <v>71846</v>
      </c>
      <c r="F31" s="43">
        <v>69918</v>
      </c>
      <c r="G31" s="43">
        <v>69537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215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75</v>
      </c>
      <c r="U31" s="43">
        <v>842</v>
      </c>
      <c r="V31" s="43">
        <v>842</v>
      </c>
      <c r="W31" s="43" t="s">
        <v>35</v>
      </c>
      <c r="X31" s="43" t="s">
        <v>35</v>
      </c>
      <c r="Y31" s="43" t="s">
        <v>35</v>
      </c>
      <c r="Z31" s="43" t="s">
        <v>35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 t="s">
        <v>35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76</v>
      </c>
      <c r="U32" s="43">
        <v>36212</v>
      </c>
      <c r="V32" s="43" t="s">
        <v>35</v>
      </c>
      <c r="W32" s="43">
        <v>9123</v>
      </c>
      <c r="X32" s="43">
        <v>9340</v>
      </c>
      <c r="Y32" s="43">
        <v>9016</v>
      </c>
      <c r="Z32" s="43">
        <v>8525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>
        <v>208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45">
      <c r="A33" s="43" t="s">
        <v>78</v>
      </c>
      <c r="B33" s="43">
        <v>20180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1904</v>
      </c>
      <c r="I33" s="43">
        <v>2591</v>
      </c>
      <c r="J33" s="43">
        <v>3246</v>
      </c>
      <c r="K33" s="72">
        <v>3942</v>
      </c>
      <c r="L33" s="43">
        <v>4572</v>
      </c>
      <c r="M33" s="43">
        <v>3672</v>
      </c>
      <c r="N33" s="43">
        <v>253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77</v>
      </c>
      <c r="U33" s="43" t="s">
        <v>35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 t="s">
        <v>35</v>
      </c>
      <c r="AB33" s="43" t="s">
        <v>35</v>
      </c>
      <c r="AC33" s="43" t="s">
        <v>35</v>
      </c>
      <c r="AD33" s="72" t="s">
        <v>35</v>
      </c>
      <c r="AE33" s="43" t="s">
        <v>35</v>
      </c>
      <c r="AF33" s="43" t="s">
        <v>35</v>
      </c>
      <c r="AG33" s="43" t="s">
        <v>35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78</v>
      </c>
      <c r="U34" s="43">
        <v>5155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>
        <v>480</v>
      </c>
      <c r="AB34" s="43">
        <v>671</v>
      </c>
      <c r="AC34" s="43">
        <v>833</v>
      </c>
      <c r="AD34" s="72">
        <v>1030</v>
      </c>
      <c r="AE34" s="43">
        <v>1215</v>
      </c>
      <c r="AF34" s="43">
        <v>698</v>
      </c>
      <c r="AG34" s="43">
        <v>228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60">
      <c r="A35" s="43" t="s">
        <v>80</v>
      </c>
      <c r="B35" s="43">
        <v>54178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7551</v>
      </c>
      <c r="I35" s="43">
        <v>7739</v>
      </c>
      <c r="J35" s="43">
        <v>8489</v>
      </c>
      <c r="K35" s="72">
        <v>8958</v>
      </c>
      <c r="L35" s="43">
        <v>10149</v>
      </c>
      <c r="M35" s="43">
        <v>11160</v>
      </c>
      <c r="N35" s="43">
        <v>132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79</v>
      </c>
      <c r="U35" s="43" t="s">
        <v>35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 t="s">
        <v>35</v>
      </c>
      <c r="AB35" s="43" t="s">
        <v>35</v>
      </c>
      <c r="AC35" s="43" t="s">
        <v>35</v>
      </c>
      <c r="AD35" s="72" t="s">
        <v>35</v>
      </c>
      <c r="AE35" s="43" t="s">
        <v>35</v>
      </c>
      <c r="AF35" s="43" t="s">
        <v>35</v>
      </c>
      <c r="AG35" s="43" t="s">
        <v>35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>
      <c r="A36" s="43" t="s">
        <v>81</v>
      </c>
      <c r="B36" s="43">
        <v>102480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15765</v>
      </c>
      <c r="I36" s="43">
        <v>16727</v>
      </c>
      <c r="J36" s="43">
        <v>17725</v>
      </c>
      <c r="K36" s="72">
        <v>18723</v>
      </c>
      <c r="L36" s="43">
        <v>18422</v>
      </c>
      <c r="M36" s="43">
        <v>14519</v>
      </c>
      <c r="N36" s="43">
        <v>599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80</v>
      </c>
      <c r="U36" s="43">
        <v>6026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899</v>
      </c>
      <c r="AB36" s="43">
        <v>900</v>
      </c>
      <c r="AC36" s="43">
        <v>956</v>
      </c>
      <c r="AD36" s="72">
        <v>982</v>
      </c>
      <c r="AE36" s="43">
        <v>1091</v>
      </c>
      <c r="AF36" s="43">
        <v>1068</v>
      </c>
      <c r="AG36" s="43">
        <v>130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>
      <c r="A37" s="43" t="s">
        <v>82</v>
      </c>
      <c r="B37" s="43">
        <v>214753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29227</v>
      </c>
      <c r="I37" s="43">
        <v>28324</v>
      </c>
      <c r="J37" s="43">
        <v>28010</v>
      </c>
      <c r="K37" s="72">
        <v>27517</v>
      </c>
      <c r="L37" s="43">
        <v>26557</v>
      </c>
      <c r="M37" s="43">
        <v>25232</v>
      </c>
      <c r="N37" s="43">
        <v>249</v>
      </c>
      <c r="O37" s="43">
        <v>862</v>
      </c>
      <c r="P37" s="43">
        <v>24578</v>
      </c>
      <c r="Q37" s="43">
        <v>24197</v>
      </c>
      <c r="R37" s="43" t="s">
        <v>35</v>
      </c>
      <c r="T37" s="43" t="s">
        <v>81</v>
      </c>
      <c r="U37" s="43">
        <v>12670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2003</v>
      </c>
      <c r="AB37" s="43">
        <v>2262</v>
      </c>
      <c r="AC37" s="43">
        <v>2291</v>
      </c>
      <c r="AD37" s="72">
        <v>2214</v>
      </c>
      <c r="AE37" s="43">
        <v>2133</v>
      </c>
      <c r="AF37" s="43">
        <v>1201</v>
      </c>
      <c r="AG37" s="43">
        <v>566</v>
      </c>
      <c r="AH37" s="43" t="s">
        <v>35</v>
      </c>
      <c r="AI37" s="43" t="s">
        <v>35</v>
      </c>
      <c r="AJ37" s="43" t="s">
        <v>35</v>
      </c>
      <c r="AK37" s="43" t="s">
        <v>35</v>
      </c>
      <c r="AU37" s="49"/>
    </row>
    <row r="38" spans="1:47" ht="45">
      <c r="A38" s="43" t="s">
        <v>83</v>
      </c>
      <c r="B38" s="43">
        <v>91269</v>
      </c>
      <c r="C38" s="43">
        <v>13</v>
      </c>
      <c r="D38" s="43">
        <v>808</v>
      </c>
      <c r="E38" s="43">
        <v>846</v>
      </c>
      <c r="F38" s="43">
        <v>829</v>
      </c>
      <c r="G38" s="43">
        <v>877</v>
      </c>
      <c r="H38" s="43">
        <v>12107</v>
      </c>
      <c r="I38" s="43">
        <v>12466</v>
      </c>
      <c r="J38" s="43">
        <v>12585</v>
      </c>
      <c r="K38" s="72">
        <v>12424</v>
      </c>
      <c r="L38" s="43">
        <v>12196</v>
      </c>
      <c r="M38" s="43">
        <v>10525</v>
      </c>
      <c r="N38" s="43">
        <v>293</v>
      </c>
      <c r="O38" s="43" t="s">
        <v>35</v>
      </c>
      <c r="P38" s="43">
        <v>5896</v>
      </c>
      <c r="Q38" s="43">
        <v>5504</v>
      </c>
      <c r="R38" s="43">
        <v>3900</v>
      </c>
      <c r="T38" s="43" t="s">
        <v>82</v>
      </c>
      <c r="U38" s="43">
        <v>8863</v>
      </c>
      <c r="V38" s="43" t="s">
        <v>35</v>
      </c>
      <c r="W38" s="43" t="s">
        <v>35</v>
      </c>
      <c r="X38" s="43" t="s">
        <v>35</v>
      </c>
      <c r="Y38" s="43" t="s">
        <v>35</v>
      </c>
      <c r="Z38" s="43" t="s">
        <v>35</v>
      </c>
      <c r="AA38" s="43">
        <v>1480</v>
      </c>
      <c r="AB38" s="43">
        <v>1318</v>
      </c>
      <c r="AC38" s="43">
        <v>1120</v>
      </c>
      <c r="AD38" s="72">
        <v>971</v>
      </c>
      <c r="AE38" s="43">
        <v>1030</v>
      </c>
      <c r="AF38" s="43">
        <v>1085</v>
      </c>
      <c r="AG38" s="43">
        <v>220</v>
      </c>
      <c r="AH38" s="43">
        <v>55</v>
      </c>
      <c r="AI38" s="43">
        <v>913</v>
      </c>
      <c r="AJ38" s="43">
        <v>671</v>
      </c>
      <c r="AK38" s="43" t="s">
        <v>35</v>
      </c>
      <c r="AU38" s="49"/>
    </row>
    <row r="39" spans="1:47" ht="4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83</v>
      </c>
      <c r="U39" s="43">
        <v>7003</v>
      </c>
      <c r="V39" s="43">
        <v>9</v>
      </c>
      <c r="W39" s="43">
        <v>51</v>
      </c>
      <c r="X39" s="43">
        <v>55</v>
      </c>
      <c r="Y39" s="43">
        <v>65</v>
      </c>
      <c r="Z39" s="43">
        <v>56</v>
      </c>
      <c r="AA39" s="43">
        <v>1196</v>
      </c>
      <c r="AB39" s="43">
        <v>1194</v>
      </c>
      <c r="AC39" s="43">
        <v>1012</v>
      </c>
      <c r="AD39" s="72">
        <v>941</v>
      </c>
      <c r="AE39" s="43">
        <v>937</v>
      </c>
      <c r="AF39" s="43">
        <v>758</v>
      </c>
      <c r="AG39" s="43">
        <v>196</v>
      </c>
      <c r="AH39" s="43" t="s">
        <v>35</v>
      </c>
      <c r="AI39" s="43">
        <v>280</v>
      </c>
      <c r="AJ39" s="43">
        <v>183</v>
      </c>
      <c r="AK39" s="43">
        <v>70</v>
      </c>
      <c r="AU39" s="49"/>
    </row>
    <row r="40" spans="1:47" ht="45">
      <c r="A40" s="43" t="s">
        <v>85</v>
      </c>
      <c r="B40" s="43">
        <v>5647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689</v>
      </c>
      <c r="I40" s="43">
        <v>868</v>
      </c>
      <c r="J40" s="43">
        <v>886</v>
      </c>
      <c r="K40" s="72">
        <v>1134</v>
      </c>
      <c r="L40" s="43">
        <v>1102</v>
      </c>
      <c r="M40" s="43">
        <v>861</v>
      </c>
      <c r="N40" s="43">
        <v>107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84</v>
      </c>
      <c r="U40" s="43" t="s">
        <v>35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 t="s">
        <v>35</v>
      </c>
      <c r="AB40" s="43" t="s">
        <v>35</v>
      </c>
      <c r="AC40" s="43" t="s">
        <v>35</v>
      </c>
      <c r="AD40" s="72" t="s">
        <v>35</v>
      </c>
      <c r="AE40" s="43" t="s">
        <v>35</v>
      </c>
      <c r="AF40" s="43" t="s">
        <v>35</v>
      </c>
      <c r="AG40" s="43" t="s">
        <v>35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>
      <c r="A41" s="43" t="s">
        <v>86</v>
      </c>
      <c r="B41" s="43">
        <v>15193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2437</v>
      </c>
      <c r="I41" s="43">
        <v>2262</v>
      </c>
      <c r="J41" s="43">
        <v>2417</v>
      </c>
      <c r="K41" s="72">
        <v>2530</v>
      </c>
      <c r="L41" s="43">
        <v>2711</v>
      </c>
      <c r="M41" s="43">
        <v>2836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85</v>
      </c>
      <c r="U41" s="43">
        <v>911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100</v>
      </c>
      <c r="AB41" s="43">
        <v>132</v>
      </c>
      <c r="AC41" s="43">
        <v>150</v>
      </c>
      <c r="AD41" s="72">
        <v>175</v>
      </c>
      <c r="AE41" s="43">
        <v>152</v>
      </c>
      <c r="AF41" s="43">
        <v>97</v>
      </c>
      <c r="AG41" s="43">
        <v>105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>
      <c r="A42" s="43" t="s">
        <v>87</v>
      </c>
      <c r="B42" s="43">
        <v>15643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1910</v>
      </c>
      <c r="I42" s="43">
        <v>1855</v>
      </c>
      <c r="J42" s="43">
        <v>1888</v>
      </c>
      <c r="K42" s="72">
        <v>1971</v>
      </c>
      <c r="L42" s="43">
        <v>1921</v>
      </c>
      <c r="M42" s="43">
        <v>1799</v>
      </c>
      <c r="N42" s="43">
        <v>17</v>
      </c>
      <c r="O42" s="43">
        <v>378</v>
      </c>
      <c r="P42" s="43">
        <v>2095</v>
      </c>
      <c r="Q42" s="43">
        <v>1809</v>
      </c>
      <c r="R42" s="43" t="s">
        <v>35</v>
      </c>
      <c r="T42" s="43" t="s">
        <v>86</v>
      </c>
      <c r="U42" s="43">
        <v>872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168</v>
      </c>
      <c r="AB42" s="43">
        <v>138</v>
      </c>
      <c r="AC42" s="43">
        <v>125</v>
      </c>
      <c r="AD42" s="72">
        <v>142</v>
      </c>
      <c r="AE42" s="43">
        <v>147</v>
      </c>
      <c r="AF42" s="43">
        <v>152</v>
      </c>
      <c r="AG42" s="43" t="s">
        <v>35</v>
      </c>
      <c r="AH42" s="43" t="s">
        <v>35</v>
      </c>
      <c r="AI42" s="43" t="s">
        <v>35</v>
      </c>
      <c r="AJ42" s="43" t="s">
        <v>35</v>
      </c>
      <c r="AK42" s="43" t="s">
        <v>35</v>
      </c>
      <c r="AU42" s="49"/>
    </row>
    <row r="43" spans="1:47" ht="75">
      <c r="A43" s="43" t="s">
        <v>88</v>
      </c>
      <c r="B43" s="43">
        <v>3821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324</v>
      </c>
      <c r="I43" s="43">
        <v>386</v>
      </c>
      <c r="J43" s="43">
        <v>405</v>
      </c>
      <c r="K43" s="72">
        <v>402</v>
      </c>
      <c r="L43" s="43">
        <v>420</v>
      </c>
      <c r="M43" s="43">
        <v>534</v>
      </c>
      <c r="N43" s="43" t="s">
        <v>35</v>
      </c>
      <c r="O43" s="43" t="s">
        <v>35</v>
      </c>
      <c r="P43" s="43">
        <v>499</v>
      </c>
      <c r="Q43" s="43">
        <v>455</v>
      </c>
      <c r="R43" s="43">
        <v>396</v>
      </c>
      <c r="T43" s="43" t="s">
        <v>87</v>
      </c>
      <c r="U43" s="43">
        <v>484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83</v>
      </c>
      <c r="AB43" s="43">
        <v>49</v>
      </c>
      <c r="AC43" s="43">
        <v>61</v>
      </c>
      <c r="AD43" s="72">
        <v>59</v>
      </c>
      <c r="AE43" s="43">
        <v>51</v>
      </c>
      <c r="AF43" s="43">
        <v>50</v>
      </c>
      <c r="AG43" s="43">
        <v>17</v>
      </c>
      <c r="AH43" s="43">
        <v>13</v>
      </c>
      <c r="AI43" s="43">
        <v>66</v>
      </c>
      <c r="AJ43" s="43">
        <v>35</v>
      </c>
      <c r="AK43" s="43" t="s">
        <v>35</v>
      </c>
      <c r="AU43" s="49"/>
    </row>
    <row r="44" spans="1:47" ht="75">
      <c r="A44" s="43" t="s">
        <v>89</v>
      </c>
      <c r="B44" s="43">
        <v>53</v>
      </c>
      <c r="C44" s="43">
        <v>53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88</v>
      </c>
      <c r="U44" s="43">
        <v>160</v>
      </c>
      <c r="V44" s="43" t="s">
        <v>35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>
        <v>20</v>
      </c>
      <c r="AB44" s="43">
        <v>18</v>
      </c>
      <c r="AC44" s="43">
        <v>18</v>
      </c>
      <c r="AD44" s="72">
        <v>17</v>
      </c>
      <c r="AE44" s="43">
        <v>13</v>
      </c>
      <c r="AF44" s="43">
        <v>22</v>
      </c>
      <c r="AG44" s="43" t="s">
        <v>35</v>
      </c>
      <c r="AH44" s="43" t="s">
        <v>35</v>
      </c>
      <c r="AI44" s="43">
        <v>27</v>
      </c>
      <c r="AJ44" s="43">
        <v>19</v>
      </c>
      <c r="AK44" s="43">
        <v>6</v>
      </c>
      <c r="AU44" s="49"/>
    </row>
    <row r="45" spans="1:47" ht="45">
      <c r="A45" s="43" t="s">
        <v>90</v>
      </c>
      <c r="B45" s="43">
        <v>5217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652</v>
      </c>
      <c r="I45" s="43">
        <v>113</v>
      </c>
      <c r="J45" s="43">
        <v>1301</v>
      </c>
      <c r="K45" s="72">
        <v>1201</v>
      </c>
      <c r="L45" s="43">
        <v>1157</v>
      </c>
      <c r="M45" s="43">
        <v>793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89</v>
      </c>
      <c r="U45" s="43">
        <v>7</v>
      </c>
      <c r="V45" s="43">
        <v>7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 t="s">
        <v>35</v>
      </c>
      <c r="AC45" s="43" t="s">
        <v>35</v>
      </c>
      <c r="AD45" s="72" t="s">
        <v>35</v>
      </c>
      <c r="AE45" s="43" t="s">
        <v>35</v>
      </c>
      <c r="AF45" s="43" t="s">
        <v>35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>
      <c r="A46" s="43" t="s">
        <v>91</v>
      </c>
      <c r="B46" s="43">
        <v>8243</v>
      </c>
      <c r="C46" s="43" t="s">
        <v>35</v>
      </c>
      <c r="D46" s="43">
        <v>2286</v>
      </c>
      <c r="E46" s="43" t="s">
        <v>35</v>
      </c>
      <c r="F46" s="43" t="s">
        <v>35</v>
      </c>
      <c r="G46" s="43" t="s">
        <v>35</v>
      </c>
      <c r="H46" s="43">
        <v>3678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2279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90</v>
      </c>
      <c r="U46" s="43">
        <v>501</v>
      </c>
      <c r="V46" s="43" t="s">
        <v>35</v>
      </c>
      <c r="W46" s="43" t="s">
        <v>35</v>
      </c>
      <c r="X46" s="43" t="s">
        <v>35</v>
      </c>
      <c r="Y46" s="43" t="s">
        <v>35</v>
      </c>
      <c r="Z46" s="43" t="s">
        <v>35</v>
      </c>
      <c r="AA46" s="43">
        <v>71</v>
      </c>
      <c r="AB46" s="43">
        <v>16</v>
      </c>
      <c r="AC46" s="43">
        <v>116</v>
      </c>
      <c r="AD46" s="72">
        <v>142</v>
      </c>
      <c r="AE46" s="43">
        <v>110</v>
      </c>
      <c r="AF46" s="43">
        <v>46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>
      <c r="A47" s="43" t="s">
        <v>92</v>
      </c>
      <c r="B47" s="43">
        <v>10670</v>
      </c>
      <c r="C47" s="43" t="s">
        <v>35</v>
      </c>
      <c r="D47" s="43">
        <v>1372</v>
      </c>
      <c r="E47" s="43">
        <v>1720</v>
      </c>
      <c r="F47" s="43">
        <v>1282</v>
      </c>
      <c r="G47" s="43">
        <v>1164</v>
      </c>
      <c r="H47" s="43">
        <v>943</v>
      </c>
      <c r="I47" s="43">
        <v>994</v>
      </c>
      <c r="J47" s="43">
        <v>990</v>
      </c>
      <c r="K47" s="72">
        <v>840</v>
      </c>
      <c r="L47" s="43">
        <v>915</v>
      </c>
      <c r="M47" s="43">
        <v>450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91</v>
      </c>
      <c r="U47" s="43">
        <v>937</v>
      </c>
      <c r="V47" s="43" t="s">
        <v>35</v>
      </c>
      <c r="W47" s="43">
        <v>328</v>
      </c>
      <c r="X47" s="43" t="s">
        <v>35</v>
      </c>
      <c r="Y47" s="43" t="s">
        <v>35</v>
      </c>
      <c r="Z47" s="43" t="s">
        <v>35</v>
      </c>
      <c r="AA47" s="43">
        <v>395</v>
      </c>
      <c r="AB47" s="43" t="s">
        <v>35</v>
      </c>
      <c r="AC47" s="43" t="s">
        <v>35</v>
      </c>
      <c r="AD47" s="72" t="s">
        <v>35</v>
      </c>
      <c r="AE47" s="43" t="s">
        <v>35</v>
      </c>
      <c r="AF47" s="43">
        <v>214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60">
      <c r="A48" s="43" t="s">
        <v>93</v>
      </c>
      <c r="B48" s="43">
        <v>735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368</v>
      </c>
      <c r="Q48" s="43">
        <v>213</v>
      </c>
      <c r="R48" s="43">
        <v>154</v>
      </c>
      <c r="T48" s="43" t="s">
        <v>92</v>
      </c>
      <c r="U48" s="43">
        <v>806</v>
      </c>
      <c r="V48" s="43" t="s">
        <v>35</v>
      </c>
      <c r="W48" s="43">
        <v>153</v>
      </c>
      <c r="X48" s="43">
        <v>167</v>
      </c>
      <c r="Y48" s="43">
        <v>108</v>
      </c>
      <c r="Z48" s="43">
        <v>79</v>
      </c>
      <c r="AA48" s="43">
        <v>60</v>
      </c>
      <c r="AB48" s="43">
        <v>61</v>
      </c>
      <c r="AC48" s="43">
        <v>54</v>
      </c>
      <c r="AD48" s="72">
        <v>44</v>
      </c>
      <c r="AE48" s="43">
        <v>42</v>
      </c>
      <c r="AF48" s="43">
        <v>38</v>
      </c>
      <c r="AG48" s="43" t="s">
        <v>35</v>
      </c>
      <c r="AH48" s="43" t="s">
        <v>35</v>
      </c>
      <c r="AI48" s="43" t="s">
        <v>35</v>
      </c>
      <c r="AJ48" s="43" t="s">
        <v>35</v>
      </c>
      <c r="AK48" s="43" t="s">
        <v>35</v>
      </c>
      <c r="AU48" s="49"/>
    </row>
    <row r="49" spans="1:47" ht="30">
      <c r="A49" s="43" t="s">
        <v>94</v>
      </c>
      <c r="B49" s="43">
        <v>743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311</v>
      </c>
      <c r="Q49" s="43">
        <v>250</v>
      </c>
      <c r="R49" s="43">
        <v>182</v>
      </c>
      <c r="T49" s="43" t="s">
        <v>93</v>
      </c>
      <c r="U49" s="43">
        <v>68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42</v>
      </c>
      <c r="AJ49" s="43">
        <v>19</v>
      </c>
      <c r="AK49" s="43">
        <v>7</v>
      </c>
      <c r="AU49" s="49"/>
    </row>
    <row r="50" spans="1:47" ht="15" customHeight="1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3" t="s">
        <v>94</v>
      </c>
      <c r="U50" s="43">
        <v>57</v>
      </c>
      <c r="V50" s="43" t="s">
        <v>35</v>
      </c>
      <c r="W50" s="43" t="s">
        <v>35</v>
      </c>
      <c r="X50" s="43" t="s">
        <v>35</v>
      </c>
      <c r="Y50" s="43" t="s">
        <v>35</v>
      </c>
      <c r="Z50" s="43" t="s">
        <v>35</v>
      </c>
      <c r="AA50" s="43" t="s">
        <v>35</v>
      </c>
      <c r="AB50" s="43" t="s">
        <v>35</v>
      </c>
      <c r="AC50" s="43" t="s">
        <v>35</v>
      </c>
      <c r="AD50" s="72" t="s">
        <v>35</v>
      </c>
      <c r="AE50" s="43" t="s">
        <v>35</v>
      </c>
      <c r="AF50" s="43" t="s">
        <v>35</v>
      </c>
      <c r="AG50" s="43" t="s">
        <v>35</v>
      </c>
      <c r="AH50" s="43" t="s">
        <v>35</v>
      </c>
      <c r="AI50" s="43">
        <v>33</v>
      </c>
      <c r="AJ50" s="43">
        <v>18</v>
      </c>
      <c r="AK50" s="43">
        <v>6</v>
      </c>
      <c r="AU50" s="49"/>
    </row>
    <row r="51" spans="1:47" ht="15" customHeight="1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 t="s">
        <v>48</v>
      </c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>
      <c r="A52" s="43" t="s">
        <v>40</v>
      </c>
      <c r="B52" s="43">
        <v>157631</v>
      </c>
      <c r="C52" s="43">
        <v>548</v>
      </c>
      <c r="D52" s="43">
        <v>13582</v>
      </c>
      <c r="E52" s="43">
        <v>13814</v>
      </c>
      <c r="F52" s="43">
        <v>13354</v>
      </c>
      <c r="G52" s="43">
        <v>13233</v>
      </c>
      <c r="H52" s="43">
        <v>14766</v>
      </c>
      <c r="I52" s="43">
        <v>14043</v>
      </c>
      <c r="J52" s="43">
        <v>14686</v>
      </c>
      <c r="K52" s="72">
        <v>14627</v>
      </c>
      <c r="L52" s="43">
        <v>14862</v>
      </c>
      <c r="M52" s="43">
        <v>14203</v>
      </c>
      <c r="N52" s="43">
        <v>172</v>
      </c>
      <c r="O52" s="43">
        <v>197</v>
      </c>
      <c r="P52" s="43">
        <v>7092</v>
      </c>
      <c r="Q52" s="43">
        <v>7094</v>
      </c>
      <c r="R52" s="43">
        <v>1358</v>
      </c>
      <c r="T52" s="41"/>
      <c r="U52" s="51"/>
      <c r="V52" s="51"/>
      <c r="W52" s="51"/>
      <c r="X52" s="51"/>
      <c r="Y52" s="51"/>
      <c r="Z52" s="51"/>
      <c r="AA52" s="51"/>
      <c r="AB52" s="51"/>
      <c r="AC52" s="51"/>
      <c r="AD52" s="7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2"/>
    </row>
    <row r="53" spans="1:47" ht="30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3" t="s">
        <v>40</v>
      </c>
      <c r="U53" s="43">
        <v>15915</v>
      </c>
      <c r="V53" s="43">
        <v>160</v>
      </c>
      <c r="W53" s="43">
        <v>1932</v>
      </c>
      <c r="X53" s="43">
        <v>1887</v>
      </c>
      <c r="Y53" s="43">
        <v>1714</v>
      </c>
      <c r="Z53" s="43">
        <v>1656</v>
      </c>
      <c r="AA53" s="43">
        <v>1348</v>
      </c>
      <c r="AB53" s="43">
        <v>1223</v>
      </c>
      <c r="AC53" s="43">
        <v>1263</v>
      </c>
      <c r="AD53" s="72">
        <v>1257</v>
      </c>
      <c r="AE53" s="43">
        <v>1403</v>
      </c>
      <c r="AF53" s="43">
        <v>1253</v>
      </c>
      <c r="AG53" s="43">
        <v>150</v>
      </c>
      <c r="AH53" s="43">
        <v>18</v>
      </c>
      <c r="AI53" s="43">
        <v>343</v>
      </c>
      <c r="AJ53" s="43">
        <v>284</v>
      </c>
      <c r="AK53" s="43">
        <v>24</v>
      </c>
      <c r="AU53" s="49"/>
    </row>
    <row r="54" spans="1:47" ht="45">
      <c r="A54" s="43" t="s">
        <v>75</v>
      </c>
      <c r="B54" s="43">
        <v>535</v>
      </c>
      <c r="C54" s="43">
        <v>535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1"/>
      <c r="U54" s="51"/>
      <c r="V54" s="51"/>
      <c r="W54" s="51"/>
      <c r="X54" s="51"/>
      <c r="Y54" s="51"/>
      <c r="Z54" s="51"/>
      <c r="AA54" s="51"/>
      <c r="AB54" s="51"/>
      <c r="AC54" s="51"/>
      <c r="AD54" s="7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2"/>
    </row>
    <row r="55" spans="1:47" ht="45">
      <c r="A55" s="43" t="s">
        <v>76</v>
      </c>
      <c r="B55" s="43">
        <v>51919</v>
      </c>
      <c r="C55" s="43" t="s">
        <v>35</v>
      </c>
      <c r="D55" s="43">
        <v>12808</v>
      </c>
      <c r="E55" s="43">
        <v>13327</v>
      </c>
      <c r="F55" s="43">
        <v>12946</v>
      </c>
      <c r="G55" s="43">
        <v>12828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10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75</v>
      </c>
      <c r="U55" s="43">
        <v>151</v>
      </c>
      <c r="V55" s="43">
        <v>151</v>
      </c>
      <c r="W55" s="43" t="s">
        <v>35</v>
      </c>
      <c r="X55" s="43" t="s">
        <v>35</v>
      </c>
      <c r="Y55" s="43" t="s">
        <v>35</v>
      </c>
      <c r="Z55" s="43" t="s">
        <v>35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 t="s">
        <v>35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76</v>
      </c>
      <c r="U56" s="43">
        <v>6990</v>
      </c>
      <c r="V56" s="43" t="s">
        <v>35</v>
      </c>
      <c r="W56" s="43">
        <v>1837</v>
      </c>
      <c r="X56" s="43">
        <v>1846</v>
      </c>
      <c r="Y56" s="43">
        <v>1681</v>
      </c>
      <c r="Z56" s="43">
        <v>1616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>
        <v>10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45">
      <c r="A57" s="43" t="s">
        <v>78</v>
      </c>
      <c r="B57" s="43">
        <v>6088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609</v>
      </c>
      <c r="I57" s="43">
        <v>789</v>
      </c>
      <c r="J57" s="43">
        <v>1025</v>
      </c>
      <c r="K57" s="72">
        <v>1173</v>
      </c>
      <c r="L57" s="43">
        <v>1274</v>
      </c>
      <c r="M57" s="43">
        <v>1125</v>
      </c>
      <c r="N57" s="43">
        <v>93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77</v>
      </c>
      <c r="U57" s="43" t="s">
        <v>35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 t="s">
        <v>35</v>
      </c>
      <c r="AB57" s="43" t="s">
        <v>35</v>
      </c>
      <c r="AC57" s="43" t="s">
        <v>35</v>
      </c>
      <c r="AD57" s="72" t="s">
        <v>35</v>
      </c>
      <c r="AE57" s="43" t="s">
        <v>35</v>
      </c>
      <c r="AF57" s="43" t="s">
        <v>35</v>
      </c>
      <c r="AG57" s="43" t="s">
        <v>35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78</v>
      </c>
      <c r="U58" s="43">
        <v>1750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>
        <v>209</v>
      </c>
      <c r="AB58" s="43">
        <v>216</v>
      </c>
      <c r="AC58" s="43">
        <v>282</v>
      </c>
      <c r="AD58" s="72">
        <v>325</v>
      </c>
      <c r="AE58" s="43">
        <v>373</v>
      </c>
      <c r="AF58" s="43">
        <v>270</v>
      </c>
      <c r="AG58" s="43">
        <v>75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60">
      <c r="A59" s="43" t="s">
        <v>80</v>
      </c>
      <c r="B59" s="43">
        <v>14682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2292</v>
      </c>
      <c r="I59" s="43">
        <v>2235</v>
      </c>
      <c r="J59" s="43">
        <v>2415</v>
      </c>
      <c r="K59" s="72">
        <v>2403</v>
      </c>
      <c r="L59" s="43">
        <v>2689</v>
      </c>
      <c r="M59" s="43">
        <v>2632</v>
      </c>
      <c r="N59" s="43">
        <v>16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79</v>
      </c>
      <c r="U59" s="43" t="s">
        <v>35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 t="s">
        <v>35</v>
      </c>
      <c r="AB59" s="43" t="s">
        <v>35</v>
      </c>
      <c r="AC59" s="43" t="s">
        <v>35</v>
      </c>
      <c r="AD59" s="72" t="s">
        <v>35</v>
      </c>
      <c r="AE59" s="43" t="s">
        <v>35</v>
      </c>
      <c r="AF59" s="43" t="s">
        <v>35</v>
      </c>
      <c r="AG59" s="43" t="s">
        <v>35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>
      <c r="A60" s="43" t="s">
        <v>81</v>
      </c>
      <c r="B60" s="43">
        <v>9002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1328</v>
      </c>
      <c r="I60" s="43">
        <v>1404</v>
      </c>
      <c r="J60" s="43">
        <v>1546</v>
      </c>
      <c r="K60" s="72">
        <v>1600</v>
      </c>
      <c r="L60" s="43">
        <v>1724</v>
      </c>
      <c r="M60" s="43">
        <v>1383</v>
      </c>
      <c r="N60" s="43">
        <v>17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80</v>
      </c>
      <c r="U60" s="43">
        <v>1682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295</v>
      </c>
      <c r="AB60" s="43">
        <v>246</v>
      </c>
      <c r="AC60" s="43">
        <v>284</v>
      </c>
      <c r="AD60" s="72">
        <v>245</v>
      </c>
      <c r="AE60" s="43">
        <v>314</v>
      </c>
      <c r="AF60" s="43">
        <v>282</v>
      </c>
      <c r="AG60" s="43">
        <v>16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>
      <c r="A61" s="43" t="s">
        <v>82</v>
      </c>
      <c r="B61" s="43">
        <v>43858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6001</v>
      </c>
      <c r="I61" s="43">
        <v>5807</v>
      </c>
      <c r="J61" s="43">
        <v>5638</v>
      </c>
      <c r="K61" s="72">
        <v>5557</v>
      </c>
      <c r="L61" s="43">
        <v>5272</v>
      </c>
      <c r="M61" s="43">
        <v>5146</v>
      </c>
      <c r="N61" s="43">
        <v>24</v>
      </c>
      <c r="O61" s="43">
        <v>197</v>
      </c>
      <c r="P61" s="43">
        <v>5048</v>
      </c>
      <c r="Q61" s="43">
        <v>5168</v>
      </c>
      <c r="R61" s="43" t="s">
        <v>35</v>
      </c>
      <c r="T61" s="43" t="s">
        <v>81</v>
      </c>
      <c r="U61" s="43">
        <v>1018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119</v>
      </c>
      <c r="AB61" s="43">
        <v>171</v>
      </c>
      <c r="AC61" s="43">
        <v>176</v>
      </c>
      <c r="AD61" s="72">
        <v>198</v>
      </c>
      <c r="AE61" s="43">
        <v>193</v>
      </c>
      <c r="AF61" s="43">
        <v>144</v>
      </c>
      <c r="AG61" s="43">
        <v>17</v>
      </c>
      <c r="AH61" s="43" t="s">
        <v>35</v>
      </c>
      <c r="AI61" s="43" t="s">
        <v>35</v>
      </c>
      <c r="AJ61" s="43" t="s">
        <v>35</v>
      </c>
      <c r="AK61" s="43" t="s">
        <v>35</v>
      </c>
      <c r="AU61" s="49"/>
    </row>
    <row r="62" spans="1:47" ht="45">
      <c r="A62" s="43" t="s">
        <v>83</v>
      </c>
      <c r="B62" s="43">
        <v>22734</v>
      </c>
      <c r="C62" s="43">
        <v>13</v>
      </c>
      <c r="D62" s="43">
        <v>127</v>
      </c>
      <c r="E62" s="43">
        <v>141</v>
      </c>
      <c r="F62" s="43">
        <v>140</v>
      </c>
      <c r="G62" s="43">
        <v>147</v>
      </c>
      <c r="H62" s="43">
        <v>3095</v>
      </c>
      <c r="I62" s="43">
        <v>3123</v>
      </c>
      <c r="J62" s="43">
        <v>3198</v>
      </c>
      <c r="K62" s="72">
        <v>3082</v>
      </c>
      <c r="L62" s="43">
        <v>3058</v>
      </c>
      <c r="M62" s="43">
        <v>2640</v>
      </c>
      <c r="N62" s="43">
        <v>12</v>
      </c>
      <c r="O62" s="43" t="s">
        <v>35</v>
      </c>
      <c r="P62" s="43">
        <v>1497</v>
      </c>
      <c r="Q62" s="43">
        <v>1438</v>
      </c>
      <c r="R62" s="43">
        <v>1023</v>
      </c>
      <c r="T62" s="43" t="s">
        <v>82</v>
      </c>
      <c r="U62" s="43">
        <v>2120</v>
      </c>
      <c r="V62" s="43" t="s">
        <v>35</v>
      </c>
      <c r="W62" s="43" t="s">
        <v>35</v>
      </c>
      <c r="X62" s="43" t="s">
        <v>35</v>
      </c>
      <c r="Y62" s="43" t="s">
        <v>35</v>
      </c>
      <c r="Z62" s="43" t="s">
        <v>35</v>
      </c>
      <c r="AA62" s="43">
        <v>324</v>
      </c>
      <c r="AB62" s="43">
        <v>297</v>
      </c>
      <c r="AC62" s="43">
        <v>272</v>
      </c>
      <c r="AD62" s="72">
        <v>226</v>
      </c>
      <c r="AE62" s="43">
        <v>265</v>
      </c>
      <c r="AF62" s="43">
        <v>254</v>
      </c>
      <c r="AG62" s="43">
        <v>24</v>
      </c>
      <c r="AH62" s="43">
        <v>18</v>
      </c>
      <c r="AI62" s="43">
        <v>227</v>
      </c>
      <c r="AJ62" s="43">
        <v>213</v>
      </c>
      <c r="AK62" s="43" t="s">
        <v>35</v>
      </c>
      <c r="AU62" s="49"/>
    </row>
    <row r="63" spans="1:47" ht="4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83</v>
      </c>
      <c r="U63" s="43">
        <v>1582</v>
      </c>
      <c r="V63" s="43">
        <v>9</v>
      </c>
      <c r="W63" s="43">
        <v>15</v>
      </c>
      <c r="X63" s="43">
        <v>18</v>
      </c>
      <c r="Y63" s="43">
        <v>17</v>
      </c>
      <c r="Z63" s="43">
        <v>19</v>
      </c>
      <c r="AA63" s="43">
        <v>258</v>
      </c>
      <c r="AB63" s="43">
        <v>262</v>
      </c>
      <c r="AC63" s="43">
        <v>202</v>
      </c>
      <c r="AD63" s="72">
        <v>216</v>
      </c>
      <c r="AE63" s="43">
        <v>222</v>
      </c>
      <c r="AF63" s="43">
        <v>193</v>
      </c>
      <c r="AG63" s="43">
        <v>8</v>
      </c>
      <c r="AH63" s="43" t="s">
        <v>35</v>
      </c>
      <c r="AI63" s="43">
        <v>75</v>
      </c>
      <c r="AJ63" s="43">
        <v>51</v>
      </c>
      <c r="AK63" s="43">
        <v>17</v>
      </c>
      <c r="AU63" s="49"/>
    </row>
    <row r="64" spans="1:47" ht="45">
      <c r="A64" s="43" t="s">
        <v>85</v>
      </c>
      <c r="B64" s="43">
        <v>506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85</v>
      </c>
      <c r="I64" s="43">
        <v>100</v>
      </c>
      <c r="J64" s="43">
        <v>72</v>
      </c>
      <c r="K64" s="72">
        <v>80</v>
      </c>
      <c r="L64" s="43">
        <v>79</v>
      </c>
      <c r="M64" s="43">
        <v>90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84</v>
      </c>
      <c r="U64" s="43" t="s">
        <v>35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 t="s">
        <v>35</v>
      </c>
      <c r="AB64" s="43" t="s">
        <v>35</v>
      </c>
      <c r="AC64" s="43" t="s">
        <v>35</v>
      </c>
      <c r="AD64" s="72" t="s">
        <v>35</v>
      </c>
      <c r="AE64" s="43" t="s">
        <v>35</v>
      </c>
      <c r="AF64" s="43" t="s">
        <v>35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>
      <c r="A65" s="43" t="s">
        <v>86</v>
      </c>
      <c r="B65" s="43">
        <v>1338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192</v>
      </c>
      <c r="I65" s="43">
        <v>189</v>
      </c>
      <c r="J65" s="43">
        <v>219</v>
      </c>
      <c r="K65" s="72">
        <v>213</v>
      </c>
      <c r="L65" s="43">
        <v>238</v>
      </c>
      <c r="M65" s="43">
        <v>287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85</v>
      </c>
      <c r="U65" s="43">
        <v>32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4</v>
      </c>
      <c r="AB65" s="43">
        <v>4</v>
      </c>
      <c r="AC65" s="43">
        <v>10</v>
      </c>
      <c r="AD65" s="72">
        <v>2</v>
      </c>
      <c r="AE65" s="43">
        <v>5</v>
      </c>
      <c r="AF65" s="43">
        <v>7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>
      <c r="A66" s="43" t="s">
        <v>87</v>
      </c>
      <c r="B66" s="43">
        <v>585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78</v>
      </c>
      <c r="I66" s="43">
        <v>83</v>
      </c>
      <c r="J66" s="43">
        <v>95</v>
      </c>
      <c r="K66" s="72">
        <v>82</v>
      </c>
      <c r="L66" s="43">
        <v>90</v>
      </c>
      <c r="M66" s="43">
        <v>66</v>
      </c>
      <c r="N66" s="43" t="s">
        <v>35</v>
      </c>
      <c r="O66" s="43" t="s">
        <v>35</v>
      </c>
      <c r="P66" s="43">
        <v>38</v>
      </c>
      <c r="Q66" s="43">
        <v>53</v>
      </c>
      <c r="R66" s="43" t="s">
        <v>35</v>
      </c>
      <c r="T66" s="43" t="s">
        <v>86</v>
      </c>
      <c r="U66" s="43">
        <v>34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>
        <v>4</v>
      </c>
      <c r="AB66" s="43">
        <v>7</v>
      </c>
      <c r="AC66" s="43">
        <v>3</v>
      </c>
      <c r="AD66" s="72">
        <v>2</v>
      </c>
      <c r="AE66" s="43">
        <v>4</v>
      </c>
      <c r="AF66" s="43">
        <v>14</v>
      </c>
      <c r="AG66" s="43" t="s">
        <v>35</v>
      </c>
      <c r="AH66" s="43" t="s">
        <v>35</v>
      </c>
      <c r="AI66" s="43" t="s">
        <v>35</v>
      </c>
      <c r="AJ66" s="43" t="s">
        <v>35</v>
      </c>
      <c r="AK66" s="43" t="s">
        <v>35</v>
      </c>
      <c r="AU66" s="49"/>
    </row>
    <row r="67" spans="1:47" ht="75">
      <c r="A67" s="43" t="s">
        <v>88</v>
      </c>
      <c r="B67" s="43">
        <v>1271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83</v>
      </c>
      <c r="I67" s="43">
        <v>78</v>
      </c>
      <c r="J67" s="43">
        <v>74</v>
      </c>
      <c r="K67" s="72">
        <v>86</v>
      </c>
      <c r="L67" s="43">
        <v>74</v>
      </c>
      <c r="M67" s="43">
        <v>176</v>
      </c>
      <c r="N67" s="43" t="s">
        <v>35</v>
      </c>
      <c r="O67" s="43" t="s">
        <v>35</v>
      </c>
      <c r="P67" s="43">
        <v>248</v>
      </c>
      <c r="Q67" s="43">
        <v>249</v>
      </c>
      <c r="R67" s="43">
        <v>203</v>
      </c>
      <c r="T67" s="43" t="s">
        <v>87</v>
      </c>
      <c r="U67" s="43">
        <v>10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4</v>
      </c>
      <c r="AB67" s="43">
        <v>2</v>
      </c>
      <c r="AC67" s="43">
        <v>1</v>
      </c>
      <c r="AD67" s="72" t="s">
        <v>35</v>
      </c>
      <c r="AE67" s="43">
        <v>3</v>
      </c>
      <c r="AF67" s="43" t="s">
        <v>35</v>
      </c>
      <c r="AG67" s="43" t="s">
        <v>35</v>
      </c>
      <c r="AH67" s="43" t="s">
        <v>35</v>
      </c>
      <c r="AI67" s="43" t="s">
        <v>35</v>
      </c>
      <c r="AJ67" s="43" t="s">
        <v>35</v>
      </c>
      <c r="AK67" s="43" t="s">
        <v>35</v>
      </c>
      <c r="AU67" s="49"/>
    </row>
    <row r="68" spans="1:47" ht="7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88</v>
      </c>
      <c r="U68" s="43">
        <v>36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>
        <v>1</v>
      </c>
      <c r="AB68" s="43">
        <v>1</v>
      </c>
      <c r="AC68" s="43">
        <v>2</v>
      </c>
      <c r="AD68" s="72">
        <v>3</v>
      </c>
      <c r="AE68" s="43">
        <v>1</v>
      </c>
      <c r="AF68" s="43">
        <v>10</v>
      </c>
      <c r="AG68" s="43" t="s">
        <v>35</v>
      </c>
      <c r="AH68" s="43" t="s">
        <v>35</v>
      </c>
      <c r="AI68" s="43">
        <v>13</v>
      </c>
      <c r="AJ68" s="43">
        <v>4</v>
      </c>
      <c r="AK68" s="43">
        <v>1</v>
      </c>
      <c r="AU68" s="49"/>
    </row>
    <row r="69" spans="1:47" ht="45">
      <c r="A69" s="43" t="s">
        <v>90</v>
      </c>
      <c r="B69" s="43">
        <v>1022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162</v>
      </c>
      <c r="I69" s="43">
        <v>30</v>
      </c>
      <c r="J69" s="43">
        <v>251</v>
      </c>
      <c r="K69" s="72">
        <v>208</v>
      </c>
      <c r="L69" s="43">
        <v>200</v>
      </c>
      <c r="M69" s="43">
        <v>171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89</v>
      </c>
      <c r="U69" s="43" t="s">
        <v>35</v>
      </c>
      <c r="V69" s="43" t="s">
        <v>35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 t="s">
        <v>35</v>
      </c>
      <c r="AC69" s="43" t="s">
        <v>35</v>
      </c>
      <c r="AD69" s="72" t="s">
        <v>35</v>
      </c>
      <c r="AE69" s="43" t="s">
        <v>35</v>
      </c>
      <c r="AF69" s="43" t="s">
        <v>35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>
      <c r="A70" s="43" t="s">
        <v>91</v>
      </c>
      <c r="B70" s="43">
        <v>1513</v>
      </c>
      <c r="C70" s="43" t="s">
        <v>35</v>
      </c>
      <c r="D70" s="43">
        <v>421</v>
      </c>
      <c r="E70" s="43" t="s">
        <v>35</v>
      </c>
      <c r="F70" s="43" t="s">
        <v>35</v>
      </c>
      <c r="G70" s="43" t="s">
        <v>35</v>
      </c>
      <c r="H70" s="43">
        <v>667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425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90</v>
      </c>
      <c r="U70" s="43">
        <v>114</v>
      </c>
      <c r="V70" s="43" t="s">
        <v>35</v>
      </c>
      <c r="W70" s="43" t="s">
        <v>35</v>
      </c>
      <c r="X70" s="43" t="s">
        <v>35</v>
      </c>
      <c r="Y70" s="43" t="s">
        <v>35</v>
      </c>
      <c r="Z70" s="43" t="s">
        <v>35</v>
      </c>
      <c r="AA70" s="43">
        <v>17</v>
      </c>
      <c r="AB70" s="43">
        <v>5</v>
      </c>
      <c r="AC70" s="43">
        <v>24</v>
      </c>
      <c r="AD70" s="72">
        <v>33</v>
      </c>
      <c r="AE70" s="43">
        <v>22</v>
      </c>
      <c r="AF70" s="43">
        <v>13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>
      <c r="A71" s="43" t="s">
        <v>92</v>
      </c>
      <c r="B71" s="43">
        <v>1999</v>
      </c>
      <c r="C71" s="43" t="s">
        <v>35</v>
      </c>
      <c r="D71" s="43">
        <v>226</v>
      </c>
      <c r="E71" s="43">
        <v>346</v>
      </c>
      <c r="F71" s="43">
        <v>268</v>
      </c>
      <c r="G71" s="43">
        <v>258</v>
      </c>
      <c r="H71" s="43">
        <v>174</v>
      </c>
      <c r="I71" s="43">
        <v>205</v>
      </c>
      <c r="J71" s="43">
        <v>153</v>
      </c>
      <c r="K71" s="72">
        <v>143</v>
      </c>
      <c r="L71" s="43">
        <v>164</v>
      </c>
      <c r="M71" s="43">
        <v>62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91</v>
      </c>
      <c r="U71" s="43">
        <v>235</v>
      </c>
      <c r="V71" s="43" t="s">
        <v>35</v>
      </c>
      <c r="W71" s="43">
        <v>67</v>
      </c>
      <c r="X71" s="43" t="s">
        <v>35</v>
      </c>
      <c r="Y71" s="43" t="s">
        <v>35</v>
      </c>
      <c r="Z71" s="43" t="s">
        <v>35</v>
      </c>
      <c r="AA71" s="43">
        <v>104</v>
      </c>
      <c r="AB71" s="43" t="s">
        <v>35</v>
      </c>
      <c r="AC71" s="43" t="s">
        <v>35</v>
      </c>
      <c r="AD71" s="72" t="s">
        <v>35</v>
      </c>
      <c r="AE71" s="43" t="s">
        <v>35</v>
      </c>
      <c r="AF71" s="43">
        <v>64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60">
      <c r="A72" s="43" t="s">
        <v>93</v>
      </c>
      <c r="B72" s="43">
        <v>240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110</v>
      </c>
      <c r="Q72" s="43">
        <v>67</v>
      </c>
      <c r="R72" s="43">
        <v>63</v>
      </c>
      <c r="T72" s="43" t="s">
        <v>92</v>
      </c>
      <c r="U72" s="43">
        <v>111</v>
      </c>
      <c r="V72" s="43" t="s">
        <v>35</v>
      </c>
      <c r="W72" s="43">
        <v>13</v>
      </c>
      <c r="X72" s="43">
        <v>23</v>
      </c>
      <c r="Y72" s="43">
        <v>16</v>
      </c>
      <c r="Z72" s="43">
        <v>21</v>
      </c>
      <c r="AA72" s="43">
        <v>9</v>
      </c>
      <c r="AB72" s="43">
        <v>12</v>
      </c>
      <c r="AC72" s="43">
        <v>7</v>
      </c>
      <c r="AD72" s="72">
        <v>7</v>
      </c>
      <c r="AE72" s="43">
        <v>1</v>
      </c>
      <c r="AF72" s="43">
        <v>2</v>
      </c>
      <c r="AG72" s="43" t="s">
        <v>35</v>
      </c>
      <c r="AH72" s="43" t="s">
        <v>35</v>
      </c>
      <c r="AI72" s="43" t="s">
        <v>35</v>
      </c>
      <c r="AJ72" s="43" t="s">
        <v>35</v>
      </c>
      <c r="AK72" s="43" t="s">
        <v>35</v>
      </c>
      <c r="AU72" s="49"/>
    </row>
    <row r="73" spans="1:47" ht="30">
      <c r="A73" s="43" t="s">
        <v>94</v>
      </c>
      <c r="B73" s="43">
        <v>339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151</v>
      </c>
      <c r="Q73" s="43">
        <v>119</v>
      </c>
      <c r="R73" s="43">
        <v>69</v>
      </c>
      <c r="T73" s="43" t="s">
        <v>93</v>
      </c>
      <c r="U73" s="43">
        <v>18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11</v>
      </c>
      <c r="AJ73" s="43">
        <v>4</v>
      </c>
      <c r="AK73" s="43">
        <v>3</v>
      </c>
      <c r="AU73" s="49"/>
    </row>
    <row r="74" spans="1:47" ht="15" customHeight="1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3" t="s">
        <v>94</v>
      </c>
      <c r="U74" s="43">
        <v>32</v>
      </c>
      <c r="V74" s="43" t="s">
        <v>35</v>
      </c>
      <c r="W74" s="43" t="s">
        <v>35</v>
      </c>
      <c r="X74" s="43" t="s">
        <v>35</v>
      </c>
      <c r="Y74" s="43" t="s">
        <v>35</v>
      </c>
      <c r="Z74" s="43" t="s">
        <v>35</v>
      </c>
      <c r="AA74" s="43" t="s">
        <v>35</v>
      </c>
      <c r="AB74" s="43" t="s">
        <v>35</v>
      </c>
      <c r="AC74" s="43" t="s">
        <v>35</v>
      </c>
      <c r="AD74" s="72" t="s">
        <v>35</v>
      </c>
      <c r="AE74" s="43" t="s">
        <v>35</v>
      </c>
      <c r="AF74" s="43" t="s">
        <v>35</v>
      </c>
      <c r="AG74" s="43" t="s">
        <v>35</v>
      </c>
      <c r="AH74" s="43" t="s">
        <v>35</v>
      </c>
      <c r="AI74" s="43">
        <v>17</v>
      </c>
      <c r="AJ74" s="43">
        <v>12</v>
      </c>
      <c r="AK74" s="43">
        <v>3</v>
      </c>
      <c r="AU74" s="49"/>
    </row>
    <row r="75" spans="1:47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 t="s">
        <v>49</v>
      </c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>
      <c r="A76" s="43" t="s">
        <v>40</v>
      </c>
      <c r="B76" s="43">
        <v>220901</v>
      </c>
      <c r="C76" s="43">
        <v>661</v>
      </c>
      <c r="D76" s="43">
        <v>18952</v>
      </c>
      <c r="E76" s="43">
        <v>20032</v>
      </c>
      <c r="F76" s="43">
        <v>19072</v>
      </c>
      <c r="G76" s="43">
        <v>18943</v>
      </c>
      <c r="H76" s="43">
        <v>20374</v>
      </c>
      <c r="I76" s="43">
        <v>19478</v>
      </c>
      <c r="J76" s="43">
        <v>20334</v>
      </c>
      <c r="K76" s="72">
        <v>20669</v>
      </c>
      <c r="L76" s="43">
        <v>20725</v>
      </c>
      <c r="M76" s="43">
        <v>19843</v>
      </c>
      <c r="N76" s="43">
        <v>636</v>
      </c>
      <c r="O76" s="43">
        <v>423</v>
      </c>
      <c r="P76" s="43">
        <v>9759</v>
      </c>
      <c r="Q76" s="43">
        <v>9390</v>
      </c>
      <c r="R76" s="43">
        <v>1610</v>
      </c>
      <c r="T76" s="41"/>
      <c r="U76" s="51"/>
      <c r="V76" s="51"/>
      <c r="W76" s="51"/>
      <c r="X76" s="51"/>
      <c r="Y76" s="51"/>
      <c r="Z76" s="51"/>
      <c r="AA76" s="51"/>
      <c r="AB76" s="51"/>
      <c r="AC76" s="51"/>
      <c r="AD76" s="7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2"/>
    </row>
    <row r="77" spans="1:47" ht="30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3" t="s">
        <v>40</v>
      </c>
      <c r="U77" s="43">
        <v>25339</v>
      </c>
      <c r="V77" s="43">
        <v>246</v>
      </c>
      <c r="W77" s="43">
        <v>3013</v>
      </c>
      <c r="X77" s="43">
        <v>2833</v>
      </c>
      <c r="Y77" s="43">
        <v>2742</v>
      </c>
      <c r="Z77" s="43">
        <v>2613</v>
      </c>
      <c r="AA77" s="43">
        <v>2113</v>
      </c>
      <c r="AB77" s="43">
        <v>2086</v>
      </c>
      <c r="AC77" s="43">
        <v>2064</v>
      </c>
      <c r="AD77" s="72">
        <v>2089</v>
      </c>
      <c r="AE77" s="43">
        <v>2243</v>
      </c>
      <c r="AF77" s="43">
        <v>1777</v>
      </c>
      <c r="AG77" s="43">
        <v>517</v>
      </c>
      <c r="AH77" s="43">
        <v>34</v>
      </c>
      <c r="AI77" s="43">
        <v>569</v>
      </c>
      <c r="AJ77" s="43">
        <v>363</v>
      </c>
      <c r="AK77" s="43">
        <v>37</v>
      </c>
      <c r="AU77" s="49"/>
    </row>
    <row r="78" spans="1:47" ht="45">
      <c r="A78" s="43" t="s">
        <v>75</v>
      </c>
      <c r="B78" s="43">
        <v>608</v>
      </c>
      <c r="C78" s="43">
        <v>608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1"/>
      <c r="U78" s="51"/>
      <c r="V78" s="51"/>
      <c r="W78" s="51"/>
      <c r="X78" s="51"/>
      <c r="Y78" s="51"/>
      <c r="Z78" s="51"/>
      <c r="AA78" s="51"/>
      <c r="AB78" s="51"/>
      <c r="AC78" s="51"/>
      <c r="AD78" s="7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2"/>
    </row>
    <row r="79" spans="1:47" ht="45">
      <c r="A79" s="43" t="s">
        <v>76</v>
      </c>
      <c r="B79" s="43">
        <v>73798</v>
      </c>
      <c r="C79" s="43" t="s">
        <v>35</v>
      </c>
      <c r="D79" s="43">
        <v>17750</v>
      </c>
      <c r="E79" s="43">
        <v>19233</v>
      </c>
      <c r="F79" s="43">
        <v>18454</v>
      </c>
      <c r="G79" s="43">
        <v>18339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22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75</v>
      </c>
      <c r="U79" s="43">
        <v>239</v>
      </c>
      <c r="V79" s="43">
        <v>239</v>
      </c>
      <c r="W79" s="43" t="s">
        <v>35</v>
      </c>
      <c r="X79" s="43" t="s">
        <v>35</v>
      </c>
      <c r="Y79" s="43" t="s">
        <v>35</v>
      </c>
      <c r="Z79" s="43" t="s">
        <v>35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 t="s">
        <v>35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76</v>
      </c>
      <c r="U80" s="43">
        <v>10831</v>
      </c>
      <c r="V80" s="43" t="s">
        <v>35</v>
      </c>
      <c r="W80" s="43">
        <v>2851</v>
      </c>
      <c r="X80" s="43">
        <v>2746</v>
      </c>
      <c r="Y80" s="43">
        <v>2663</v>
      </c>
      <c r="Z80" s="43">
        <v>2550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>
        <v>21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45">
      <c r="A81" s="43" t="s">
        <v>78</v>
      </c>
      <c r="B81" s="43">
        <v>3671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204</v>
      </c>
      <c r="I81" s="43">
        <v>408</v>
      </c>
      <c r="J81" s="43">
        <v>514</v>
      </c>
      <c r="K81" s="72">
        <v>769</v>
      </c>
      <c r="L81" s="43">
        <v>967</v>
      </c>
      <c r="M81" s="43">
        <v>757</v>
      </c>
      <c r="N81" s="43">
        <v>52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77</v>
      </c>
      <c r="U81" s="43" t="s">
        <v>35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 t="s">
        <v>35</v>
      </c>
      <c r="AB81" s="43" t="s">
        <v>35</v>
      </c>
      <c r="AC81" s="43" t="s">
        <v>35</v>
      </c>
      <c r="AD81" s="72" t="s">
        <v>35</v>
      </c>
      <c r="AE81" s="43" t="s">
        <v>35</v>
      </c>
      <c r="AF81" s="43" t="s">
        <v>35</v>
      </c>
      <c r="AG81" s="43" t="s">
        <v>35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78</v>
      </c>
      <c r="U82" s="43">
        <v>1253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>
        <v>44</v>
      </c>
      <c r="AB82" s="43">
        <v>145</v>
      </c>
      <c r="AC82" s="43">
        <v>170</v>
      </c>
      <c r="AD82" s="72">
        <v>281</v>
      </c>
      <c r="AE82" s="43">
        <v>377</v>
      </c>
      <c r="AF82" s="43">
        <v>184</v>
      </c>
      <c r="AG82" s="43">
        <v>52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60">
      <c r="A83" s="43" t="s">
        <v>80</v>
      </c>
      <c r="B83" s="43">
        <v>13202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1560</v>
      </c>
      <c r="I83" s="43">
        <v>1760</v>
      </c>
      <c r="J83" s="43">
        <v>1999</v>
      </c>
      <c r="K83" s="72">
        <v>2308</v>
      </c>
      <c r="L83" s="43">
        <v>2592</v>
      </c>
      <c r="M83" s="43">
        <v>2971</v>
      </c>
      <c r="N83" s="43">
        <v>12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79</v>
      </c>
      <c r="U83" s="43" t="s">
        <v>35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 t="s">
        <v>35</v>
      </c>
      <c r="AB83" s="43" t="s">
        <v>35</v>
      </c>
      <c r="AC83" s="43" t="s">
        <v>35</v>
      </c>
      <c r="AD83" s="72" t="s">
        <v>35</v>
      </c>
      <c r="AE83" s="43" t="s">
        <v>35</v>
      </c>
      <c r="AF83" s="43" t="s">
        <v>35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>
      <c r="A84" s="43" t="s">
        <v>81</v>
      </c>
      <c r="B84" s="43">
        <v>15963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2671</v>
      </c>
      <c r="I84" s="43">
        <v>2747</v>
      </c>
      <c r="J84" s="43">
        <v>2774</v>
      </c>
      <c r="K84" s="72">
        <v>2843</v>
      </c>
      <c r="L84" s="43">
        <v>2676</v>
      </c>
      <c r="M84" s="43">
        <v>2158</v>
      </c>
      <c r="N84" s="43">
        <v>94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80</v>
      </c>
      <c r="U84" s="43">
        <v>2028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248</v>
      </c>
      <c r="AB84" s="43">
        <v>288</v>
      </c>
      <c r="AC84" s="43">
        <v>325</v>
      </c>
      <c r="AD84" s="72">
        <v>381</v>
      </c>
      <c r="AE84" s="43">
        <v>398</v>
      </c>
      <c r="AF84" s="43">
        <v>376</v>
      </c>
      <c r="AG84" s="43">
        <v>12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>
      <c r="A85" s="43" t="s">
        <v>82</v>
      </c>
      <c r="B85" s="43">
        <v>57846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8171</v>
      </c>
      <c r="I85" s="43">
        <v>7660</v>
      </c>
      <c r="J85" s="43">
        <v>7692</v>
      </c>
      <c r="K85" s="72">
        <v>7263</v>
      </c>
      <c r="L85" s="43">
        <v>7045</v>
      </c>
      <c r="M85" s="43">
        <v>6664</v>
      </c>
      <c r="N85" s="43">
        <v>145</v>
      </c>
      <c r="O85" s="43">
        <v>222</v>
      </c>
      <c r="P85" s="43">
        <v>6573</v>
      </c>
      <c r="Q85" s="43">
        <v>6411</v>
      </c>
      <c r="R85" s="43" t="s">
        <v>35</v>
      </c>
      <c r="T85" s="43" t="s">
        <v>81</v>
      </c>
      <c r="U85" s="43">
        <v>2494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424</v>
      </c>
      <c r="AB85" s="43">
        <v>461</v>
      </c>
      <c r="AC85" s="43">
        <v>477</v>
      </c>
      <c r="AD85" s="72">
        <v>406</v>
      </c>
      <c r="AE85" s="43">
        <v>413</v>
      </c>
      <c r="AF85" s="43">
        <v>219</v>
      </c>
      <c r="AG85" s="43">
        <v>94</v>
      </c>
      <c r="AH85" s="43" t="s">
        <v>35</v>
      </c>
      <c r="AI85" s="43" t="s">
        <v>35</v>
      </c>
      <c r="AJ85" s="43" t="s">
        <v>35</v>
      </c>
      <c r="AK85" s="43" t="s">
        <v>35</v>
      </c>
      <c r="AU85" s="49"/>
    </row>
    <row r="86" spans="1:47" ht="45">
      <c r="A86" s="43" t="s">
        <v>83</v>
      </c>
      <c r="B86" s="43">
        <v>31831</v>
      </c>
      <c r="C86" s="43" t="s">
        <v>35</v>
      </c>
      <c r="D86" s="43">
        <v>280</v>
      </c>
      <c r="E86" s="43">
        <v>300</v>
      </c>
      <c r="F86" s="43">
        <v>278</v>
      </c>
      <c r="G86" s="43">
        <v>297</v>
      </c>
      <c r="H86" s="43">
        <v>4159</v>
      </c>
      <c r="I86" s="43">
        <v>4326</v>
      </c>
      <c r="J86" s="43">
        <v>4410</v>
      </c>
      <c r="K86" s="72">
        <v>4320</v>
      </c>
      <c r="L86" s="43">
        <v>4326</v>
      </c>
      <c r="M86" s="43">
        <v>3712</v>
      </c>
      <c r="N86" s="43">
        <v>205</v>
      </c>
      <c r="O86" s="43" t="s">
        <v>35</v>
      </c>
      <c r="P86" s="43">
        <v>1934</v>
      </c>
      <c r="Q86" s="43">
        <v>1843</v>
      </c>
      <c r="R86" s="43">
        <v>1441</v>
      </c>
      <c r="T86" s="43" t="s">
        <v>82</v>
      </c>
      <c r="U86" s="43">
        <v>2993</v>
      </c>
      <c r="V86" s="43" t="s">
        <v>35</v>
      </c>
      <c r="W86" s="43" t="s">
        <v>35</v>
      </c>
      <c r="X86" s="43" t="s">
        <v>35</v>
      </c>
      <c r="Y86" s="43" t="s">
        <v>35</v>
      </c>
      <c r="Z86" s="43" t="s">
        <v>35</v>
      </c>
      <c r="AA86" s="43">
        <v>480</v>
      </c>
      <c r="AB86" s="43">
        <v>396</v>
      </c>
      <c r="AC86" s="43">
        <v>370</v>
      </c>
      <c r="AD86" s="72">
        <v>309</v>
      </c>
      <c r="AE86" s="43">
        <v>345</v>
      </c>
      <c r="AF86" s="43">
        <v>371</v>
      </c>
      <c r="AG86" s="43">
        <v>116</v>
      </c>
      <c r="AH86" s="43">
        <v>25</v>
      </c>
      <c r="AI86" s="43">
        <v>348</v>
      </c>
      <c r="AJ86" s="43">
        <v>233</v>
      </c>
      <c r="AK86" s="43" t="s">
        <v>35</v>
      </c>
      <c r="AU86" s="49"/>
    </row>
    <row r="87" spans="1:47" ht="4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83</v>
      </c>
      <c r="U87" s="43">
        <v>3444</v>
      </c>
      <c r="V87" s="43" t="s">
        <v>35</v>
      </c>
      <c r="W87" s="43">
        <v>32</v>
      </c>
      <c r="X87" s="43">
        <v>31</v>
      </c>
      <c r="Y87" s="43">
        <v>44</v>
      </c>
      <c r="Z87" s="43">
        <v>35</v>
      </c>
      <c r="AA87" s="43">
        <v>574</v>
      </c>
      <c r="AB87" s="43">
        <v>592</v>
      </c>
      <c r="AC87" s="43">
        <v>500</v>
      </c>
      <c r="AD87" s="72">
        <v>435</v>
      </c>
      <c r="AE87" s="43">
        <v>461</v>
      </c>
      <c r="AF87" s="43">
        <v>351</v>
      </c>
      <c r="AG87" s="43">
        <v>118</v>
      </c>
      <c r="AH87" s="43" t="s">
        <v>35</v>
      </c>
      <c r="AI87" s="43">
        <v>142</v>
      </c>
      <c r="AJ87" s="43">
        <v>97</v>
      </c>
      <c r="AK87" s="43">
        <v>32</v>
      </c>
      <c r="AU87" s="49"/>
    </row>
    <row r="88" spans="1:47" ht="45">
      <c r="A88" s="43" t="s">
        <v>85</v>
      </c>
      <c r="B88" s="43">
        <v>2339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268</v>
      </c>
      <c r="I88" s="43">
        <v>323</v>
      </c>
      <c r="J88" s="43">
        <v>370</v>
      </c>
      <c r="K88" s="72">
        <v>496</v>
      </c>
      <c r="L88" s="43">
        <v>448</v>
      </c>
      <c r="M88" s="43">
        <v>345</v>
      </c>
      <c r="N88" s="43">
        <v>89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84</v>
      </c>
      <c r="U88" s="43" t="s">
        <v>35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 t="s">
        <v>35</v>
      </c>
      <c r="AB88" s="43" t="s">
        <v>35</v>
      </c>
      <c r="AC88" s="43" t="s">
        <v>35</v>
      </c>
      <c r="AD88" s="72" t="s">
        <v>35</v>
      </c>
      <c r="AE88" s="43" t="s">
        <v>35</v>
      </c>
      <c r="AF88" s="43" t="s">
        <v>35</v>
      </c>
      <c r="AG88" s="43" t="s">
        <v>35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>
      <c r="A89" s="43" t="s">
        <v>86</v>
      </c>
      <c r="B89" s="43">
        <v>6544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1075</v>
      </c>
      <c r="I89" s="43">
        <v>1002</v>
      </c>
      <c r="J89" s="43">
        <v>1030</v>
      </c>
      <c r="K89" s="72">
        <v>1119</v>
      </c>
      <c r="L89" s="43">
        <v>1145</v>
      </c>
      <c r="M89" s="43">
        <v>1173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85</v>
      </c>
      <c r="U89" s="43">
        <v>549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61</v>
      </c>
      <c r="AB89" s="43">
        <v>76</v>
      </c>
      <c r="AC89" s="43">
        <v>83</v>
      </c>
      <c r="AD89" s="72">
        <v>107</v>
      </c>
      <c r="AE89" s="43">
        <v>82</v>
      </c>
      <c r="AF89" s="43">
        <v>53</v>
      </c>
      <c r="AG89" s="43">
        <v>87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>
      <c r="A90" s="43" t="s">
        <v>87</v>
      </c>
      <c r="B90" s="43">
        <v>7607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947</v>
      </c>
      <c r="I90" s="43">
        <v>890</v>
      </c>
      <c r="J90" s="43">
        <v>892</v>
      </c>
      <c r="K90" s="72">
        <v>914</v>
      </c>
      <c r="L90" s="43">
        <v>904</v>
      </c>
      <c r="M90" s="43">
        <v>899</v>
      </c>
      <c r="N90" s="43">
        <v>17</v>
      </c>
      <c r="O90" s="43">
        <v>201</v>
      </c>
      <c r="P90" s="43">
        <v>988</v>
      </c>
      <c r="Q90" s="43">
        <v>955</v>
      </c>
      <c r="R90" s="43" t="s">
        <v>35</v>
      </c>
      <c r="T90" s="43" t="s">
        <v>86</v>
      </c>
      <c r="U90" s="43">
        <v>490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89</v>
      </c>
      <c r="AB90" s="43">
        <v>75</v>
      </c>
      <c r="AC90" s="43">
        <v>65</v>
      </c>
      <c r="AD90" s="72">
        <v>90</v>
      </c>
      <c r="AE90" s="43">
        <v>84</v>
      </c>
      <c r="AF90" s="43">
        <v>87</v>
      </c>
      <c r="AG90" s="43" t="s">
        <v>35</v>
      </c>
      <c r="AH90" s="43" t="s">
        <v>35</v>
      </c>
      <c r="AI90" s="43" t="s">
        <v>35</v>
      </c>
      <c r="AJ90" s="43" t="s">
        <v>35</v>
      </c>
      <c r="AK90" s="43" t="s">
        <v>35</v>
      </c>
      <c r="AU90" s="49"/>
    </row>
    <row r="91" spans="1:47" ht="75">
      <c r="A91" s="43" t="s">
        <v>88</v>
      </c>
      <c r="B91" s="43">
        <v>920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77</v>
      </c>
      <c r="I91" s="43">
        <v>110</v>
      </c>
      <c r="J91" s="43">
        <v>122</v>
      </c>
      <c r="K91" s="72">
        <v>96</v>
      </c>
      <c r="L91" s="43">
        <v>129</v>
      </c>
      <c r="M91" s="43">
        <v>123</v>
      </c>
      <c r="N91" s="43" t="s">
        <v>35</v>
      </c>
      <c r="O91" s="43" t="s">
        <v>35</v>
      </c>
      <c r="P91" s="43">
        <v>109</v>
      </c>
      <c r="Q91" s="43">
        <v>76</v>
      </c>
      <c r="R91" s="43">
        <v>78</v>
      </c>
      <c r="T91" s="43" t="s">
        <v>87</v>
      </c>
      <c r="U91" s="43">
        <v>279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44</v>
      </c>
      <c r="AB91" s="43">
        <v>26</v>
      </c>
      <c r="AC91" s="43">
        <v>32</v>
      </c>
      <c r="AD91" s="72">
        <v>31</v>
      </c>
      <c r="AE91" s="43">
        <v>31</v>
      </c>
      <c r="AF91" s="43">
        <v>26</v>
      </c>
      <c r="AG91" s="43">
        <v>17</v>
      </c>
      <c r="AH91" s="43">
        <v>9</v>
      </c>
      <c r="AI91" s="43">
        <v>41</v>
      </c>
      <c r="AJ91" s="43">
        <v>22</v>
      </c>
      <c r="AK91" s="43" t="s">
        <v>35</v>
      </c>
      <c r="AU91" s="49"/>
    </row>
    <row r="92" spans="1:47" ht="75">
      <c r="A92" s="43" t="s">
        <v>89</v>
      </c>
      <c r="B92" s="43">
        <v>53</v>
      </c>
      <c r="C92" s="43">
        <v>53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88</v>
      </c>
      <c r="U92" s="43">
        <v>55</v>
      </c>
      <c r="V92" s="43" t="s">
        <v>35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>
        <v>6</v>
      </c>
      <c r="AB92" s="43">
        <v>7</v>
      </c>
      <c r="AC92" s="43">
        <v>6</v>
      </c>
      <c r="AD92" s="72">
        <v>6</v>
      </c>
      <c r="AE92" s="43">
        <v>7</v>
      </c>
      <c r="AF92" s="43">
        <v>6</v>
      </c>
      <c r="AG92" s="43" t="s">
        <v>35</v>
      </c>
      <c r="AH92" s="43" t="s">
        <v>35</v>
      </c>
      <c r="AI92" s="43">
        <v>12</v>
      </c>
      <c r="AJ92" s="43">
        <v>3</v>
      </c>
      <c r="AK92" s="43">
        <v>2</v>
      </c>
      <c r="AU92" s="49"/>
    </row>
    <row r="93" spans="1:47" ht="45">
      <c r="A93" s="43" t="s">
        <v>90</v>
      </c>
      <c r="B93" s="43">
        <v>997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64</v>
      </c>
      <c r="I93" s="43">
        <v>6</v>
      </c>
      <c r="J93" s="43">
        <v>234</v>
      </c>
      <c r="K93" s="72">
        <v>263</v>
      </c>
      <c r="L93" s="43">
        <v>238</v>
      </c>
      <c r="M93" s="43">
        <v>192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89</v>
      </c>
      <c r="U93" s="43">
        <v>7</v>
      </c>
      <c r="V93" s="43">
        <v>7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 t="s">
        <v>35</v>
      </c>
      <c r="AC93" s="43" t="s">
        <v>35</v>
      </c>
      <c r="AD93" s="72" t="s">
        <v>35</v>
      </c>
      <c r="AE93" s="43" t="s">
        <v>35</v>
      </c>
      <c r="AF93" s="43" t="s">
        <v>35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>
      <c r="A94" s="43" t="s">
        <v>91</v>
      </c>
      <c r="B94" s="43">
        <v>2086</v>
      </c>
      <c r="C94" s="43" t="s">
        <v>35</v>
      </c>
      <c r="D94" s="43">
        <v>572</v>
      </c>
      <c r="E94" s="43" t="s">
        <v>35</v>
      </c>
      <c r="F94" s="43" t="s">
        <v>35</v>
      </c>
      <c r="G94" s="43" t="s">
        <v>35</v>
      </c>
      <c r="H94" s="43">
        <v>892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622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90</v>
      </c>
      <c r="U94" s="43">
        <v>73</v>
      </c>
      <c r="V94" s="43" t="s">
        <v>35</v>
      </c>
      <c r="W94" s="43" t="s">
        <v>35</v>
      </c>
      <c r="X94" s="43" t="s">
        <v>35</v>
      </c>
      <c r="Y94" s="43" t="s">
        <v>35</v>
      </c>
      <c r="Z94" s="43" t="s">
        <v>35</v>
      </c>
      <c r="AA94" s="43">
        <v>5</v>
      </c>
      <c r="AB94" s="43">
        <v>2</v>
      </c>
      <c r="AC94" s="43">
        <v>12</v>
      </c>
      <c r="AD94" s="72">
        <v>24</v>
      </c>
      <c r="AE94" s="43">
        <v>21</v>
      </c>
      <c r="AF94" s="43">
        <v>9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>
      <c r="A95" s="43" t="s">
        <v>92</v>
      </c>
      <c r="B95" s="43">
        <v>3085</v>
      </c>
      <c r="C95" s="43" t="s">
        <v>35</v>
      </c>
      <c r="D95" s="43">
        <v>350</v>
      </c>
      <c r="E95" s="43">
        <v>499</v>
      </c>
      <c r="F95" s="43">
        <v>340</v>
      </c>
      <c r="G95" s="43">
        <v>307</v>
      </c>
      <c r="H95" s="43">
        <v>286</v>
      </c>
      <c r="I95" s="43">
        <v>246</v>
      </c>
      <c r="J95" s="43">
        <v>297</v>
      </c>
      <c r="K95" s="72">
        <v>278</v>
      </c>
      <c r="L95" s="43">
        <v>255</v>
      </c>
      <c r="M95" s="43">
        <v>227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91</v>
      </c>
      <c r="U95" s="43">
        <v>273</v>
      </c>
      <c r="V95" s="43" t="s">
        <v>35</v>
      </c>
      <c r="W95" s="43">
        <v>95</v>
      </c>
      <c r="X95" s="43" t="s">
        <v>35</v>
      </c>
      <c r="Y95" s="43" t="s">
        <v>35</v>
      </c>
      <c r="Z95" s="43" t="s">
        <v>35</v>
      </c>
      <c r="AA95" s="43">
        <v>109</v>
      </c>
      <c r="AB95" s="43" t="s">
        <v>35</v>
      </c>
      <c r="AC95" s="43" t="s">
        <v>35</v>
      </c>
      <c r="AD95" s="72" t="s">
        <v>35</v>
      </c>
      <c r="AE95" s="43" t="s">
        <v>35</v>
      </c>
      <c r="AF95" s="43">
        <v>69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60">
      <c r="A96" s="43" t="s">
        <v>93</v>
      </c>
      <c r="B96" s="43">
        <v>139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78</v>
      </c>
      <c r="Q96" s="43">
        <v>36</v>
      </c>
      <c r="R96" s="43">
        <v>25</v>
      </c>
      <c r="T96" s="43" t="s">
        <v>92</v>
      </c>
      <c r="U96" s="43">
        <v>294</v>
      </c>
      <c r="V96" s="43" t="s">
        <v>35</v>
      </c>
      <c r="W96" s="43">
        <v>35</v>
      </c>
      <c r="X96" s="43">
        <v>56</v>
      </c>
      <c r="Y96" s="43">
        <v>35</v>
      </c>
      <c r="Z96" s="43">
        <v>28</v>
      </c>
      <c r="AA96" s="43">
        <v>29</v>
      </c>
      <c r="AB96" s="43">
        <v>18</v>
      </c>
      <c r="AC96" s="43">
        <v>24</v>
      </c>
      <c r="AD96" s="72">
        <v>19</v>
      </c>
      <c r="AE96" s="43">
        <v>24</v>
      </c>
      <c r="AF96" s="43">
        <v>26</v>
      </c>
      <c r="AG96" s="43" t="s">
        <v>35</v>
      </c>
      <c r="AH96" s="43" t="s">
        <v>35</v>
      </c>
      <c r="AI96" s="43" t="s">
        <v>35</v>
      </c>
      <c r="AJ96" s="43" t="s">
        <v>35</v>
      </c>
      <c r="AK96" s="43" t="s">
        <v>35</v>
      </c>
      <c r="AU96" s="49"/>
    </row>
    <row r="97" spans="1:47" ht="30">
      <c r="A97" s="43" t="s">
        <v>94</v>
      </c>
      <c r="B97" s="43">
        <v>212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77</v>
      </c>
      <c r="Q97" s="43">
        <v>69</v>
      </c>
      <c r="R97" s="43">
        <v>66</v>
      </c>
      <c r="T97" s="43" t="s">
        <v>93</v>
      </c>
      <c r="U97" s="43">
        <v>19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15</v>
      </c>
      <c r="AJ97" s="43">
        <v>3</v>
      </c>
      <c r="AK97" s="43">
        <v>1</v>
      </c>
      <c r="AU97" s="49"/>
    </row>
    <row r="98" spans="1:47" ht="15" customHeight="1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3" t="s">
        <v>94</v>
      </c>
      <c r="U98" s="43">
        <v>18</v>
      </c>
      <c r="V98" s="43" t="s">
        <v>35</v>
      </c>
      <c r="W98" s="43" t="s">
        <v>35</v>
      </c>
      <c r="X98" s="43" t="s">
        <v>35</v>
      </c>
      <c r="Y98" s="43" t="s">
        <v>35</v>
      </c>
      <c r="Z98" s="43" t="s">
        <v>35</v>
      </c>
      <c r="AA98" s="43" t="s">
        <v>35</v>
      </c>
      <c r="AB98" s="43" t="s">
        <v>35</v>
      </c>
      <c r="AC98" s="43" t="s">
        <v>35</v>
      </c>
      <c r="AD98" s="72" t="s">
        <v>35</v>
      </c>
      <c r="AE98" s="43" t="s">
        <v>35</v>
      </c>
      <c r="AF98" s="43" t="s">
        <v>35</v>
      </c>
      <c r="AG98" s="43" t="s">
        <v>35</v>
      </c>
      <c r="AH98" s="43" t="s">
        <v>35</v>
      </c>
      <c r="AI98" s="43">
        <v>11</v>
      </c>
      <c r="AJ98" s="43">
        <v>5</v>
      </c>
      <c r="AK98" s="43">
        <v>2</v>
      </c>
      <c r="AU98" s="49"/>
    </row>
    <row r="99" spans="1:47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 t="s">
        <v>50</v>
      </c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>
      <c r="A100" s="43" t="s">
        <v>40</v>
      </c>
      <c r="B100" s="43">
        <v>182081</v>
      </c>
      <c r="C100" s="43">
        <v>609</v>
      </c>
      <c r="D100" s="43">
        <v>15892</v>
      </c>
      <c r="E100" s="43">
        <v>16297</v>
      </c>
      <c r="F100" s="43">
        <v>15945</v>
      </c>
      <c r="G100" s="43">
        <v>15948</v>
      </c>
      <c r="H100" s="43">
        <v>16847</v>
      </c>
      <c r="I100" s="43">
        <v>16507</v>
      </c>
      <c r="J100" s="43">
        <v>17186</v>
      </c>
      <c r="K100" s="72">
        <v>17804</v>
      </c>
      <c r="L100" s="43">
        <v>17813</v>
      </c>
      <c r="M100" s="43">
        <v>16352</v>
      </c>
      <c r="N100" s="43">
        <v>400</v>
      </c>
      <c r="O100" s="43">
        <v>296</v>
      </c>
      <c r="P100" s="43">
        <v>7179</v>
      </c>
      <c r="Q100" s="43">
        <v>6575</v>
      </c>
      <c r="R100" s="43">
        <v>431</v>
      </c>
      <c r="T100" s="41"/>
      <c r="U100" s="51"/>
      <c r="V100" s="51"/>
      <c r="W100" s="51"/>
      <c r="X100" s="51"/>
      <c r="Y100" s="51"/>
      <c r="Z100" s="51"/>
      <c r="AA100" s="51"/>
      <c r="AB100" s="51"/>
      <c r="AC100" s="51"/>
      <c r="AD100" s="7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2"/>
    </row>
    <row r="101" spans="1:47" ht="30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3" t="s">
        <v>40</v>
      </c>
      <c r="U101" s="43">
        <v>13749</v>
      </c>
      <c r="V101" s="43">
        <v>143</v>
      </c>
      <c r="W101" s="43">
        <v>1602</v>
      </c>
      <c r="X101" s="43">
        <v>1657</v>
      </c>
      <c r="Y101" s="43">
        <v>1568</v>
      </c>
      <c r="Z101" s="43">
        <v>1552</v>
      </c>
      <c r="AA101" s="43">
        <v>1126</v>
      </c>
      <c r="AB101" s="43">
        <v>1177</v>
      </c>
      <c r="AC101" s="43">
        <v>1146</v>
      </c>
      <c r="AD101" s="72">
        <v>1188</v>
      </c>
      <c r="AE101" s="43">
        <v>1105</v>
      </c>
      <c r="AF101" s="43">
        <v>802</v>
      </c>
      <c r="AG101" s="43">
        <v>386</v>
      </c>
      <c r="AH101" s="43">
        <v>5</v>
      </c>
      <c r="AI101" s="43">
        <v>182</v>
      </c>
      <c r="AJ101" s="43">
        <v>105</v>
      </c>
      <c r="AK101" s="43">
        <v>5</v>
      </c>
      <c r="AU101" s="49"/>
    </row>
    <row r="102" spans="1:47" ht="45">
      <c r="A102" s="43" t="s">
        <v>75</v>
      </c>
      <c r="B102" s="43">
        <v>609</v>
      </c>
      <c r="C102" s="43">
        <v>609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1"/>
      <c r="U102" s="51"/>
      <c r="V102" s="51"/>
      <c r="W102" s="51"/>
      <c r="X102" s="51"/>
      <c r="Y102" s="51"/>
      <c r="Z102" s="51"/>
      <c r="AA102" s="51"/>
      <c r="AB102" s="51"/>
      <c r="AC102" s="51"/>
      <c r="AD102" s="7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2"/>
    </row>
    <row r="103" spans="1:47" ht="45">
      <c r="A103" s="43" t="s">
        <v>76</v>
      </c>
      <c r="B103" s="43">
        <v>61998</v>
      </c>
      <c r="C103" s="43" t="s">
        <v>35</v>
      </c>
      <c r="D103" s="43">
        <v>14981</v>
      </c>
      <c r="E103" s="43">
        <v>15816</v>
      </c>
      <c r="F103" s="43">
        <v>15568</v>
      </c>
      <c r="G103" s="43">
        <v>15552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81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75</v>
      </c>
      <c r="U103" s="43">
        <v>143</v>
      </c>
      <c r="V103" s="43">
        <v>143</v>
      </c>
      <c r="W103" s="43" t="s">
        <v>35</v>
      </c>
      <c r="X103" s="43" t="s">
        <v>35</v>
      </c>
      <c r="Y103" s="43" t="s">
        <v>35</v>
      </c>
      <c r="Z103" s="43" t="s">
        <v>35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 t="s">
        <v>35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76</v>
      </c>
      <c r="U104" s="43">
        <v>6373</v>
      </c>
      <c r="V104" s="43" t="s">
        <v>35</v>
      </c>
      <c r="W104" s="43">
        <v>1541</v>
      </c>
      <c r="X104" s="43">
        <v>1646</v>
      </c>
      <c r="Y104" s="43">
        <v>1554</v>
      </c>
      <c r="Z104" s="43">
        <v>1551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>
        <v>81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45">
      <c r="A105" s="43" t="s">
        <v>78</v>
      </c>
      <c r="B105" s="43">
        <v>3524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383</v>
      </c>
      <c r="I105" s="43">
        <v>517</v>
      </c>
      <c r="J105" s="43">
        <v>622</v>
      </c>
      <c r="K105" s="72">
        <v>707</v>
      </c>
      <c r="L105" s="43">
        <v>717</v>
      </c>
      <c r="M105" s="43">
        <v>534</v>
      </c>
      <c r="N105" s="43">
        <v>44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77</v>
      </c>
      <c r="U105" s="43" t="s">
        <v>35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 t="s">
        <v>35</v>
      </c>
      <c r="AB105" s="43" t="s">
        <v>35</v>
      </c>
      <c r="AC105" s="43" t="s">
        <v>35</v>
      </c>
      <c r="AD105" s="72" t="s">
        <v>35</v>
      </c>
      <c r="AE105" s="43" t="s">
        <v>35</v>
      </c>
      <c r="AF105" s="43" t="s">
        <v>35</v>
      </c>
      <c r="AG105" s="43" t="s">
        <v>35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78</v>
      </c>
      <c r="U106" s="43">
        <v>661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>
        <v>65</v>
      </c>
      <c r="AB106" s="43">
        <v>105</v>
      </c>
      <c r="AC106" s="43">
        <v>124</v>
      </c>
      <c r="AD106" s="72">
        <v>134</v>
      </c>
      <c r="AE106" s="43">
        <v>135</v>
      </c>
      <c r="AF106" s="43">
        <v>58</v>
      </c>
      <c r="AG106" s="43">
        <v>40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60">
      <c r="A107" s="43" t="s">
        <v>80</v>
      </c>
      <c r="B107" s="43">
        <v>8930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1211</v>
      </c>
      <c r="I107" s="43">
        <v>1412</v>
      </c>
      <c r="J107" s="43">
        <v>1500</v>
      </c>
      <c r="K107" s="72">
        <v>1536</v>
      </c>
      <c r="L107" s="43">
        <v>1561</v>
      </c>
      <c r="M107" s="43">
        <v>1710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79</v>
      </c>
      <c r="U107" s="43" t="s">
        <v>35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 t="s">
        <v>35</v>
      </c>
      <c r="AB107" s="43" t="s">
        <v>35</v>
      </c>
      <c r="AC107" s="43" t="s">
        <v>35</v>
      </c>
      <c r="AD107" s="72" t="s">
        <v>35</v>
      </c>
      <c r="AE107" s="43" t="s">
        <v>35</v>
      </c>
      <c r="AF107" s="43" t="s">
        <v>35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>
      <c r="A108" s="43" t="s">
        <v>81</v>
      </c>
      <c r="B108" s="43">
        <v>30039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4487</v>
      </c>
      <c r="I108" s="43">
        <v>4731</v>
      </c>
      <c r="J108" s="43">
        <v>5003</v>
      </c>
      <c r="K108" s="72">
        <v>5543</v>
      </c>
      <c r="L108" s="43">
        <v>5524</v>
      </c>
      <c r="M108" s="43">
        <v>4555</v>
      </c>
      <c r="N108" s="43">
        <v>196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80</v>
      </c>
      <c r="U108" s="43">
        <v>707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109</v>
      </c>
      <c r="AB108" s="43">
        <v>142</v>
      </c>
      <c r="AC108" s="43">
        <v>114</v>
      </c>
      <c r="AD108" s="72">
        <v>116</v>
      </c>
      <c r="AE108" s="43">
        <v>112</v>
      </c>
      <c r="AF108" s="43">
        <v>114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>
      <c r="A109" s="43" t="s">
        <v>82</v>
      </c>
      <c r="B109" s="43">
        <v>47275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6361</v>
      </c>
      <c r="I109" s="43">
        <v>6250</v>
      </c>
      <c r="J109" s="43">
        <v>6159</v>
      </c>
      <c r="K109" s="72">
        <v>6057</v>
      </c>
      <c r="L109" s="43">
        <v>5997</v>
      </c>
      <c r="M109" s="43">
        <v>5578</v>
      </c>
      <c r="N109" s="43">
        <v>37</v>
      </c>
      <c r="O109" s="43">
        <v>152</v>
      </c>
      <c r="P109" s="43">
        <v>5432</v>
      </c>
      <c r="Q109" s="43">
        <v>5252</v>
      </c>
      <c r="R109" s="43" t="s">
        <v>35</v>
      </c>
      <c r="T109" s="43" t="s">
        <v>81</v>
      </c>
      <c r="U109" s="43">
        <v>2912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433</v>
      </c>
      <c r="AB109" s="43">
        <v>476</v>
      </c>
      <c r="AC109" s="43">
        <v>488</v>
      </c>
      <c r="AD109" s="72">
        <v>546</v>
      </c>
      <c r="AE109" s="43">
        <v>503</v>
      </c>
      <c r="AF109" s="43">
        <v>276</v>
      </c>
      <c r="AG109" s="43">
        <v>190</v>
      </c>
      <c r="AH109" s="43" t="s">
        <v>35</v>
      </c>
      <c r="AI109" s="43" t="s">
        <v>35</v>
      </c>
      <c r="AJ109" s="43" t="s">
        <v>35</v>
      </c>
      <c r="AK109" s="43" t="s">
        <v>35</v>
      </c>
      <c r="AU109" s="49"/>
    </row>
    <row r="110" spans="1:47" ht="45">
      <c r="A110" s="43" t="s">
        <v>83</v>
      </c>
      <c r="B110" s="43">
        <v>14894</v>
      </c>
      <c r="C110" s="43" t="s">
        <v>35</v>
      </c>
      <c r="D110" s="43">
        <v>227</v>
      </c>
      <c r="E110" s="43">
        <v>235</v>
      </c>
      <c r="F110" s="43">
        <v>244</v>
      </c>
      <c r="G110" s="43">
        <v>256</v>
      </c>
      <c r="H110" s="43">
        <v>1991</v>
      </c>
      <c r="I110" s="43">
        <v>2017</v>
      </c>
      <c r="J110" s="43">
        <v>1996</v>
      </c>
      <c r="K110" s="72">
        <v>2015</v>
      </c>
      <c r="L110" s="43">
        <v>1944</v>
      </c>
      <c r="M110" s="43">
        <v>1635</v>
      </c>
      <c r="N110" s="43">
        <v>32</v>
      </c>
      <c r="O110" s="43" t="s">
        <v>35</v>
      </c>
      <c r="P110" s="43">
        <v>1044</v>
      </c>
      <c r="Q110" s="43">
        <v>827</v>
      </c>
      <c r="R110" s="43">
        <v>431</v>
      </c>
      <c r="T110" s="43" t="s">
        <v>82</v>
      </c>
      <c r="U110" s="43">
        <v>1444</v>
      </c>
      <c r="V110" s="43" t="s">
        <v>35</v>
      </c>
      <c r="W110" s="43" t="s">
        <v>35</v>
      </c>
      <c r="X110" s="43" t="s">
        <v>35</v>
      </c>
      <c r="Y110" s="43" t="s">
        <v>35</v>
      </c>
      <c r="Z110" s="43" t="s">
        <v>35</v>
      </c>
      <c r="AA110" s="43">
        <v>257</v>
      </c>
      <c r="AB110" s="43">
        <v>224</v>
      </c>
      <c r="AC110" s="43">
        <v>186</v>
      </c>
      <c r="AD110" s="72">
        <v>166</v>
      </c>
      <c r="AE110" s="43">
        <v>163</v>
      </c>
      <c r="AF110" s="43">
        <v>184</v>
      </c>
      <c r="AG110" s="43">
        <v>37</v>
      </c>
      <c r="AH110" s="43">
        <v>2</v>
      </c>
      <c r="AI110" s="43">
        <v>138</v>
      </c>
      <c r="AJ110" s="43">
        <v>87</v>
      </c>
      <c r="AK110" s="43" t="s">
        <v>35</v>
      </c>
      <c r="AU110" s="49"/>
    </row>
    <row r="111" spans="1:47" ht="4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83</v>
      </c>
      <c r="U111" s="43">
        <v>790</v>
      </c>
      <c r="V111" s="43" t="s">
        <v>35</v>
      </c>
      <c r="W111" s="43">
        <v>2</v>
      </c>
      <c r="X111" s="43" t="s">
        <v>35</v>
      </c>
      <c r="Y111" s="43">
        <v>3</v>
      </c>
      <c r="Z111" s="43" t="s">
        <v>35</v>
      </c>
      <c r="AA111" s="43">
        <v>132</v>
      </c>
      <c r="AB111" s="43">
        <v>149</v>
      </c>
      <c r="AC111" s="43">
        <v>129</v>
      </c>
      <c r="AD111" s="72">
        <v>123</v>
      </c>
      <c r="AE111" s="43">
        <v>107</v>
      </c>
      <c r="AF111" s="43">
        <v>77</v>
      </c>
      <c r="AG111" s="43">
        <v>28</v>
      </c>
      <c r="AH111" s="43" t="s">
        <v>35</v>
      </c>
      <c r="AI111" s="43">
        <v>26</v>
      </c>
      <c r="AJ111" s="43">
        <v>9</v>
      </c>
      <c r="AK111" s="43">
        <v>5</v>
      </c>
      <c r="AU111" s="49"/>
    </row>
    <row r="112" spans="1:47" ht="45">
      <c r="A112" s="43" t="s">
        <v>85</v>
      </c>
      <c r="B112" s="43">
        <v>1542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177</v>
      </c>
      <c r="I112" s="43">
        <v>247</v>
      </c>
      <c r="J112" s="43">
        <v>252</v>
      </c>
      <c r="K112" s="72">
        <v>296</v>
      </c>
      <c r="L112" s="43">
        <v>316</v>
      </c>
      <c r="M112" s="43">
        <v>244</v>
      </c>
      <c r="N112" s="43">
        <v>10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84</v>
      </c>
      <c r="U112" s="43" t="s">
        <v>35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 t="s">
        <v>35</v>
      </c>
      <c r="AB112" s="43" t="s">
        <v>35</v>
      </c>
      <c r="AC112" s="43" t="s">
        <v>35</v>
      </c>
      <c r="AD112" s="72" t="s">
        <v>35</v>
      </c>
      <c r="AE112" s="43" t="s">
        <v>35</v>
      </c>
      <c r="AF112" s="43" t="s">
        <v>35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>
      <c r="A113" s="43" t="s">
        <v>86</v>
      </c>
      <c r="B113" s="43">
        <v>4373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687</v>
      </c>
      <c r="I113" s="43">
        <v>615</v>
      </c>
      <c r="J113" s="43">
        <v>695</v>
      </c>
      <c r="K113" s="72">
        <v>717</v>
      </c>
      <c r="L113" s="43">
        <v>792</v>
      </c>
      <c r="M113" s="43">
        <v>867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85</v>
      </c>
      <c r="U113" s="43">
        <v>168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15</v>
      </c>
      <c r="AB113" s="43">
        <v>32</v>
      </c>
      <c r="AC113" s="43">
        <v>33</v>
      </c>
      <c r="AD113" s="72">
        <v>31</v>
      </c>
      <c r="AE113" s="43">
        <v>28</v>
      </c>
      <c r="AF113" s="43">
        <v>19</v>
      </c>
      <c r="AG113" s="43">
        <v>10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>
      <c r="A114" s="43" t="s">
        <v>87</v>
      </c>
      <c r="B114" s="43">
        <v>4604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521</v>
      </c>
      <c r="I114" s="43">
        <v>541</v>
      </c>
      <c r="J114" s="43">
        <v>580</v>
      </c>
      <c r="K114" s="72">
        <v>572</v>
      </c>
      <c r="L114" s="43">
        <v>569</v>
      </c>
      <c r="M114" s="43">
        <v>478</v>
      </c>
      <c r="N114" s="43" t="s">
        <v>35</v>
      </c>
      <c r="O114" s="43">
        <v>144</v>
      </c>
      <c r="P114" s="43">
        <v>703</v>
      </c>
      <c r="Q114" s="43">
        <v>496</v>
      </c>
      <c r="R114" s="43" t="s">
        <v>35</v>
      </c>
      <c r="T114" s="43" t="s">
        <v>86</v>
      </c>
      <c r="U114" s="43">
        <v>201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49</v>
      </c>
      <c r="AB114" s="43">
        <v>29</v>
      </c>
      <c r="AC114" s="43">
        <v>33</v>
      </c>
      <c r="AD114" s="72">
        <v>30</v>
      </c>
      <c r="AE114" s="43">
        <v>31</v>
      </c>
      <c r="AF114" s="43">
        <v>29</v>
      </c>
      <c r="AG114" s="43" t="s">
        <v>35</v>
      </c>
      <c r="AH114" s="43" t="s">
        <v>35</v>
      </c>
      <c r="AI114" s="43" t="s">
        <v>35</v>
      </c>
      <c r="AJ114" s="43" t="s">
        <v>35</v>
      </c>
      <c r="AK114" s="43" t="s">
        <v>35</v>
      </c>
      <c r="AU114" s="49"/>
    </row>
    <row r="115" spans="1:47" ht="75">
      <c r="A115" s="43" t="s">
        <v>88</v>
      </c>
      <c r="B115" s="43">
        <v>273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21</v>
      </c>
      <c r="I115" s="43">
        <v>45</v>
      </c>
      <c r="J115" s="43">
        <v>59</v>
      </c>
      <c r="K115" s="72">
        <v>40</v>
      </c>
      <c r="L115" s="43">
        <v>55</v>
      </c>
      <c r="M115" s="43">
        <v>53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87</v>
      </c>
      <c r="U115" s="43">
        <v>123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23</v>
      </c>
      <c r="AB115" s="43">
        <v>15</v>
      </c>
      <c r="AC115" s="43">
        <v>18</v>
      </c>
      <c r="AD115" s="72">
        <v>13</v>
      </c>
      <c r="AE115" s="43">
        <v>10</v>
      </c>
      <c r="AF115" s="43">
        <v>14</v>
      </c>
      <c r="AG115" s="43" t="s">
        <v>35</v>
      </c>
      <c r="AH115" s="43">
        <v>3</v>
      </c>
      <c r="AI115" s="43">
        <v>18</v>
      </c>
      <c r="AJ115" s="43">
        <v>9</v>
      </c>
      <c r="AK115" s="43" t="s">
        <v>35</v>
      </c>
      <c r="AU115" s="49"/>
    </row>
    <row r="116" spans="1:47" ht="7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88</v>
      </c>
      <c r="U116" s="43">
        <v>4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>
        <v>1</v>
      </c>
      <c r="AB116" s="43">
        <v>2</v>
      </c>
      <c r="AC116" s="43" t="s">
        <v>35</v>
      </c>
      <c r="AD116" s="72" t="s">
        <v>35</v>
      </c>
      <c r="AE116" s="43" t="s">
        <v>35</v>
      </c>
      <c r="AF116" s="43">
        <v>1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>
      <c r="A117" s="43" t="s">
        <v>90</v>
      </c>
      <c r="B117" s="43">
        <v>878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116</v>
      </c>
      <c r="I117" s="43">
        <v>8</v>
      </c>
      <c r="J117" s="43">
        <v>206</v>
      </c>
      <c r="K117" s="72">
        <v>206</v>
      </c>
      <c r="L117" s="43">
        <v>204</v>
      </c>
      <c r="M117" s="43">
        <v>138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89</v>
      </c>
      <c r="U117" s="43" t="s">
        <v>35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 t="s">
        <v>35</v>
      </c>
      <c r="AC117" s="43" t="s">
        <v>35</v>
      </c>
      <c r="AD117" s="72" t="s">
        <v>35</v>
      </c>
      <c r="AE117" s="43" t="s">
        <v>35</v>
      </c>
      <c r="AF117" s="43" t="s">
        <v>35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>
      <c r="A118" s="43" t="s">
        <v>91</v>
      </c>
      <c r="B118" s="43">
        <v>1762</v>
      </c>
      <c r="C118" s="43" t="s">
        <v>35</v>
      </c>
      <c r="D118" s="43">
        <v>474</v>
      </c>
      <c r="E118" s="43" t="s">
        <v>35</v>
      </c>
      <c r="F118" s="43" t="s">
        <v>35</v>
      </c>
      <c r="G118" s="43" t="s">
        <v>35</v>
      </c>
      <c r="H118" s="43">
        <v>782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506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90</v>
      </c>
      <c r="U118" s="43">
        <v>69</v>
      </c>
      <c r="V118" s="43" t="s">
        <v>35</v>
      </c>
      <c r="W118" s="43" t="s">
        <v>35</v>
      </c>
      <c r="X118" s="43" t="s">
        <v>35</v>
      </c>
      <c r="Y118" s="43" t="s">
        <v>35</v>
      </c>
      <c r="Z118" s="43" t="s">
        <v>35</v>
      </c>
      <c r="AA118" s="43">
        <v>9</v>
      </c>
      <c r="AB118" s="43">
        <v>1</v>
      </c>
      <c r="AC118" s="43">
        <v>17</v>
      </c>
      <c r="AD118" s="72">
        <v>23</v>
      </c>
      <c r="AE118" s="43">
        <v>10</v>
      </c>
      <c r="AF118" s="43">
        <v>9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>
      <c r="A119" s="43" t="s">
        <v>92</v>
      </c>
      <c r="B119" s="43">
        <v>1380</v>
      </c>
      <c r="C119" s="43" t="s">
        <v>35</v>
      </c>
      <c r="D119" s="43">
        <v>210</v>
      </c>
      <c r="E119" s="43">
        <v>246</v>
      </c>
      <c r="F119" s="43">
        <v>133</v>
      </c>
      <c r="G119" s="43">
        <v>140</v>
      </c>
      <c r="H119" s="43">
        <v>110</v>
      </c>
      <c r="I119" s="43">
        <v>124</v>
      </c>
      <c r="J119" s="43">
        <v>114</v>
      </c>
      <c r="K119" s="72">
        <v>115</v>
      </c>
      <c r="L119" s="43">
        <v>134</v>
      </c>
      <c r="M119" s="43">
        <v>54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91</v>
      </c>
      <c r="U119" s="43">
        <v>84</v>
      </c>
      <c r="V119" s="43" t="s">
        <v>35</v>
      </c>
      <c r="W119" s="43">
        <v>36</v>
      </c>
      <c r="X119" s="43" t="s">
        <v>35</v>
      </c>
      <c r="Y119" s="43" t="s">
        <v>35</v>
      </c>
      <c r="Z119" s="43" t="s">
        <v>35</v>
      </c>
      <c r="AA119" s="43">
        <v>33</v>
      </c>
      <c r="AB119" s="43" t="s">
        <v>35</v>
      </c>
      <c r="AC119" s="43" t="s">
        <v>35</v>
      </c>
      <c r="AD119" s="72" t="s">
        <v>35</v>
      </c>
      <c r="AE119" s="43" t="s">
        <v>35</v>
      </c>
      <c r="AF119" s="43">
        <v>15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60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92</v>
      </c>
      <c r="U120" s="43">
        <v>70</v>
      </c>
      <c r="V120" s="43" t="s">
        <v>35</v>
      </c>
      <c r="W120" s="43">
        <v>23</v>
      </c>
      <c r="X120" s="43">
        <v>11</v>
      </c>
      <c r="Y120" s="43">
        <v>11</v>
      </c>
      <c r="Z120" s="43">
        <v>1</v>
      </c>
      <c r="AA120" s="43" t="s">
        <v>35</v>
      </c>
      <c r="AB120" s="43">
        <v>2</v>
      </c>
      <c r="AC120" s="43">
        <v>4</v>
      </c>
      <c r="AD120" s="72">
        <v>6</v>
      </c>
      <c r="AE120" s="43">
        <v>6</v>
      </c>
      <c r="AF120" s="43">
        <v>6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 ht="30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93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3" t="s">
        <v>94</v>
      </c>
      <c r="U122" s="43" t="s">
        <v>35</v>
      </c>
      <c r="V122" s="43" t="s">
        <v>35</v>
      </c>
      <c r="W122" s="43" t="s">
        <v>35</v>
      </c>
      <c r="X122" s="43" t="s">
        <v>35</v>
      </c>
      <c r="Y122" s="43" t="s">
        <v>35</v>
      </c>
      <c r="Z122" s="43" t="s">
        <v>35</v>
      </c>
      <c r="AA122" s="43" t="s">
        <v>35</v>
      </c>
      <c r="AB122" s="43" t="s">
        <v>35</v>
      </c>
      <c r="AC122" s="43" t="s">
        <v>35</v>
      </c>
      <c r="AD122" s="72" t="s">
        <v>35</v>
      </c>
      <c r="AE122" s="43" t="s">
        <v>35</v>
      </c>
      <c r="AF122" s="43" t="s">
        <v>35</v>
      </c>
      <c r="AG122" s="43" t="s">
        <v>35</v>
      </c>
      <c r="AH122" s="43" t="s">
        <v>35</v>
      </c>
      <c r="AI122" s="43" t="s">
        <v>35</v>
      </c>
      <c r="AJ122" s="43" t="s">
        <v>35</v>
      </c>
      <c r="AK122" s="43" t="s">
        <v>35</v>
      </c>
      <c r="AU122" s="49"/>
    </row>
    <row r="123" spans="1:47" ht="15" customHeight="1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 t="s">
        <v>51</v>
      </c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>
      <c r="A124" s="43" t="s">
        <v>40</v>
      </c>
      <c r="B124" s="43">
        <v>269948</v>
      </c>
      <c r="C124" s="43">
        <v>1000</v>
      </c>
      <c r="D124" s="43">
        <v>23508</v>
      </c>
      <c r="E124" s="43">
        <v>24269</v>
      </c>
      <c r="F124" s="43">
        <v>23658</v>
      </c>
      <c r="G124" s="43">
        <v>23454</v>
      </c>
      <c r="H124" s="43">
        <v>25200</v>
      </c>
      <c r="I124" s="43">
        <v>24297</v>
      </c>
      <c r="J124" s="43">
        <v>25736</v>
      </c>
      <c r="K124" s="72">
        <v>26542</v>
      </c>
      <c r="L124" s="43">
        <v>26722</v>
      </c>
      <c r="M124" s="43">
        <v>24262</v>
      </c>
      <c r="N124" s="43">
        <v>657</v>
      </c>
      <c r="O124" s="43">
        <v>324</v>
      </c>
      <c r="P124" s="43">
        <v>9717</v>
      </c>
      <c r="Q124" s="43">
        <v>9369</v>
      </c>
      <c r="R124" s="43">
        <v>1233</v>
      </c>
      <c r="T124" s="41"/>
      <c r="U124" s="51"/>
      <c r="V124" s="51"/>
      <c r="W124" s="51"/>
      <c r="X124" s="51"/>
      <c r="Y124" s="51"/>
      <c r="Z124" s="51"/>
      <c r="AA124" s="51"/>
      <c r="AB124" s="51"/>
      <c r="AC124" s="51"/>
      <c r="AD124" s="7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2"/>
    </row>
    <row r="125" spans="1:47" ht="30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3" t="s">
        <v>40</v>
      </c>
      <c r="U125" s="43">
        <v>26571</v>
      </c>
      <c r="V125" s="43">
        <v>309</v>
      </c>
      <c r="W125" s="43">
        <v>3108</v>
      </c>
      <c r="X125" s="43">
        <v>3185</v>
      </c>
      <c r="Y125" s="43">
        <v>3165</v>
      </c>
      <c r="Z125" s="43">
        <v>2839</v>
      </c>
      <c r="AA125" s="43">
        <v>2368</v>
      </c>
      <c r="AB125" s="43">
        <v>2273</v>
      </c>
      <c r="AC125" s="43">
        <v>2263</v>
      </c>
      <c r="AD125" s="72">
        <v>2183</v>
      </c>
      <c r="AE125" s="43">
        <v>2170</v>
      </c>
      <c r="AF125" s="43">
        <v>1597</v>
      </c>
      <c r="AG125" s="43">
        <v>617</v>
      </c>
      <c r="AH125" s="43">
        <v>11</v>
      </c>
      <c r="AI125" s="43">
        <v>267</v>
      </c>
      <c r="AJ125" s="43">
        <v>193</v>
      </c>
      <c r="AK125" s="43">
        <v>23</v>
      </c>
      <c r="AU125" s="49"/>
    </row>
    <row r="126" spans="1:47" ht="45">
      <c r="A126" s="43" t="s">
        <v>75</v>
      </c>
      <c r="B126" s="43">
        <v>1000</v>
      </c>
      <c r="C126" s="43">
        <v>1000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1"/>
      <c r="U126" s="51"/>
      <c r="V126" s="51"/>
      <c r="W126" s="51"/>
      <c r="X126" s="51"/>
      <c r="Y126" s="51"/>
      <c r="Z126" s="51"/>
      <c r="AA126" s="51"/>
      <c r="AB126" s="51"/>
      <c r="AC126" s="51"/>
      <c r="AD126" s="7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2"/>
    </row>
    <row r="127" spans="1:47" ht="45">
      <c r="A127" s="43" t="s">
        <v>76</v>
      </c>
      <c r="B127" s="43">
        <v>91269</v>
      </c>
      <c r="C127" s="43" t="s">
        <v>35</v>
      </c>
      <c r="D127" s="43">
        <v>21929</v>
      </c>
      <c r="E127" s="43">
        <v>23470</v>
      </c>
      <c r="F127" s="43">
        <v>22950</v>
      </c>
      <c r="G127" s="43">
        <v>22818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102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75</v>
      </c>
      <c r="U127" s="43">
        <v>309</v>
      </c>
      <c r="V127" s="43">
        <v>309</v>
      </c>
      <c r="W127" s="43" t="s">
        <v>35</v>
      </c>
      <c r="X127" s="43" t="s">
        <v>35</v>
      </c>
      <c r="Y127" s="43" t="s">
        <v>35</v>
      </c>
      <c r="Z127" s="43" t="s">
        <v>35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 t="s">
        <v>35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76</v>
      </c>
      <c r="U128" s="43">
        <v>12018</v>
      </c>
      <c r="V128" s="43" t="s">
        <v>35</v>
      </c>
      <c r="W128" s="43">
        <v>2894</v>
      </c>
      <c r="X128" s="43">
        <v>3102</v>
      </c>
      <c r="Y128" s="43">
        <v>3118</v>
      </c>
      <c r="Z128" s="43">
        <v>2808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>
        <v>96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45">
      <c r="A129" s="43" t="s">
        <v>78</v>
      </c>
      <c r="B129" s="43">
        <v>6897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708</v>
      </c>
      <c r="I129" s="43">
        <v>877</v>
      </c>
      <c r="J129" s="43">
        <v>1085</v>
      </c>
      <c r="K129" s="72">
        <v>1293</v>
      </c>
      <c r="L129" s="43">
        <v>1614</v>
      </c>
      <c r="M129" s="43">
        <v>1256</v>
      </c>
      <c r="N129" s="43">
        <v>64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77</v>
      </c>
      <c r="U129" s="43" t="s">
        <v>35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 t="s">
        <v>35</v>
      </c>
      <c r="AB129" s="43" t="s">
        <v>35</v>
      </c>
      <c r="AC129" s="43" t="s">
        <v>35</v>
      </c>
      <c r="AD129" s="72" t="s">
        <v>35</v>
      </c>
      <c r="AE129" s="43" t="s">
        <v>35</v>
      </c>
      <c r="AF129" s="43" t="s">
        <v>35</v>
      </c>
      <c r="AG129" s="43" t="s">
        <v>35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78</v>
      </c>
      <c r="U130" s="43">
        <v>1491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>
        <v>162</v>
      </c>
      <c r="AB130" s="43">
        <v>205</v>
      </c>
      <c r="AC130" s="43">
        <v>257</v>
      </c>
      <c r="AD130" s="72">
        <v>290</v>
      </c>
      <c r="AE130" s="43">
        <v>330</v>
      </c>
      <c r="AF130" s="43">
        <v>186</v>
      </c>
      <c r="AG130" s="43">
        <v>61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60">
      <c r="A131" s="43" t="s">
        <v>80</v>
      </c>
      <c r="B131" s="43">
        <v>17364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2488</v>
      </c>
      <c r="I131" s="43">
        <v>2332</v>
      </c>
      <c r="J131" s="43">
        <v>2575</v>
      </c>
      <c r="K131" s="72">
        <v>2711</v>
      </c>
      <c r="L131" s="43">
        <v>3307</v>
      </c>
      <c r="M131" s="43">
        <v>3847</v>
      </c>
      <c r="N131" s="43">
        <v>104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79</v>
      </c>
      <c r="U131" s="43" t="s">
        <v>35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 t="s">
        <v>35</v>
      </c>
      <c r="AB131" s="43" t="s">
        <v>35</v>
      </c>
      <c r="AC131" s="43" t="s">
        <v>35</v>
      </c>
      <c r="AD131" s="72" t="s">
        <v>35</v>
      </c>
      <c r="AE131" s="43" t="s">
        <v>35</v>
      </c>
      <c r="AF131" s="43" t="s">
        <v>35</v>
      </c>
      <c r="AG131" s="43" t="s">
        <v>35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>
      <c r="A132" s="43" t="s">
        <v>81</v>
      </c>
      <c r="B132" s="43">
        <v>47476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7279</v>
      </c>
      <c r="I132" s="43">
        <v>7845</v>
      </c>
      <c r="J132" s="43">
        <v>8402</v>
      </c>
      <c r="K132" s="72">
        <v>8737</v>
      </c>
      <c r="L132" s="43">
        <v>8498</v>
      </c>
      <c r="M132" s="43">
        <v>6423</v>
      </c>
      <c r="N132" s="43">
        <v>292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80</v>
      </c>
      <c r="U132" s="43">
        <v>1609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247</v>
      </c>
      <c r="AB132" s="43">
        <v>224</v>
      </c>
      <c r="AC132" s="43">
        <v>233</v>
      </c>
      <c r="AD132" s="72">
        <v>240</v>
      </c>
      <c r="AE132" s="43">
        <v>267</v>
      </c>
      <c r="AF132" s="43">
        <v>296</v>
      </c>
      <c r="AG132" s="43">
        <v>102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>
      <c r="A133" s="43" t="s">
        <v>82</v>
      </c>
      <c r="B133" s="43">
        <v>65774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8694</v>
      </c>
      <c r="I133" s="43">
        <v>8607</v>
      </c>
      <c r="J133" s="43">
        <v>8521</v>
      </c>
      <c r="K133" s="72">
        <v>8640</v>
      </c>
      <c r="L133" s="43">
        <v>8243</v>
      </c>
      <c r="M133" s="43">
        <v>7844</v>
      </c>
      <c r="N133" s="43">
        <v>43</v>
      </c>
      <c r="O133" s="43">
        <v>291</v>
      </c>
      <c r="P133" s="43">
        <v>7525</v>
      </c>
      <c r="Q133" s="43">
        <v>7366</v>
      </c>
      <c r="R133" s="43" t="s">
        <v>35</v>
      </c>
      <c r="T133" s="43" t="s">
        <v>81</v>
      </c>
      <c r="U133" s="43">
        <v>6246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1027</v>
      </c>
      <c r="AB133" s="43">
        <v>1154</v>
      </c>
      <c r="AC133" s="43">
        <v>1150</v>
      </c>
      <c r="AD133" s="72">
        <v>1064</v>
      </c>
      <c r="AE133" s="43">
        <v>1024</v>
      </c>
      <c r="AF133" s="43">
        <v>562</v>
      </c>
      <c r="AG133" s="43">
        <v>265</v>
      </c>
      <c r="AH133" s="43" t="s">
        <v>35</v>
      </c>
      <c r="AI133" s="43" t="s">
        <v>35</v>
      </c>
      <c r="AJ133" s="43" t="s">
        <v>35</v>
      </c>
      <c r="AK133" s="43" t="s">
        <v>35</v>
      </c>
      <c r="AU133" s="49"/>
    </row>
    <row r="134" spans="1:47" ht="45">
      <c r="A134" s="43" t="s">
        <v>83</v>
      </c>
      <c r="B134" s="43">
        <v>21810</v>
      </c>
      <c r="C134" s="43" t="s">
        <v>35</v>
      </c>
      <c r="D134" s="43">
        <v>174</v>
      </c>
      <c r="E134" s="43">
        <v>170</v>
      </c>
      <c r="F134" s="43">
        <v>167</v>
      </c>
      <c r="G134" s="43">
        <v>177</v>
      </c>
      <c r="H134" s="43">
        <v>2862</v>
      </c>
      <c r="I134" s="43">
        <v>3000</v>
      </c>
      <c r="J134" s="43">
        <v>2981</v>
      </c>
      <c r="K134" s="72">
        <v>3007</v>
      </c>
      <c r="L134" s="43">
        <v>2868</v>
      </c>
      <c r="M134" s="43">
        <v>2538</v>
      </c>
      <c r="N134" s="43">
        <v>44</v>
      </c>
      <c r="O134" s="43" t="s">
        <v>35</v>
      </c>
      <c r="P134" s="43">
        <v>1421</v>
      </c>
      <c r="Q134" s="43">
        <v>1396</v>
      </c>
      <c r="R134" s="43">
        <v>1005</v>
      </c>
      <c r="T134" s="43" t="s">
        <v>82</v>
      </c>
      <c r="U134" s="43">
        <v>2306</v>
      </c>
      <c r="V134" s="43" t="s">
        <v>35</v>
      </c>
      <c r="W134" s="43" t="s">
        <v>35</v>
      </c>
      <c r="X134" s="43" t="s">
        <v>35</v>
      </c>
      <c r="Y134" s="43" t="s">
        <v>35</v>
      </c>
      <c r="Z134" s="43" t="s">
        <v>35</v>
      </c>
      <c r="AA134" s="43">
        <v>419</v>
      </c>
      <c r="AB134" s="43">
        <v>401</v>
      </c>
      <c r="AC134" s="43">
        <v>292</v>
      </c>
      <c r="AD134" s="72">
        <v>270</v>
      </c>
      <c r="AE134" s="43">
        <v>257</v>
      </c>
      <c r="AF134" s="43">
        <v>276</v>
      </c>
      <c r="AG134" s="43">
        <v>43</v>
      </c>
      <c r="AH134" s="43">
        <v>10</v>
      </c>
      <c r="AI134" s="43">
        <v>200</v>
      </c>
      <c r="AJ134" s="43">
        <v>138</v>
      </c>
      <c r="AK134" s="43" t="s">
        <v>35</v>
      </c>
      <c r="AU134" s="49"/>
    </row>
    <row r="135" spans="1:47" ht="4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83</v>
      </c>
      <c r="U135" s="43">
        <v>1187</v>
      </c>
      <c r="V135" s="43" t="s">
        <v>35</v>
      </c>
      <c r="W135" s="43">
        <v>2</v>
      </c>
      <c r="X135" s="43">
        <v>6</v>
      </c>
      <c r="Y135" s="43">
        <v>1</v>
      </c>
      <c r="Z135" s="43">
        <v>2</v>
      </c>
      <c r="AA135" s="43">
        <v>232</v>
      </c>
      <c r="AB135" s="43">
        <v>191</v>
      </c>
      <c r="AC135" s="43">
        <v>181</v>
      </c>
      <c r="AD135" s="72">
        <v>167</v>
      </c>
      <c r="AE135" s="43">
        <v>147</v>
      </c>
      <c r="AF135" s="43">
        <v>137</v>
      </c>
      <c r="AG135" s="43">
        <v>42</v>
      </c>
      <c r="AH135" s="43" t="s">
        <v>35</v>
      </c>
      <c r="AI135" s="43">
        <v>37</v>
      </c>
      <c r="AJ135" s="43">
        <v>26</v>
      </c>
      <c r="AK135" s="43">
        <v>16</v>
      </c>
      <c r="AU135" s="49"/>
    </row>
    <row r="136" spans="1:47" ht="45">
      <c r="A136" s="43" t="s">
        <v>85</v>
      </c>
      <c r="B136" s="43">
        <v>1260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159</v>
      </c>
      <c r="I136" s="43">
        <v>198</v>
      </c>
      <c r="J136" s="43">
        <v>192</v>
      </c>
      <c r="K136" s="72">
        <v>262</v>
      </c>
      <c r="L136" s="43">
        <v>259</v>
      </c>
      <c r="M136" s="43">
        <v>182</v>
      </c>
      <c r="N136" s="43">
        <v>8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84</v>
      </c>
      <c r="U136" s="43" t="s">
        <v>35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 t="s">
        <v>35</v>
      </c>
      <c r="AB136" s="43" t="s">
        <v>35</v>
      </c>
      <c r="AC136" s="43" t="s">
        <v>35</v>
      </c>
      <c r="AD136" s="72" t="s">
        <v>35</v>
      </c>
      <c r="AE136" s="43" t="s">
        <v>35</v>
      </c>
      <c r="AF136" s="43" t="s">
        <v>35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>
      <c r="A137" s="43" t="s">
        <v>86</v>
      </c>
      <c r="B137" s="43">
        <v>2938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483</v>
      </c>
      <c r="I137" s="43">
        <v>456</v>
      </c>
      <c r="J137" s="43">
        <v>473</v>
      </c>
      <c r="K137" s="72">
        <v>481</v>
      </c>
      <c r="L137" s="43">
        <v>536</v>
      </c>
      <c r="M137" s="43">
        <v>509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85</v>
      </c>
      <c r="U137" s="43">
        <v>162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20</v>
      </c>
      <c r="AB137" s="43">
        <v>20</v>
      </c>
      <c r="AC137" s="43">
        <v>24</v>
      </c>
      <c r="AD137" s="72">
        <v>35</v>
      </c>
      <c r="AE137" s="43">
        <v>37</v>
      </c>
      <c r="AF137" s="43">
        <v>18</v>
      </c>
      <c r="AG137" s="43">
        <v>8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>
      <c r="A138" s="43" t="s">
        <v>87</v>
      </c>
      <c r="B138" s="43">
        <v>2847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364</v>
      </c>
      <c r="I138" s="43">
        <v>341</v>
      </c>
      <c r="J138" s="43">
        <v>321</v>
      </c>
      <c r="K138" s="72">
        <v>403</v>
      </c>
      <c r="L138" s="43">
        <v>358</v>
      </c>
      <c r="M138" s="43">
        <v>356</v>
      </c>
      <c r="N138" s="43" t="s">
        <v>35</v>
      </c>
      <c r="O138" s="43">
        <v>33</v>
      </c>
      <c r="P138" s="43">
        <v>366</v>
      </c>
      <c r="Q138" s="43">
        <v>305</v>
      </c>
      <c r="R138" s="43" t="s">
        <v>35</v>
      </c>
      <c r="T138" s="43" t="s">
        <v>86</v>
      </c>
      <c r="U138" s="43">
        <v>147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26</v>
      </c>
      <c r="AB138" s="43">
        <v>27</v>
      </c>
      <c r="AC138" s="43">
        <v>24</v>
      </c>
      <c r="AD138" s="72">
        <v>20</v>
      </c>
      <c r="AE138" s="43">
        <v>28</v>
      </c>
      <c r="AF138" s="43">
        <v>22</v>
      </c>
      <c r="AG138" s="43" t="s">
        <v>35</v>
      </c>
      <c r="AH138" s="43" t="s">
        <v>35</v>
      </c>
      <c r="AI138" s="43" t="s">
        <v>35</v>
      </c>
      <c r="AJ138" s="43" t="s">
        <v>35</v>
      </c>
      <c r="AK138" s="43" t="s">
        <v>35</v>
      </c>
      <c r="AU138" s="49"/>
    </row>
    <row r="139" spans="1:47" ht="75">
      <c r="A139" s="43" t="s">
        <v>88</v>
      </c>
      <c r="B139" s="43">
        <v>1357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143</v>
      </c>
      <c r="I139" s="43">
        <v>153</v>
      </c>
      <c r="J139" s="43">
        <v>150</v>
      </c>
      <c r="K139" s="72">
        <v>180</v>
      </c>
      <c r="L139" s="43">
        <v>162</v>
      </c>
      <c r="M139" s="43">
        <v>182</v>
      </c>
      <c r="N139" s="43" t="s">
        <v>35</v>
      </c>
      <c r="O139" s="43" t="s">
        <v>35</v>
      </c>
      <c r="P139" s="43">
        <v>142</v>
      </c>
      <c r="Q139" s="43">
        <v>130</v>
      </c>
      <c r="R139" s="43">
        <v>115</v>
      </c>
      <c r="T139" s="43" t="s">
        <v>87</v>
      </c>
      <c r="U139" s="43">
        <v>72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12</v>
      </c>
      <c r="AB139" s="43">
        <v>6</v>
      </c>
      <c r="AC139" s="43">
        <v>10</v>
      </c>
      <c r="AD139" s="72">
        <v>15</v>
      </c>
      <c r="AE139" s="43">
        <v>7</v>
      </c>
      <c r="AF139" s="43">
        <v>10</v>
      </c>
      <c r="AG139" s="43" t="s">
        <v>35</v>
      </c>
      <c r="AH139" s="43">
        <v>1</v>
      </c>
      <c r="AI139" s="43">
        <v>7</v>
      </c>
      <c r="AJ139" s="43">
        <v>4</v>
      </c>
      <c r="AK139" s="43" t="s">
        <v>35</v>
      </c>
      <c r="AU139" s="49"/>
    </row>
    <row r="140" spans="1:47" ht="7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88</v>
      </c>
      <c r="U140" s="43">
        <v>65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>
        <v>12</v>
      </c>
      <c r="AB140" s="43">
        <v>8</v>
      </c>
      <c r="AC140" s="43">
        <v>10</v>
      </c>
      <c r="AD140" s="72">
        <v>8</v>
      </c>
      <c r="AE140" s="43">
        <v>5</v>
      </c>
      <c r="AF140" s="43">
        <v>5</v>
      </c>
      <c r="AG140" s="43" t="s">
        <v>35</v>
      </c>
      <c r="AH140" s="43" t="s">
        <v>35</v>
      </c>
      <c r="AI140" s="43">
        <v>2</v>
      </c>
      <c r="AJ140" s="43">
        <v>12</v>
      </c>
      <c r="AK140" s="43">
        <v>3</v>
      </c>
      <c r="AU140" s="49"/>
    </row>
    <row r="141" spans="1:47" ht="45">
      <c r="A141" s="43" t="s">
        <v>90</v>
      </c>
      <c r="B141" s="43">
        <v>2320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310</v>
      </c>
      <c r="I141" s="43">
        <v>69</v>
      </c>
      <c r="J141" s="43">
        <v>610</v>
      </c>
      <c r="K141" s="72">
        <v>524</v>
      </c>
      <c r="L141" s="43">
        <v>515</v>
      </c>
      <c r="M141" s="43">
        <v>292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89</v>
      </c>
      <c r="U141" s="43" t="s">
        <v>35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 t="s">
        <v>35</v>
      </c>
      <c r="AC141" s="43" t="s">
        <v>35</v>
      </c>
      <c r="AD141" s="72" t="s">
        <v>35</v>
      </c>
      <c r="AE141" s="43" t="s">
        <v>35</v>
      </c>
      <c r="AF141" s="43" t="s">
        <v>35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>
      <c r="A142" s="43" t="s">
        <v>91</v>
      </c>
      <c r="B142" s="43">
        <v>2882</v>
      </c>
      <c r="C142" s="43" t="s">
        <v>35</v>
      </c>
      <c r="D142" s="43">
        <v>819</v>
      </c>
      <c r="E142" s="43" t="s">
        <v>35</v>
      </c>
      <c r="F142" s="43" t="s">
        <v>35</v>
      </c>
      <c r="G142" s="43" t="s">
        <v>35</v>
      </c>
      <c r="H142" s="43">
        <v>1337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726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90</v>
      </c>
      <c r="U142" s="43">
        <v>245</v>
      </c>
      <c r="V142" s="43" t="s">
        <v>35</v>
      </c>
      <c r="W142" s="43" t="s">
        <v>35</v>
      </c>
      <c r="X142" s="43" t="s">
        <v>35</v>
      </c>
      <c r="Y142" s="43" t="s">
        <v>35</v>
      </c>
      <c r="Z142" s="43" t="s">
        <v>35</v>
      </c>
      <c r="AA142" s="43">
        <v>40</v>
      </c>
      <c r="AB142" s="43">
        <v>8</v>
      </c>
      <c r="AC142" s="43">
        <v>63</v>
      </c>
      <c r="AD142" s="72">
        <v>62</v>
      </c>
      <c r="AE142" s="43">
        <v>57</v>
      </c>
      <c r="AF142" s="43">
        <v>15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>
      <c r="A143" s="43" t="s">
        <v>92</v>
      </c>
      <c r="B143" s="43">
        <v>4206</v>
      </c>
      <c r="C143" s="43" t="s">
        <v>35</v>
      </c>
      <c r="D143" s="43">
        <v>586</v>
      </c>
      <c r="E143" s="43">
        <v>629</v>
      </c>
      <c r="F143" s="43">
        <v>541</v>
      </c>
      <c r="G143" s="43">
        <v>459</v>
      </c>
      <c r="H143" s="43">
        <v>373</v>
      </c>
      <c r="I143" s="43">
        <v>419</v>
      </c>
      <c r="J143" s="43">
        <v>426</v>
      </c>
      <c r="K143" s="72">
        <v>304</v>
      </c>
      <c r="L143" s="43">
        <v>362</v>
      </c>
      <c r="M143" s="43">
        <v>107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91</v>
      </c>
      <c r="U143" s="43">
        <v>345</v>
      </c>
      <c r="V143" s="43" t="s">
        <v>35</v>
      </c>
      <c r="W143" s="43">
        <v>130</v>
      </c>
      <c r="X143" s="43" t="s">
        <v>35</v>
      </c>
      <c r="Y143" s="43" t="s">
        <v>35</v>
      </c>
      <c r="Z143" s="43" t="s">
        <v>35</v>
      </c>
      <c r="AA143" s="43">
        <v>149</v>
      </c>
      <c r="AB143" s="43" t="s">
        <v>35</v>
      </c>
      <c r="AC143" s="43" t="s">
        <v>35</v>
      </c>
      <c r="AD143" s="72" t="s">
        <v>35</v>
      </c>
      <c r="AE143" s="43" t="s">
        <v>35</v>
      </c>
      <c r="AF143" s="43">
        <v>66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60">
      <c r="A144" s="43" t="s">
        <v>93</v>
      </c>
      <c r="B144" s="43">
        <v>356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180</v>
      </c>
      <c r="Q144" s="43">
        <v>110</v>
      </c>
      <c r="R144" s="43">
        <v>66</v>
      </c>
      <c r="T144" s="43" t="s">
        <v>92</v>
      </c>
      <c r="U144" s="43">
        <v>331</v>
      </c>
      <c r="V144" s="43" t="s">
        <v>35</v>
      </c>
      <c r="W144" s="43">
        <v>82</v>
      </c>
      <c r="X144" s="43">
        <v>77</v>
      </c>
      <c r="Y144" s="43">
        <v>46</v>
      </c>
      <c r="Z144" s="43">
        <v>29</v>
      </c>
      <c r="AA144" s="43">
        <v>22</v>
      </c>
      <c r="AB144" s="43">
        <v>29</v>
      </c>
      <c r="AC144" s="43">
        <v>19</v>
      </c>
      <c r="AD144" s="72">
        <v>12</v>
      </c>
      <c r="AE144" s="43">
        <v>11</v>
      </c>
      <c r="AF144" s="43">
        <v>4</v>
      </c>
      <c r="AG144" s="43" t="s">
        <v>35</v>
      </c>
      <c r="AH144" s="43" t="s">
        <v>35</v>
      </c>
      <c r="AI144" s="43" t="s">
        <v>35</v>
      </c>
      <c r="AJ144" s="43" t="s">
        <v>35</v>
      </c>
      <c r="AK144" s="43" t="s">
        <v>35</v>
      </c>
      <c r="AU144" s="49"/>
    </row>
    <row r="145" spans="1:47" ht="30">
      <c r="A145" s="43" t="s">
        <v>94</v>
      </c>
      <c r="B145" s="43">
        <v>192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83</v>
      </c>
      <c r="Q145" s="43">
        <v>62</v>
      </c>
      <c r="R145" s="43">
        <v>47</v>
      </c>
      <c r="S145" s="44"/>
      <c r="T145" s="43" t="s">
        <v>93</v>
      </c>
      <c r="U145" s="43">
        <v>31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16</v>
      </c>
      <c r="AJ145" s="43">
        <v>12</v>
      </c>
      <c r="AK145" s="43">
        <v>3</v>
      </c>
      <c r="AU145" s="49"/>
    </row>
    <row r="146" spans="1:47">
      <c r="T146" s="43" t="s">
        <v>94</v>
      </c>
      <c r="U146" s="43">
        <v>7</v>
      </c>
      <c r="V146" s="43" t="s">
        <v>35</v>
      </c>
      <c r="W146" s="43" t="s">
        <v>35</v>
      </c>
      <c r="X146" s="43" t="s">
        <v>35</v>
      </c>
      <c r="Y146" s="43" t="s">
        <v>35</v>
      </c>
      <c r="Z146" s="43" t="s">
        <v>35</v>
      </c>
      <c r="AA146" s="43" t="s">
        <v>35</v>
      </c>
      <c r="AB146" s="43" t="s">
        <v>35</v>
      </c>
      <c r="AC146" s="43" t="s">
        <v>35</v>
      </c>
      <c r="AD146" s="72" t="s">
        <v>35</v>
      </c>
      <c r="AE146" s="43" t="s">
        <v>35</v>
      </c>
      <c r="AF146" s="43" t="s">
        <v>35</v>
      </c>
      <c r="AG146" s="43" t="s">
        <v>35</v>
      </c>
      <c r="AH146" s="43" t="s">
        <v>35</v>
      </c>
      <c r="AI146" s="43">
        <v>5</v>
      </c>
      <c r="AJ146" s="43">
        <v>1</v>
      </c>
      <c r="AK146" s="43">
        <v>1</v>
      </c>
      <c r="AL146" s="44"/>
      <c r="AM146" s="44"/>
      <c r="AN146" s="44"/>
      <c r="AO146" s="44"/>
      <c r="AP146" s="44"/>
      <c r="AQ146" s="44"/>
      <c r="AR146" s="44"/>
      <c r="AS146" s="44"/>
      <c r="AT146" s="44"/>
      <c r="AU146" s="50"/>
    </row>
    <row r="147" spans="1:47">
      <c r="A147" t="s">
        <v>52</v>
      </c>
    </row>
    <row r="148" spans="1:47">
      <c r="A148" t="s">
        <v>53</v>
      </c>
      <c r="T148" t="s">
        <v>52</v>
      </c>
    </row>
    <row r="149" spans="1:47">
      <c r="A149" t="s">
        <v>95</v>
      </c>
      <c r="T149" t="s">
        <v>53</v>
      </c>
    </row>
    <row r="150" spans="1:47">
      <c r="T150" t="s">
        <v>95</v>
      </c>
    </row>
    <row r="152" spans="1:47">
      <c r="A152" t="s">
        <v>96</v>
      </c>
    </row>
    <row r="153" spans="1:47">
      <c r="A153" t="s">
        <v>97</v>
      </c>
      <c r="T153" t="s">
        <v>96</v>
      </c>
    </row>
    <row r="154" spans="1:47">
      <c r="A154" t="s">
        <v>98</v>
      </c>
      <c r="T154" t="s">
        <v>97</v>
      </c>
    </row>
    <row r="155" spans="1:47">
      <c r="A155" t="s">
        <v>99</v>
      </c>
      <c r="T155" t="s">
        <v>98</v>
      </c>
    </row>
    <row r="156" spans="1:47">
      <c r="A156" t="s">
        <v>100</v>
      </c>
      <c r="T156" t="s">
        <v>99</v>
      </c>
    </row>
    <row r="157" spans="1:47">
      <c r="A157" t="s">
        <v>101</v>
      </c>
      <c r="T157" t="s">
        <v>100</v>
      </c>
    </row>
    <row r="158" spans="1:47">
      <c r="A158" t="s">
        <v>102</v>
      </c>
      <c r="T158" t="s">
        <v>101</v>
      </c>
    </row>
    <row r="159" spans="1:47">
      <c r="T159" t="s">
        <v>102</v>
      </c>
    </row>
    <row r="188" ht="15" customHeight="1"/>
    <row r="194" ht="15" customHeight="1"/>
    <row r="218" ht="15" customHeight="1"/>
    <row r="242" ht="15" customHeight="1"/>
    <row r="266" ht="15" customHeight="1"/>
    <row r="290" ht="15" customHeight="1"/>
  </sheetData>
  <hyperlinks>
    <hyperlink ref="A1" r:id="rId1" display="https://www1.nls.niedersachsen.de/Statistik/pool/K300151A/K300151A_000016CE1821AF88DA2DF6976AC38AAB4AC282E7B965BFE30F4C.zip"/>
    <hyperlink ref="T2" r:id="rId2" display="https://www1.nls.niedersachsen.de/Statistik/pool/K300151A/K300151A_000016CE1821BA666879CD108446E77C7806A3CB922AA1B3F87A.zip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22</vt:i4>
      </vt:variant>
    </vt:vector>
  </HeadingPairs>
  <TitlesOfParts>
    <vt:vector size="22" baseType="lpstr">
      <vt:lpstr>2020_4-1-2_Download</vt:lpstr>
      <vt:lpstr>fürCsv</vt:lpstr>
      <vt:lpstr>2020_4-1-2_CSV_Export</vt:lpstr>
      <vt:lpstr>2020_4-1-2_CSV_Export2</vt:lpstr>
      <vt:lpstr>2020_B4_Zeitreihe</vt:lpstr>
      <vt:lpstr>2019_B4_Rand</vt:lpstr>
      <vt:lpstr>2020_B4_Berechnung_final</vt:lpstr>
      <vt:lpstr>2020_B4_Berechnung</vt:lpstr>
      <vt:lpstr>2020_B4_Rohdaten_alle</vt:lpstr>
      <vt:lpstr>2020_B4_Rohdaten_Ausländer</vt:lpstr>
      <vt:lpstr>2018_B4_Zeitreihe</vt:lpstr>
      <vt:lpstr>2019_B4_Rohdaten_alle</vt:lpstr>
      <vt:lpstr>2019_B4_Berechnung</vt:lpstr>
      <vt:lpstr>2018_B4_Berechnung</vt:lpstr>
      <vt:lpstr>2019_B4_Rohdaten_Ausländer</vt:lpstr>
      <vt:lpstr>2018_B4_Prozent</vt:lpstr>
      <vt:lpstr>2011_B4_Rohdaten</vt:lpstr>
      <vt:lpstr>2013_B4_Rohdaten</vt:lpstr>
      <vt:lpstr>2015_B4_Rohdaten</vt:lpstr>
      <vt:lpstr>2016_B4_Rohdaten</vt:lpstr>
      <vt:lpstr>2017_B4_Rohdaten</vt:lpstr>
      <vt:lpstr>2018_B4_Rohdaten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Daus, Juliane (LSN)</dc:creator>
  <cp:lastModifiedBy>Biester</cp:lastModifiedBy>
  <dcterms:created xsi:type="dcterms:W3CDTF">2019-09-02T06:46:42Z</dcterms:created>
  <dcterms:modified xsi:type="dcterms:W3CDTF">2021-11-04T11:43:52Z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